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volkswagengroup-my.sharepoint.com/personal/david_rocosa_seat_es/Documents/Escritorio/CRITICIDAD MAQUINAS/"/>
    </mc:Choice>
  </mc:AlternateContent>
  <xr:revisionPtr revIDLastSave="43" documentId="8_{500DDC66-3027-47D1-A8C8-D2A49D12213D}" xr6:coauthVersionLast="47" xr6:coauthVersionMax="47" xr10:uidLastSave="{EE3BE9BF-670D-4B4B-B394-07236D7F4ED2}"/>
  <bookViews>
    <workbookView xWindow="-57720" yWindow="-2820" windowWidth="29040" windowHeight="15720" activeTab="2" xr2:uid="{00000000-000D-0000-FFFF-FFFF00000000}"/>
  </bookViews>
  <sheets>
    <sheet name="00_Resumen" sheetId="1" r:id="rId1"/>
    <sheet name="01_Supuestos_Fuentes" sheetId="2" r:id="rId2"/>
    <sheet name="02_Parque_Criticidad" sheetId="3" r:id="rId3"/>
    <sheet name="03_Secciones" sheetId="4" r:id="rId4"/>
    <sheet name="04_Calculo_FTE" sheetId="5" r:id="rId5"/>
    <sheet name="05_Datos_2025_actual" sheetId="6" r:id="rId6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4" l="1"/>
  <c r="B14" i="5"/>
  <c r="I8" i="5" s="1"/>
  <c r="B9" i="5"/>
  <c r="B8" i="5"/>
  <c r="B7" i="5"/>
  <c r="G12" i="4"/>
  <c r="G11" i="4"/>
  <c r="G10" i="4"/>
  <c r="G9" i="4"/>
  <c r="G8" i="4"/>
  <c r="G7" i="4"/>
  <c r="B23" i="3"/>
  <c r="D22" i="3"/>
  <c r="D21" i="3"/>
  <c r="D20" i="3"/>
  <c r="D19" i="3"/>
  <c r="B15" i="3"/>
  <c r="D23" i="3" l="1"/>
  <c r="G13" i="4" s="1"/>
  <c r="G14" i="4" l="1"/>
  <c r="B6" i="5" s="1"/>
  <c r="B10" i="5" l="1"/>
  <c r="B12" i="5" s="1"/>
  <c r="B15" i="5" s="1"/>
  <c r="I9" i="5" s="1"/>
  <c r="B11" i="5"/>
  <c r="B13" i="5" s="1"/>
  <c r="B16" i="5" s="1"/>
  <c r="I10" i="5" s="1"/>
  <c r="I7" i="5" l="1"/>
  <c r="I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B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Fuente: Usuario / conversación</t>
        </r>
      </text>
    </comment>
    <comment ref="B7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Fuente: Supuesto usuario / modelo</t>
        </r>
      </text>
    </comment>
    <comment ref="B8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Fuente: Supuesto modelo</t>
        </r>
      </text>
    </comment>
    <comment ref="B9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Fuente: Supuesto usuario / modelo</t>
        </r>
      </text>
    </comment>
    <comment ref="B1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Fuente: Supuesto modelo</t>
        </r>
      </text>
    </comment>
    <comment ref="B1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Fuente: Supuesto modelo</t>
        </r>
      </text>
    </comment>
    <comment ref="B12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Fuente: MAESTRO_FABRICA_FINAL.xlsx</t>
        </r>
      </text>
    </comment>
    <comment ref="B13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Fuente: Supuesto modelo</t>
        </r>
      </text>
    </comment>
    <comment ref="B1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Fuente: Supuesto modelo</t>
        </r>
      </text>
    </comment>
    <comment ref="B15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Fuente: Supuesto modelo</t>
        </r>
      </text>
    </comment>
  </commentList>
</comments>
</file>

<file path=xl/sharedStrings.xml><?xml version="1.0" encoding="utf-8"?>
<sst xmlns="http://schemas.openxmlformats.org/spreadsheetml/2006/main" count="380" uniqueCount="210">
  <si>
    <t>Resumen ejecutivo</t>
  </si>
  <si>
    <t>Dimensionamiento mantenimiento PK-16 | Parque completo + carga real + fuentes externas</t>
  </si>
  <si>
    <t>KPIs principales</t>
  </si>
  <si>
    <t>Métrica</t>
  </si>
  <si>
    <t>Valor</t>
  </si>
  <si>
    <t>Unidad</t>
  </si>
  <si>
    <t>Lectura</t>
  </si>
  <si>
    <t>Fuente / cálculo</t>
  </si>
  <si>
    <t>Tipo</t>
  </si>
  <si>
    <t>Validación</t>
  </si>
  <si>
    <t>Comentario</t>
  </si>
  <si>
    <t>Parque global visible</t>
  </si>
  <si>
    <t>activos</t>
  </si>
  <si>
    <t>Todo el parque visible considerado</t>
  </si>
  <si>
    <t>MAESTRO_FABRICA_FINAL.xlsx</t>
  </si>
  <si>
    <t>Importado</t>
  </si>
  <si>
    <t>OK</t>
  </si>
  <si>
    <t>Incluye mecanizado, robots, montaje, calidad, transporte, lavadoras y auxiliares</t>
  </si>
  <si>
    <t>Activos clasificados</t>
  </si>
  <si>
    <t>Con criticidad A/B/C/D en maestro</t>
  </si>
  <si>
    <t>No clasificados incluidos</t>
  </si>
  <si>
    <t>Tratados como D/ruta para no perder carga</t>
  </si>
  <si>
    <t>Cálculo: parque visible - clasificados</t>
  </si>
  <si>
    <t>Derivado</t>
  </si>
  <si>
    <t>Criterio conservador de cobertura mínima</t>
  </si>
  <si>
    <t>Horas avería 2025→actual</t>
  </si>
  <si>
    <t>h</t>
  </si>
  <si>
    <t>Dato de soporte, no único driver</t>
  </si>
  <si>
    <t>MAESTRO_CRITICIDAD_MAQUINAS.xlsx</t>
  </si>
  <si>
    <t>Campo Años contiene 2025/2026</t>
  </si>
  <si>
    <t>Base ratio parque completo</t>
  </si>
  <si>
    <t>FTE</t>
  </si>
  <si>
    <t>FTE por criticidad completa</t>
  </si>
  <si>
    <t>SUMA A/12 + B/20 + C/35 + D/60</t>
  </si>
  <si>
    <t>Fórmula</t>
  </si>
  <si>
    <t>PM + avisos</t>
  </si>
  <si>
    <t>Carga central anual adicional</t>
  </si>
  <si>
    <t>60.000 / 6.300 unidades FTE/año</t>
  </si>
  <si>
    <t>TPM excluido</t>
  </si>
  <si>
    <t>Formación anual</t>
  </si>
  <si>
    <t>Pérdida de capacidad por formación</t>
  </si>
  <si>
    <t>80 pers. × 55 h / 1.450 h</t>
  </si>
  <si>
    <t>Sábados + libranza</t>
  </si>
  <si>
    <t>Cobertura sábado y descanso semanal</t>
  </si>
  <si>
    <t>10 pers/sábado × 45 / 220</t>
  </si>
  <si>
    <t>Cobertura real mínima</t>
  </si>
  <si>
    <t>Especialidades, turnos, ausencias</t>
  </si>
  <si>
    <t>15% sobre base + PM/avisos</t>
  </si>
  <si>
    <t>Cobertura real máxima</t>
  </si>
  <si>
    <t>25% sobre base + PM/avisos</t>
  </si>
  <si>
    <t>Necesidad final mínima</t>
  </si>
  <si>
    <t>Escenario defendible bajo</t>
  </si>
  <si>
    <t>Base + PM + formación + sábados + cobertura mín.</t>
  </si>
  <si>
    <t>Necesidad final máxima</t>
  </si>
  <si>
    <t>Escenario defendible alto</t>
  </si>
  <si>
    <t>Base + PM + formación + sábados + cobertura máx.</t>
  </si>
  <si>
    <t>Gap mínimo vs 80 nominales</t>
  </si>
  <si>
    <t>Déficit mínimo estimado</t>
  </si>
  <si>
    <t>Necesidad mínima - 80</t>
  </si>
  <si>
    <t>Gap máximo vs 80 nominales</t>
  </si>
  <si>
    <t>Déficit máximo estimado</t>
  </si>
  <si>
    <t>Necesidad máxima - 80</t>
  </si>
  <si>
    <t>Conclusión para dirección</t>
  </si>
  <si>
    <t>Supuestos, fuentes y trazabilidad</t>
  </si>
  <si>
    <t>Supuestos editables</t>
  </si>
  <si>
    <t>Variable</t>
  </si>
  <si>
    <t>Descripción</t>
  </si>
  <si>
    <t>Fuente</t>
  </si>
  <si>
    <t>Plantilla nominal actual</t>
  </si>
  <si>
    <t>personas</t>
  </si>
  <si>
    <t>Plantilla de referencia comunicada por usuario</t>
  </si>
  <si>
    <t>Usuario / conversación</t>
  </si>
  <si>
    <t>Input</t>
  </si>
  <si>
    <t>Formación anual por persona</t>
  </si>
  <si>
    <t>h/persona/año</t>
  </si>
  <si>
    <t>Horas de formación anual por mantenedor</t>
  </si>
  <si>
    <t>Supuesto usuario / modelo</t>
  </si>
  <si>
    <t>Horas productivas por FTE</t>
  </si>
  <si>
    <t>h/FTE/año</t>
  </si>
  <si>
    <t>Horas productivas anuales usadas para convertir horas a FTE</t>
  </si>
  <si>
    <t>Supuesto modelo</t>
  </si>
  <si>
    <t>Personas por sábado</t>
  </si>
  <si>
    <t>personas/sábado</t>
  </si>
  <si>
    <t>Cobertura media requerida por sábado</t>
  </si>
  <si>
    <t>Sábados trabajados/año</t>
  </si>
  <si>
    <t>sábados/año</t>
  </si>
  <si>
    <t>Sábados anuales con cobertura</t>
  </si>
  <si>
    <t>Días laborables/año</t>
  </si>
  <si>
    <t>días/año</t>
  </si>
  <si>
    <t>Base para convertir libranza de sábados a FTE</t>
  </si>
  <si>
    <t>PM + avisos central</t>
  </si>
  <si>
    <t>unidades/año</t>
  </si>
  <si>
    <t>50.000 PM + 10.000 avisos</t>
  </si>
  <si>
    <t>Productividad PM/avisos por FTE</t>
  </si>
  <si>
    <t>unidades/FTE/año</t>
  </si>
  <si>
    <t>Hipótesis de conversión PM+avisos a FTE</t>
  </si>
  <si>
    <t>%</t>
  </si>
  <si>
    <t>Factor por turnos, especialidades, vacaciones, ausencias, simultaneidad</t>
  </si>
  <si>
    <t>Fuentes externas para defender metodología</t>
  </si>
  <si>
    <t>Uso en defensa</t>
  </si>
  <si>
    <t>URL</t>
  </si>
  <si>
    <t>Mensaje para dirección</t>
  </si>
  <si>
    <t>Aplicación al modelo</t>
  </si>
  <si>
    <t>Nota</t>
  </si>
  <si>
    <t>SMRP Best Practices Metrics &amp; Guidelines</t>
  </si>
  <si>
    <t>Métricas y benchmarking de mantenimiento y fiabilidad</t>
  </si>
  <si>
    <t>https://smrp.org/Learning-Resources/SMRP-Library/Best-Practices-Metrics-Guidelines/</t>
  </si>
  <si>
    <t>SMRP estandariza métricas y benchmarks para programas de mantenimiento y fiabilidad.</t>
  </si>
  <si>
    <t>Se cita como fuente externa de benchmarking y métrica, no como ratio universal máquinas/mantenedor.</t>
  </si>
  <si>
    <t>Usar literalmente como “referencia externa de benchmark”.</t>
  </si>
  <si>
    <t>NASA NPR 8831.2F Facilities Maintenance and Operations Management</t>
  </si>
  <si>
    <t>Dimensionamiento por carga de trabajo, work requirements, work orders y staffing</t>
  </si>
  <si>
    <t>https://nodis3.gsfc.nasa.gov/displayDir.cfm?t=NPR&amp;c=8831&amp;s=2F</t>
  </si>
  <si>
    <t>NASA estructura mantenimiento por recursos, staffing, plan anual, requisitos de trabajo y ejecución.</t>
  </si>
  <si>
    <t>Se cita como fuente externa oficial para justificar cálculo por workload, PM/correctivo y recursos.</t>
  </si>
  <si>
    <t>Usar literalmente como “metodología de workload/staffing”.</t>
  </si>
  <si>
    <t>Datos internos de parque, PM, avisos, MEB ECO</t>
  </si>
  <si>
    <t>Archivo interno</t>
  </si>
  <si>
    <t>Parque completo y carga anual de mantenimiento.</t>
  </si>
  <si>
    <t>Base de datos principal para conteo de activos y carga central.</t>
  </si>
  <si>
    <t>Fuente interna.</t>
  </si>
  <si>
    <t>Criticidad, ratios internos, averías 2025→actual</t>
  </si>
  <si>
    <t>Criterio interno A/B/C/D aplicado a la cartera.</t>
  </si>
  <si>
    <t>Base de ratio interno y evidencia de averías/paros.</t>
  </si>
  <si>
    <t>Parque completo y criticidad</t>
  </si>
  <si>
    <t>Contexto por familias de activo</t>
  </si>
  <si>
    <t>Familia de activo</t>
  </si>
  <si>
    <t>Cantidad</t>
  </si>
  <si>
    <t>Mecanizado</t>
  </si>
  <si>
    <t>Incluido en parque global visible</t>
  </si>
  <si>
    <t>Robots</t>
  </si>
  <si>
    <t>Montaje</t>
  </si>
  <si>
    <t>Tratamientos/fundición</t>
  </si>
  <si>
    <t>Calidad/control</t>
  </si>
  <si>
    <t>Lavadoras</t>
  </si>
  <si>
    <t>Inst. transporte</t>
  </si>
  <si>
    <t>Medios transporte</t>
  </si>
  <si>
    <t>Auxiliares prod.</t>
  </si>
  <si>
    <t>TOTAL PARQUE VISIBLE</t>
  </si>
  <si>
    <t>Debe cuadrar con 2.043</t>
  </si>
  <si>
    <t>Criticidad completa usada para cálculo</t>
  </si>
  <si>
    <t>Criticidad</t>
  </si>
  <si>
    <t>Activos</t>
  </si>
  <si>
    <t>Ratio aplicado</t>
  </si>
  <si>
    <t>FTE base</t>
  </si>
  <si>
    <t>A</t>
  </si>
  <si>
    <t>Críticos / cuello / alta criticidad</t>
  </si>
  <si>
    <t>B</t>
  </si>
  <si>
    <t>Críticos medios</t>
  </si>
  <si>
    <t>C</t>
  </si>
  <si>
    <t>Carga media</t>
  </si>
  <si>
    <t>D</t>
  </si>
  <si>
    <t>Baja criticidad + no clasificados como D/ruta</t>
  </si>
  <si>
    <t>TOTAL</t>
  </si>
  <si>
    <t>Secciones / productos</t>
  </si>
  <si>
    <t>FTE base por sección / producto</t>
  </si>
  <si>
    <t>Sección / producto</t>
  </si>
  <si>
    <t>A_MEB</t>
  </si>
  <si>
    <t>MQ200</t>
  </si>
  <si>
    <t>Incluye parque histórico identificado y/o MEB ECO si aplica</t>
  </si>
  <si>
    <t>MQ281</t>
  </si>
  <si>
    <t>EBOX</t>
  </si>
  <si>
    <t>MANGUETAS</t>
  </si>
  <si>
    <t>KMM</t>
  </si>
  <si>
    <t>CONJ. DIF.</t>
  </si>
  <si>
    <t>ALUMINIO GGH/MGH</t>
  </si>
  <si>
    <t>RESTO PLANTA / SOPORTE GLOBAL</t>
  </si>
  <si>
    <t>Resto de activos de fábrica para cuadrar contra parque completo</t>
  </si>
  <si>
    <t>TOTAL BASE PARQUE COMPLETO</t>
  </si>
  <si>
    <t>Debe cuadrar con base por criticidad completa</t>
  </si>
  <si>
    <t>Cálculo FTE final</t>
  </si>
  <si>
    <t>Cálculo final con fórmulas</t>
  </si>
  <si>
    <t>Concepto</t>
  </si>
  <si>
    <t>Fórmula / valor</t>
  </si>
  <si>
    <t>03_Secciones</t>
  </si>
  <si>
    <t>A/12 + B/20 + C/35 + D/60 + no clasificados como D/ruta</t>
  </si>
  <si>
    <t>Necesidad mín.</t>
  </si>
  <si>
    <t>Supuestos</t>
  </si>
  <si>
    <t>60.000 unidades / 6.300 unidades FTE/año</t>
  </si>
  <si>
    <t>Necesidad máx.</t>
  </si>
  <si>
    <t>plantilla nominal × horas formación / horas productivas</t>
  </si>
  <si>
    <t>Plantilla actual</t>
  </si>
  <si>
    <t>personas sábado × sábados / días laborables</t>
  </si>
  <si>
    <t>Gap mín.</t>
  </si>
  <si>
    <t>15% por turnos, vacaciones, especialidades y simultaneidad</t>
  </si>
  <si>
    <t>Gap máx.</t>
  </si>
  <si>
    <t>25% por turnos, vacaciones, especialidades y simultaneidad</t>
  </si>
  <si>
    <t>Cálculo</t>
  </si>
  <si>
    <t>base + PM/avisos + formación + sábados + cobertura mín.</t>
  </si>
  <si>
    <t>base + PM/avisos + formación + sábados + cobertura máx.</t>
  </si>
  <si>
    <t>Usuario</t>
  </si>
  <si>
    <t>plantilla de referencia</t>
  </si>
  <si>
    <t>Gap mínimo</t>
  </si>
  <si>
    <t>necesidad mínima - plantilla actual</t>
  </si>
  <si>
    <t>Gap máximo</t>
  </si>
  <si>
    <t>necesidad máxima - plantilla actual</t>
  </si>
  <si>
    <t>Datos averías 2025→actual</t>
  </si>
  <si>
    <t>Resumen de datos filtrados por campo Años 2025/2026</t>
  </si>
  <si>
    <t>Registros/activos con actividad</t>
  </si>
  <si>
    <t>activos/registros</t>
  </si>
  <si>
    <t>Campo Años contiene 2025 o 2026</t>
  </si>
  <si>
    <t>Horas paro analizadas</t>
  </si>
  <si>
    <t>Suma Horas paro filtradas</t>
  </si>
  <si>
    <t>Registros avería</t>
  </si>
  <si>
    <t>registros</t>
  </si>
  <si>
    <t>Suma Registros avería filtrados</t>
  </si>
  <si>
    <t>Distribución reciente A/B/C/D</t>
  </si>
  <si>
    <t>Activos recientes</t>
  </si>
  <si>
    <t>Puntos equivalentes</t>
  </si>
  <si>
    <t>Necesidad estimada: 114-124 FTE. Frente a 80 personas nominales, el gap defendible queda en +14 a +22 FTE. El cálculo usa parque completo, activos no clasificados como D/ruta, PM+avisos, formación, sábados/libranza y cobertura real.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</si>
</sst>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Calibri"/>
      <family val="2"/>
      <scheme val="minor"/>
    </font>
    <font>
      <b/>
      <sz val="18"/>
      <color rgb="FFFFFFFF"/>
      <name val="Aptos Display"/>
    </font>
    <font>
      <i/>
      <sz val="10"/>
      <color rgb="FF6B7280"/>
      <name val="Calibri"/>
    </font>
    <font>
      <b/>
      <sz val="11"/>
      <color rgb="FFFFFFFF"/>
      <name val="Calibri"/>
    </font>
    <font>
      <b/>
      <sz val="11"/>
      <color rgb="FF008000"/>
      <name val="Calibri"/>
    </font>
    <font>
      <b/>
      <sz val="11"/>
      <color rgb="FF000000"/>
      <name val="Calibri"/>
    </font>
    <font>
      <b/>
      <sz val="12"/>
      <color rgb="FF17202A"/>
      <name val="Calibri"/>
    </font>
    <font>
      <b/>
      <sz val="11"/>
      <color rgb="FF0067B8"/>
      <name val="Calibri"/>
    </font>
    <font>
      <sz val="12"/>
      <color theme="10"/>
      <name val="Calibri"/>
      <family val="2"/>
      <scheme val="minor"/>
    </font>
    <font>
      <b/>
      <sz val="11"/>
      <color rgb="FF003366"/>
      <name val="Calibri"/>
    </font>
    <font>
      <b/>
      <sz val="11"/>
      <color rgb="FF17202A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FFF7E6"/>
      </patternFill>
    </fill>
    <fill>
      <patternFill patternType="solid">
        <fgColor rgb="FF1CA7A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8" fillId="0" borderId="0"/>
  </cellStyleXfs>
  <cellXfs count="25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3" fontId="5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3" fontId="7" fillId="0" borderId="1" xfId="0" applyNumberFormat="1" applyFont="1" applyBorder="1" applyAlignment="1">
      <alignment vertical="top" wrapText="1"/>
    </xf>
    <xf numFmtId="164" fontId="7" fillId="0" borderId="1" xfId="0" applyNumberFormat="1" applyFont="1" applyBorder="1" applyAlignment="1">
      <alignment vertical="top" wrapText="1"/>
    </xf>
    <xf numFmtId="0" fontId="8" fillId="0" borderId="1" xfId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10" fillId="3" borderId="1" xfId="0" applyFont="1" applyFill="1" applyBorder="1" applyAlignment="1">
      <alignment vertical="top" wrapText="1"/>
    </xf>
    <xf numFmtId="164" fontId="10" fillId="3" borderId="1" xfId="0" applyNumberFormat="1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6" fillId="3" borderId="1" xfId="0" applyFont="1" applyFill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Activos por criticidad</a:t>
            </a:r>
          </a:p>
        </c:rich>
      </c:tx>
      <c:layout>
        <c:manualLayout>
          <c:xMode val="edge"/>
          <c:yMode val="edge"/>
          <c:x val="0.26972407407407406"/>
          <c:y val="5.8796296296296296E-3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2.9411758513672469E-2"/>
          <c:y val="0.14285714285714285"/>
          <c:w val="0.84723402096214151"/>
          <c:h val="0.81467181467181471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'02_Parque_Criticidad'!$B$18</c:f>
              <c:strCache>
                <c:ptCount val="1"/>
                <c:pt idx="0">
                  <c:v>Activos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'02_Parque_Criticidad'!$A$19:$A$22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'02_Parque_Criticidad'!$B$19:$B$22</c:f>
              <c:numCache>
                <c:formatCode>#,##0</c:formatCode>
                <c:ptCount val="4"/>
                <c:pt idx="0">
                  <c:v>418</c:v>
                </c:pt>
                <c:pt idx="1">
                  <c:v>275</c:v>
                </c:pt>
                <c:pt idx="2">
                  <c:v>1200</c:v>
                </c:pt>
                <c:pt idx="3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E-411A-B7F4-776000610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Activos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Criticidad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FTE base por sección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'03_Secciones'!$G$5</c:f>
              <c:strCache>
                <c:ptCount val="1"/>
                <c:pt idx="0">
                  <c:v>FTE base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'03_Secciones'!$A$6:$A$13</c:f>
              <c:strCache>
                <c:ptCount val="8"/>
                <c:pt idx="0">
                  <c:v>MQ200</c:v>
                </c:pt>
                <c:pt idx="1">
                  <c:v>MQ281</c:v>
                </c:pt>
                <c:pt idx="2">
                  <c:v>EBOX</c:v>
                </c:pt>
                <c:pt idx="3">
                  <c:v>MANGUETAS</c:v>
                </c:pt>
                <c:pt idx="4">
                  <c:v>KMM</c:v>
                </c:pt>
                <c:pt idx="5">
                  <c:v>CONJ. DIF.</c:v>
                </c:pt>
                <c:pt idx="6">
                  <c:v>ALUMINIO GGH/MGH</c:v>
                </c:pt>
                <c:pt idx="7">
                  <c:v>RESTO PLANTA / SOPORTE GLOBAL</c:v>
                </c:pt>
              </c:strCache>
            </c:strRef>
          </c:cat>
          <c:val>
            <c:numRef>
              <c:f>'03_Secciones'!$G$6:$G$13</c:f>
              <c:numCache>
                <c:formatCode>General</c:formatCode>
                <c:ptCount val="8"/>
                <c:pt idx="0">
                  <c:v>11.354761904761903</c:v>
                </c:pt>
                <c:pt idx="1">
                  <c:v>9.2523809523809515</c:v>
                </c:pt>
                <c:pt idx="2">
                  <c:v>2.3333333333333335</c:v>
                </c:pt>
                <c:pt idx="3">
                  <c:v>2.8333333333333335</c:v>
                </c:pt>
                <c:pt idx="4">
                  <c:v>2.5</c:v>
                </c:pt>
                <c:pt idx="5">
                  <c:v>2.7595238095238095</c:v>
                </c:pt>
                <c:pt idx="6">
                  <c:v>2.65</c:v>
                </c:pt>
                <c:pt idx="7">
                  <c:v>51.68571428571429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F-40F8-8308-CED87EA87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Sección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Necesidad y gap FTE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'04_Calculo_FTE'!$I$5</c:f>
              <c:strCache>
                <c:ptCount val="1"/>
                <c:pt idx="0">
                  <c:v>FTE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'04_Calculo_FTE'!$H$6:$H$10</c:f>
              <c:strCache>
                <c:ptCount val="5"/>
                <c:pt idx="0">
                  <c:v>Necesidad mín.</c:v>
                </c:pt>
                <c:pt idx="1">
                  <c:v>Necesidad máx.</c:v>
                </c:pt>
                <c:pt idx="2">
                  <c:v>Plantilla actual</c:v>
                </c:pt>
                <c:pt idx="3">
                  <c:v>Gap mín.</c:v>
                </c:pt>
                <c:pt idx="4">
                  <c:v>Gap máx.</c:v>
                </c:pt>
              </c:strCache>
            </c:strRef>
          </c:cat>
          <c:val>
            <c:numRef>
              <c:f>'04_Calculo_FTE'!$I$6:$I$10</c:f>
              <c:numCache>
                <c:formatCode>#,##0.0</c:formatCode>
                <c:ptCount val="5"/>
                <c:pt idx="0">
                  <c:v>114.20672301836095</c:v>
                </c:pt>
                <c:pt idx="1">
                  <c:v>123.69600873264665</c:v>
                </c:pt>
                <c:pt idx="2">
                  <c:v>80</c:v>
                </c:pt>
                <c:pt idx="3">
                  <c:v>34.206723018360947</c:v>
                </c:pt>
                <c:pt idx="4">
                  <c:v>43.696008732646646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90-4B0C-9818-AA64C70E7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FTE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1244599</xdr:colOff>
      <xdr:row>5</xdr:row>
      <xdr:rowOff>101600</xdr:rowOff>
    </xdr:from>
    <xdr:ext cx="4479925" cy="29654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36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11</xdr:row>
      <xdr:rowOff>0</xdr:rowOff>
    </xdr:from>
    <xdr:ext cx="36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nodis3.gsfc.nasa.gov/displayDir.cfm?t=NPR&amp;c=8831&amp;s=2F" TargetMode="External"/><Relationship Id="rId1" Type="http://schemas.openxmlformats.org/officeDocument/2006/relationships/hyperlink" Target="https://smrp.org/Learning-Resources/SMRP-Library/Best-Practices-Metrics-Guidelines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showGridLines="0" workbookViewId="0">
      <pane ySplit="4" topLeftCell="A13" activePane="bottomLeft" state="frozen"/>
      <selection pane="bottomLeft" activeCell="E17" sqref="E17"/>
    </sheetView>
  </sheetViews>
  <sheetFormatPr baseColWidth="10" defaultColWidth="8.7265625" defaultRowHeight="14.5" x14ac:dyDescent="0.35"/>
  <cols>
    <col min="1" max="1" width="28" customWidth="1"/>
    <col min="2" max="2" width="18" customWidth="1"/>
    <col min="3" max="3" width="16" customWidth="1"/>
    <col min="4" max="4" width="32" customWidth="1"/>
    <col min="5" max="5" width="40" customWidth="1"/>
    <col min="6" max="6" width="18" customWidth="1"/>
    <col min="7" max="7" width="16" customWidth="1"/>
    <col min="8" max="8" width="32" customWidth="1"/>
    <col min="9" max="9" width="16" customWidth="1"/>
    <col min="10" max="12" width="4" customWidth="1"/>
  </cols>
  <sheetData>
    <row r="1" spans="1:8" ht="28" customHeight="1" x14ac:dyDescent="0.35">
      <c r="A1" s="23" t="s">
        <v>0</v>
      </c>
      <c r="B1" s="21"/>
      <c r="C1" s="21"/>
      <c r="D1" s="21"/>
      <c r="E1" s="21"/>
      <c r="F1" s="21"/>
      <c r="G1" s="21"/>
      <c r="H1" s="21"/>
    </row>
    <row r="2" spans="1:8" ht="39" x14ac:dyDescent="0.35">
      <c r="A2" s="2" t="s">
        <v>1</v>
      </c>
      <c r="B2" s="1"/>
      <c r="C2" s="1"/>
      <c r="D2" s="1"/>
      <c r="E2" s="1"/>
      <c r="F2" s="1"/>
      <c r="G2" s="1"/>
      <c r="H2" s="1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x14ac:dyDescent="0.35">
      <c r="A4" s="22" t="s">
        <v>2</v>
      </c>
      <c r="B4" s="21"/>
      <c r="C4" s="21"/>
      <c r="D4" s="21"/>
      <c r="E4" s="21"/>
      <c r="F4" s="21"/>
      <c r="G4" s="21"/>
      <c r="H4" s="21"/>
    </row>
    <row r="5" spans="1:8" x14ac:dyDescent="0.35">
      <c r="A5" s="9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9" t="s">
        <v>9</v>
      </c>
      <c r="H5" s="9" t="s">
        <v>10</v>
      </c>
    </row>
    <row r="6" spans="1:8" ht="43.5" x14ac:dyDescent="0.35">
      <c r="A6" s="4" t="s">
        <v>11</v>
      </c>
      <c r="B6" s="5">
        <v>2043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x14ac:dyDescent="0.35">
      <c r="A7" s="4" t="s">
        <v>18</v>
      </c>
      <c r="B7" s="5">
        <v>1646</v>
      </c>
      <c r="C7" s="4" t="s">
        <v>12</v>
      </c>
      <c r="D7" s="4" t="s">
        <v>19</v>
      </c>
      <c r="E7" s="4" t="s">
        <v>14</v>
      </c>
      <c r="F7" s="4" t="s">
        <v>15</v>
      </c>
      <c r="G7" s="4" t="s">
        <v>16</v>
      </c>
      <c r="H7" s="4"/>
    </row>
    <row r="8" spans="1:8" ht="29" x14ac:dyDescent="0.35">
      <c r="A8" s="4" t="s">
        <v>20</v>
      </c>
      <c r="B8" s="6">
        <v>397</v>
      </c>
      <c r="C8" s="4" t="s">
        <v>12</v>
      </c>
      <c r="D8" s="4" t="s">
        <v>21</v>
      </c>
      <c r="E8" s="4" t="s">
        <v>22</v>
      </c>
      <c r="F8" s="4" t="s">
        <v>23</v>
      </c>
      <c r="G8" s="4" t="s">
        <v>16</v>
      </c>
      <c r="H8" s="4" t="s">
        <v>24</v>
      </c>
    </row>
    <row r="9" spans="1:8" x14ac:dyDescent="0.35">
      <c r="A9" s="4" t="s">
        <v>25</v>
      </c>
      <c r="B9" s="7">
        <v>29627.200000000001</v>
      </c>
      <c r="C9" s="4" t="s">
        <v>26</v>
      </c>
      <c r="D9" s="4" t="s">
        <v>27</v>
      </c>
      <c r="E9" s="4" t="s">
        <v>28</v>
      </c>
      <c r="F9" s="4" t="s">
        <v>15</v>
      </c>
      <c r="G9" s="4" t="s">
        <v>16</v>
      </c>
      <c r="H9" s="4" t="s">
        <v>29</v>
      </c>
    </row>
    <row r="10" spans="1:8" x14ac:dyDescent="0.35">
      <c r="A10" s="4" t="s">
        <v>30</v>
      </c>
      <c r="B10" s="8">
        <v>68.099999999999994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16</v>
      </c>
      <c r="H10" s="4"/>
    </row>
    <row r="11" spans="1:8" x14ac:dyDescent="0.35">
      <c r="A11" s="4" t="s">
        <v>35</v>
      </c>
      <c r="B11" s="8">
        <v>9.5</v>
      </c>
      <c r="C11" s="4" t="s">
        <v>31</v>
      </c>
      <c r="D11" s="4" t="s">
        <v>36</v>
      </c>
      <c r="E11" s="4" t="s">
        <v>37</v>
      </c>
      <c r="F11" s="4" t="s">
        <v>34</v>
      </c>
      <c r="G11" s="4" t="s">
        <v>16</v>
      </c>
      <c r="H11" s="4" t="s">
        <v>38</v>
      </c>
    </row>
    <row r="12" spans="1:8" x14ac:dyDescent="0.35">
      <c r="A12" s="4" t="s">
        <v>39</v>
      </c>
      <c r="B12" s="8">
        <v>3</v>
      </c>
      <c r="C12" s="4" t="s">
        <v>31</v>
      </c>
      <c r="D12" s="4" t="s">
        <v>40</v>
      </c>
      <c r="E12" s="4" t="s">
        <v>41</v>
      </c>
      <c r="F12" s="4" t="s">
        <v>34</v>
      </c>
      <c r="G12" s="4" t="s">
        <v>16</v>
      </c>
      <c r="H12" s="4"/>
    </row>
    <row r="13" spans="1:8" ht="29" x14ac:dyDescent="0.35">
      <c r="A13" s="4" t="s">
        <v>42</v>
      </c>
      <c r="B13" s="8">
        <v>2</v>
      </c>
      <c r="C13" s="4" t="s">
        <v>31</v>
      </c>
      <c r="D13" s="4" t="s">
        <v>43</v>
      </c>
      <c r="E13" s="4" t="s">
        <v>44</v>
      </c>
      <c r="F13" s="4" t="s">
        <v>34</v>
      </c>
      <c r="G13" s="4" t="s">
        <v>16</v>
      </c>
      <c r="H13" s="4"/>
    </row>
    <row r="14" spans="1:8" x14ac:dyDescent="0.35">
      <c r="A14" s="4" t="s">
        <v>45</v>
      </c>
      <c r="B14" s="8">
        <v>11.6</v>
      </c>
      <c r="C14" s="4" t="s">
        <v>31</v>
      </c>
      <c r="D14" s="4" t="s">
        <v>46</v>
      </c>
      <c r="E14" s="4" t="s">
        <v>47</v>
      </c>
      <c r="F14" s="4" t="s">
        <v>34</v>
      </c>
      <c r="G14" s="4" t="s">
        <v>16</v>
      </c>
      <c r="H14" s="4"/>
    </row>
    <row r="15" spans="1:8" x14ac:dyDescent="0.35">
      <c r="A15" s="4" t="s">
        <v>48</v>
      </c>
      <c r="B15" s="8">
        <v>19.399999999999999</v>
      </c>
      <c r="C15" s="4" t="s">
        <v>31</v>
      </c>
      <c r="D15" s="4" t="s">
        <v>46</v>
      </c>
      <c r="E15" s="4" t="s">
        <v>49</v>
      </c>
      <c r="F15" s="4" t="s">
        <v>34</v>
      </c>
      <c r="G15" s="4" t="s">
        <v>16</v>
      </c>
      <c r="H15" s="4"/>
    </row>
    <row r="16" spans="1:8" ht="29" x14ac:dyDescent="0.35">
      <c r="A16" s="4" t="s">
        <v>50</v>
      </c>
      <c r="B16" s="8">
        <v>114</v>
      </c>
      <c r="C16" s="4" t="s">
        <v>31</v>
      </c>
      <c r="D16" s="4" t="s">
        <v>51</v>
      </c>
      <c r="E16" s="4" t="s">
        <v>52</v>
      </c>
      <c r="F16" s="4" t="s">
        <v>34</v>
      </c>
      <c r="G16" s="4" t="s">
        <v>16</v>
      </c>
      <c r="H16" s="4"/>
    </row>
    <row r="17" spans="1:8" ht="29" x14ac:dyDescent="0.35">
      <c r="A17" s="4" t="s">
        <v>53</v>
      </c>
      <c r="B17" s="8">
        <v>124</v>
      </c>
      <c r="C17" s="4" t="s">
        <v>31</v>
      </c>
      <c r="D17" s="4" t="s">
        <v>54</v>
      </c>
      <c r="E17" s="4" t="s">
        <v>55</v>
      </c>
      <c r="F17" s="4" t="s">
        <v>34</v>
      </c>
      <c r="G17" s="4" t="s">
        <v>16</v>
      </c>
      <c r="H17" s="4"/>
    </row>
    <row r="18" spans="1:8" x14ac:dyDescent="0.35">
      <c r="A18" s="4" t="s">
        <v>56</v>
      </c>
      <c r="B18" s="8">
        <v>34</v>
      </c>
      <c r="C18" s="4" t="s">
        <v>31</v>
      </c>
      <c r="D18" s="4" t="s">
        <v>57</v>
      </c>
      <c r="E18" s="4" t="s">
        <v>58</v>
      </c>
      <c r="F18" s="4" t="s">
        <v>34</v>
      </c>
      <c r="G18" s="4" t="s">
        <v>16</v>
      </c>
      <c r="H18" s="4"/>
    </row>
    <row r="19" spans="1:8" x14ac:dyDescent="0.35">
      <c r="A19" s="4" t="s">
        <v>59</v>
      </c>
      <c r="B19" s="8">
        <v>44</v>
      </c>
      <c r="C19" s="4" t="s">
        <v>31</v>
      </c>
      <c r="D19" s="4" t="s">
        <v>60</v>
      </c>
      <c r="E19" s="4" t="s">
        <v>61</v>
      </c>
      <c r="F19" s="4" t="s">
        <v>34</v>
      </c>
      <c r="G19" s="4" t="s">
        <v>16</v>
      </c>
      <c r="H19" s="4"/>
    </row>
    <row r="20" spans="1:8" x14ac:dyDescent="0.35">
      <c r="A20" s="1"/>
      <c r="B20" s="1"/>
      <c r="C20" s="1"/>
      <c r="D20" s="1"/>
      <c r="E20" s="1"/>
      <c r="F20" s="1"/>
      <c r="G20" s="1"/>
      <c r="H20" s="1"/>
    </row>
    <row r="21" spans="1:8" x14ac:dyDescent="0.35">
      <c r="A21" s="1"/>
      <c r="B21" s="1"/>
      <c r="C21" s="1"/>
      <c r="D21" s="1"/>
      <c r="E21" s="1"/>
      <c r="F21" s="1"/>
      <c r="G21" s="1"/>
      <c r="H21" s="1"/>
    </row>
    <row r="22" spans="1:8" x14ac:dyDescent="0.35">
      <c r="A22" s="20" t="s">
        <v>62</v>
      </c>
      <c r="B22" s="21"/>
      <c r="C22" s="21"/>
      <c r="D22" s="21"/>
      <c r="E22" s="21"/>
      <c r="F22" s="21"/>
      <c r="G22" s="21"/>
      <c r="H22" s="21"/>
    </row>
    <row r="23" spans="1:8" x14ac:dyDescent="0.35">
      <c r="A23" s="24" t="s">
        <v>209</v>
      </c>
      <c r="B23" s="21"/>
      <c r="C23" s="21"/>
      <c r="D23" s="21"/>
      <c r="E23" s="21"/>
      <c r="F23" s="21"/>
      <c r="G23" s="21"/>
      <c r="H23" s="21"/>
    </row>
    <row r="24" spans="1:8" x14ac:dyDescent="0.35">
      <c r="A24" s="21"/>
      <c r="B24" s="21"/>
      <c r="C24" s="21"/>
      <c r="D24" s="21"/>
      <c r="E24" s="21"/>
      <c r="F24" s="21"/>
      <c r="G24" s="21"/>
      <c r="H24" s="21"/>
    </row>
    <row r="25" spans="1:8" x14ac:dyDescent="0.35">
      <c r="A25" s="21"/>
      <c r="B25" s="21"/>
      <c r="C25" s="21"/>
      <c r="D25" s="21"/>
      <c r="E25" s="21"/>
      <c r="F25" s="21"/>
      <c r="G25" s="21"/>
      <c r="H25" s="21"/>
    </row>
  </sheetData>
  <mergeCells count="4">
    <mergeCell ref="A4:H4"/>
    <mergeCell ref="A23:H25"/>
    <mergeCell ref="A22:H2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showGridLines="0" workbookViewId="0">
      <pane ySplit="4" topLeftCell="A8" activePane="bottomLeft" state="frozen"/>
      <selection pane="bottomLeft" activeCell="E11" sqref="E11"/>
    </sheetView>
  </sheetViews>
  <sheetFormatPr baseColWidth="10" defaultColWidth="8.7265625" defaultRowHeight="14.5" x14ac:dyDescent="0.35"/>
  <cols>
    <col min="1" max="1" width="28" customWidth="1"/>
    <col min="2" max="2" width="18" customWidth="1"/>
    <col min="3" max="3" width="16" customWidth="1"/>
    <col min="4" max="4" width="87.453125" bestFit="1" customWidth="1"/>
    <col min="5" max="5" width="40" customWidth="1"/>
    <col min="6" max="6" width="18" customWidth="1"/>
    <col min="7" max="7" width="16" customWidth="1"/>
    <col min="8" max="8" width="32" customWidth="1"/>
    <col min="9" max="9" width="16" customWidth="1"/>
    <col min="10" max="12" width="4" customWidth="1"/>
  </cols>
  <sheetData>
    <row r="1" spans="1:8" ht="28" customHeight="1" x14ac:dyDescent="0.35">
      <c r="A1" s="23" t="s">
        <v>63</v>
      </c>
      <c r="B1" s="21"/>
      <c r="C1" s="21"/>
      <c r="D1" s="21"/>
      <c r="E1" s="21"/>
      <c r="F1" s="21"/>
      <c r="G1" s="21"/>
      <c r="H1" s="21"/>
    </row>
    <row r="2" spans="1:8" ht="39" x14ac:dyDescent="0.35">
      <c r="A2" s="2" t="s">
        <v>1</v>
      </c>
      <c r="B2" s="1"/>
      <c r="C2" s="1"/>
      <c r="D2" s="1"/>
      <c r="E2" s="1"/>
      <c r="F2" s="1"/>
      <c r="G2" s="1"/>
      <c r="H2" s="1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x14ac:dyDescent="0.35">
      <c r="A4" s="22" t="s">
        <v>64</v>
      </c>
      <c r="B4" s="21"/>
      <c r="C4" s="21"/>
      <c r="D4" s="21"/>
      <c r="E4" s="21"/>
      <c r="F4" s="21"/>
      <c r="G4" s="1"/>
      <c r="H4" s="1"/>
    </row>
    <row r="5" spans="1:8" x14ac:dyDescent="0.35">
      <c r="A5" s="9" t="s">
        <v>65</v>
      </c>
      <c r="B5" s="9" t="s">
        <v>4</v>
      </c>
      <c r="C5" s="9" t="s">
        <v>5</v>
      </c>
      <c r="D5" s="9" t="s">
        <v>66</v>
      </c>
      <c r="E5" s="9" t="s">
        <v>67</v>
      </c>
      <c r="F5" s="9" t="s">
        <v>8</v>
      </c>
      <c r="G5" s="3"/>
      <c r="H5" s="3"/>
    </row>
    <row r="6" spans="1:8" x14ac:dyDescent="0.35">
      <c r="A6" s="4" t="s">
        <v>68</v>
      </c>
      <c r="B6" s="10">
        <v>80</v>
      </c>
      <c r="C6" s="4" t="s">
        <v>69</v>
      </c>
      <c r="D6" s="4" t="s">
        <v>70</v>
      </c>
      <c r="E6" s="4" t="s">
        <v>71</v>
      </c>
      <c r="F6" s="4" t="s">
        <v>72</v>
      </c>
      <c r="G6" s="1"/>
      <c r="H6" s="1"/>
    </row>
    <row r="7" spans="1:8" x14ac:dyDescent="0.35">
      <c r="A7" s="4" t="s">
        <v>73</v>
      </c>
      <c r="B7" s="10">
        <v>55</v>
      </c>
      <c r="C7" s="4" t="s">
        <v>74</v>
      </c>
      <c r="D7" s="4" t="s">
        <v>75</v>
      </c>
      <c r="E7" s="4" t="s">
        <v>76</v>
      </c>
      <c r="F7" s="4" t="s">
        <v>72</v>
      </c>
      <c r="G7" s="1"/>
      <c r="H7" s="1"/>
    </row>
    <row r="8" spans="1:8" x14ac:dyDescent="0.35">
      <c r="A8" s="4" t="s">
        <v>77</v>
      </c>
      <c r="B8" s="10">
        <v>1450</v>
      </c>
      <c r="C8" s="4" t="s">
        <v>78</v>
      </c>
      <c r="D8" s="4" t="s">
        <v>79</v>
      </c>
      <c r="E8" s="4" t="s">
        <v>80</v>
      </c>
      <c r="F8" s="4" t="s">
        <v>72</v>
      </c>
      <c r="G8" s="1"/>
      <c r="H8" s="1"/>
    </row>
    <row r="9" spans="1:8" x14ac:dyDescent="0.35">
      <c r="A9" s="4" t="s">
        <v>81</v>
      </c>
      <c r="B9" s="10">
        <v>10</v>
      </c>
      <c r="C9" s="4" t="s">
        <v>82</v>
      </c>
      <c r="D9" s="4" t="s">
        <v>83</v>
      </c>
      <c r="E9" s="4" t="s">
        <v>76</v>
      </c>
      <c r="F9" s="4" t="s">
        <v>72</v>
      </c>
      <c r="G9" s="1"/>
      <c r="H9" s="1"/>
    </row>
    <row r="10" spans="1:8" x14ac:dyDescent="0.35">
      <c r="A10" s="4" t="s">
        <v>84</v>
      </c>
      <c r="B10" s="10">
        <v>45</v>
      </c>
      <c r="C10" s="4" t="s">
        <v>85</v>
      </c>
      <c r="D10" s="4" t="s">
        <v>86</v>
      </c>
      <c r="E10" s="4" t="s">
        <v>80</v>
      </c>
      <c r="F10" s="4" t="s">
        <v>72</v>
      </c>
      <c r="G10" s="1"/>
      <c r="H10" s="1"/>
    </row>
    <row r="11" spans="1:8" x14ac:dyDescent="0.35">
      <c r="A11" s="4" t="s">
        <v>87</v>
      </c>
      <c r="B11" s="10">
        <v>220</v>
      </c>
      <c r="C11" s="4" t="s">
        <v>88</v>
      </c>
      <c r="D11" s="4" t="s">
        <v>89</v>
      </c>
      <c r="E11" s="4" t="s">
        <v>80</v>
      </c>
      <c r="F11" s="4" t="s">
        <v>72</v>
      </c>
      <c r="G11" s="1"/>
      <c r="H11" s="1"/>
    </row>
    <row r="12" spans="1:8" x14ac:dyDescent="0.35">
      <c r="A12" s="4" t="s">
        <v>90</v>
      </c>
      <c r="B12" s="5">
        <v>60000</v>
      </c>
      <c r="C12" s="4" t="s">
        <v>91</v>
      </c>
      <c r="D12" s="4" t="s">
        <v>92</v>
      </c>
      <c r="E12" s="4" t="s">
        <v>14</v>
      </c>
      <c r="F12" s="4" t="s">
        <v>15</v>
      </c>
      <c r="G12" s="1"/>
      <c r="H12" s="1"/>
    </row>
    <row r="13" spans="1:8" ht="29" x14ac:dyDescent="0.35">
      <c r="A13" s="4" t="s">
        <v>93</v>
      </c>
      <c r="B13" s="10">
        <v>6300</v>
      </c>
      <c r="C13" s="4" t="s">
        <v>94</v>
      </c>
      <c r="D13" s="4" t="s">
        <v>95</v>
      </c>
      <c r="E13" s="4" t="s">
        <v>80</v>
      </c>
      <c r="F13" s="4" t="s">
        <v>72</v>
      </c>
      <c r="G13" s="1"/>
      <c r="H13" s="1"/>
    </row>
    <row r="14" spans="1:8" x14ac:dyDescent="0.35">
      <c r="A14" s="4" t="s">
        <v>45</v>
      </c>
      <c r="B14" s="11">
        <v>0.15</v>
      </c>
      <c r="C14" s="4" t="s">
        <v>96</v>
      </c>
      <c r="D14" s="4" t="s">
        <v>97</v>
      </c>
      <c r="E14" s="4" t="s">
        <v>80</v>
      </c>
      <c r="F14" s="4" t="s">
        <v>72</v>
      </c>
      <c r="G14" s="1"/>
      <c r="H14" s="1"/>
    </row>
    <row r="15" spans="1:8" x14ac:dyDescent="0.35">
      <c r="A15" s="4" t="s">
        <v>48</v>
      </c>
      <c r="B15" s="11">
        <v>0.25</v>
      </c>
      <c r="C15" s="4" t="s">
        <v>96</v>
      </c>
      <c r="D15" s="4" t="s">
        <v>97</v>
      </c>
      <c r="E15" s="4" t="s">
        <v>80</v>
      </c>
      <c r="F15" s="4" t="s">
        <v>72</v>
      </c>
      <c r="G15" s="1"/>
      <c r="H15" s="1"/>
    </row>
    <row r="16" spans="1:8" x14ac:dyDescent="0.35">
      <c r="A16" s="1"/>
      <c r="B16" s="1"/>
      <c r="C16" s="1"/>
      <c r="D16" s="1"/>
      <c r="E16" s="1"/>
      <c r="F16" s="1"/>
      <c r="G16" s="1"/>
      <c r="H16" s="1"/>
    </row>
    <row r="17" spans="1:8" x14ac:dyDescent="0.35">
      <c r="A17" s="1"/>
      <c r="B17" s="1"/>
      <c r="C17" s="1"/>
      <c r="D17" s="1"/>
      <c r="E17" s="1"/>
      <c r="F17" s="1"/>
      <c r="G17" s="1"/>
      <c r="H17" s="1"/>
    </row>
    <row r="18" spans="1:8" x14ac:dyDescent="0.35">
      <c r="A18" s="20" t="s">
        <v>98</v>
      </c>
      <c r="B18" s="21"/>
      <c r="C18" s="21"/>
      <c r="D18" s="21"/>
      <c r="E18" s="21"/>
      <c r="F18" s="21"/>
      <c r="G18" s="1"/>
      <c r="H18" s="1"/>
    </row>
    <row r="19" spans="1:8" x14ac:dyDescent="0.35">
      <c r="A19" s="9" t="s">
        <v>67</v>
      </c>
      <c r="B19" s="9" t="s">
        <v>99</v>
      </c>
      <c r="C19" s="9" t="s">
        <v>100</v>
      </c>
      <c r="D19" s="9" t="s">
        <v>101</v>
      </c>
      <c r="E19" s="9" t="s">
        <v>102</v>
      </c>
      <c r="F19" s="9" t="s">
        <v>103</v>
      </c>
      <c r="G19" s="3"/>
      <c r="H19" s="3"/>
    </row>
    <row r="20" spans="1:8" ht="108.5" x14ac:dyDescent="0.35">
      <c r="A20" s="4" t="s">
        <v>104</v>
      </c>
      <c r="B20" s="4" t="s">
        <v>105</v>
      </c>
      <c r="C20" s="12" t="s">
        <v>106</v>
      </c>
      <c r="D20" s="4" t="s">
        <v>107</v>
      </c>
      <c r="E20" s="4" t="s">
        <v>108</v>
      </c>
      <c r="F20" s="4" t="s">
        <v>109</v>
      </c>
      <c r="G20" s="1"/>
      <c r="H20" s="1"/>
    </row>
    <row r="21" spans="1:8" ht="77.5" x14ac:dyDescent="0.35">
      <c r="A21" s="4" t="s">
        <v>110</v>
      </c>
      <c r="B21" s="4" t="s">
        <v>111</v>
      </c>
      <c r="C21" s="12" t="s">
        <v>112</v>
      </c>
      <c r="D21" s="4" t="s">
        <v>113</v>
      </c>
      <c r="E21" s="4" t="s">
        <v>114</v>
      </c>
      <c r="F21" s="4" t="s">
        <v>115</v>
      </c>
      <c r="G21" s="1"/>
      <c r="H21" s="1"/>
    </row>
    <row r="22" spans="1:8" ht="43.5" x14ac:dyDescent="0.35">
      <c r="A22" s="4" t="s">
        <v>14</v>
      </c>
      <c r="B22" s="4" t="s">
        <v>116</v>
      </c>
      <c r="C22" s="4" t="s">
        <v>117</v>
      </c>
      <c r="D22" s="4" t="s">
        <v>118</v>
      </c>
      <c r="E22" s="4" t="s">
        <v>119</v>
      </c>
      <c r="F22" s="4" t="s">
        <v>120</v>
      </c>
      <c r="G22" s="1"/>
      <c r="H22" s="1"/>
    </row>
    <row r="23" spans="1:8" ht="43.5" x14ac:dyDescent="0.35">
      <c r="A23" s="4" t="s">
        <v>28</v>
      </c>
      <c r="B23" s="4" t="s">
        <v>121</v>
      </c>
      <c r="C23" s="4" t="s">
        <v>117</v>
      </c>
      <c r="D23" s="4" t="s">
        <v>122</v>
      </c>
      <c r="E23" s="4" t="s">
        <v>123</v>
      </c>
      <c r="F23" s="4" t="s">
        <v>120</v>
      </c>
      <c r="G23" s="1"/>
      <c r="H23" s="1"/>
    </row>
  </sheetData>
  <mergeCells count="3">
    <mergeCell ref="A18:F18"/>
    <mergeCell ref="A4:F4"/>
    <mergeCell ref="A1:H1"/>
  </mergeCells>
  <hyperlinks>
    <hyperlink ref="C20" r:id="rId1" xr:uid="{00000000-0004-0000-0100-000000000000}"/>
    <hyperlink ref="C21" r:id="rId2" xr:uid="{00000000-0004-0000-0100-000001000000}"/>
  </hyperlinks>
  <pageMargins left="0.75" right="0.75" top="1" bottom="1" header="0.5" footer="0.5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showGridLines="0" tabSelected="1" workbookViewId="0">
      <pane ySplit="4" topLeftCell="A5" activePane="bottomLeft" state="frozen"/>
      <selection pane="bottomLeft" activeCell="A27" sqref="A27"/>
    </sheetView>
  </sheetViews>
  <sheetFormatPr baseColWidth="10" defaultColWidth="8.7265625" defaultRowHeight="14.5" x14ac:dyDescent="0.35"/>
  <cols>
    <col min="1" max="1" width="28" customWidth="1"/>
    <col min="2" max="2" width="18" customWidth="1"/>
    <col min="3" max="3" width="16" customWidth="1"/>
    <col min="4" max="4" width="32" customWidth="1"/>
    <col min="5" max="5" width="40" customWidth="1"/>
    <col min="6" max="6" width="18" customWidth="1"/>
    <col min="7" max="7" width="16" customWidth="1"/>
    <col min="8" max="8" width="32" customWidth="1"/>
    <col min="9" max="9" width="16" customWidth="1"/>
    <col min="10" max="12" width="4" customWidth="1"/>
  </cols>
  <sheetData>
    <row r="1" spans="1:8" ht="28" customHeight="1" x14ac:dyDescent="0.35">
      <c r="A1" s="23" t="s">
        <v>124</v>
      </c>
      <c r="B1" s="21"/>
      <c r="C1" s="21"/>
      <c r="D1" s="21"/>
      <c r="E1" s="21"/>
      <c r="F1" s="21"/>
      <c r="G1" s="21"/>
      <c r="H1" s="21"/>
    </row>
    <row r="2" spans="1:8" ht="39" x14ac:dyDescent="0.35">
      <c r="A2" s="2" t="s">
        <v>1</v>
      </c>
      <c r="B2" s="1"/>
      <c r="C2" s="1"/>
      <c r="D2" s="1"/>
      <c r="E2" s="1"/>
      <c r="F2" s="1"/>
      <c r="G2" s="1"/>
      <c r="H2" s="1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x14ac:dyDescent="0.35">
      <c r="A4" s="22" t="s">
        <v>125</v>
      </c>
      <c r="B4" s="21"/>
      <c r="C4" s="21"/>
      <c r="D4" s="21"/>
      <c r="E4" s="1"/>
      <c r="F4" s="1"/>
      <c r="G4" s="1"/>
      <c r="H4" s="1"/>
    </row>
    <row r="5" spans="1:8" x14ac:dyDescent="0.35">
      <c r="A5" s="9" t="s">
        <v>126</v>
      </c>
      <c r="B5" s="9" t="s">
        <v>127</v>
      </c>
      <c r="C5" s="9" t="s">
        <v>67</v>
      </c>
      <c r="D5" s="9" t="s">
        <v>10</v>
      </c>
      <c r="E5" s="3"/>
      <c r="F5" s="3"/>
      <c r="G5" s="3"/>
      <c r="H5" s="3"/>
    </row>
    <row r="6" spans="1:8" ht="29" x14ac:dyDescent="0.35">
      <c r="A6" s="4" t="s">
        <v>128</v>
      </c>
      <c r="B6" s="5">
        <v>430</v>
      </c>
      <c r="C6" s="4" t="s">
        <v>14</v>
      </c>
      <c r="D6" s="4" t="s">
        <v>129</v>
      </c>
      <c r="E6" s="1"/>
      <c r="F6" s="1"/>
      <c r="G6" s="1"/>
      <c r="H6" s="1"/>
    </row>
    <row r="7" spans="1:8" ht="29" x14ac:dyDescent="0.35">
      <c r="A7" s="4" t="s">
        <v>130</v>
      </c>
      <c r="B7" s="5">
        <v>92</v>
      </c>
      <c r="C7" s="4" t="s">
        <v>14</v>
      </c>
      <c r="D7" s="4" t="s">
        <v>129</v>
      </c>
      <c r="E7" s="1"/>
      <c r="F7" s="1"/>
      <c r="G7" s="1"/>
      <c r="H7" s="1"/>
    </row>
    <row r="8" spans="1:8" ht="29" x14ac:dyDescent="0.35">
      <c r="A8" s="4" t="s">
        <v>131</v>
      </c>
      <c r="B8" s="5">
        <v>264</v>
      </c>
      <c r="C8" s="4" t="s">
        <v>14</v>
      </c>
      <c r="D8" s="4" t="s">
        <v>129</v>
      </c>
      <c r="E8" s="1"/>
      <c r="F8" s="1"/>
      <c r="G8" s="1"/>
      <c r="H8" s="1"/>
    </row>
    <row r="9" spans="1:8" ht="29" x14ac:dyDescent="0.35">
      <c r="A9" s="4" t="s">
        <v>132</v>
      </c>
      <c r="B9" s="5">
        <v>58</v>
      </c>
      <c r="C9" s="4" t="s">
        <v>14</v>
      </c>
      <c r="D9" s="4" t="s">
        <v>129</v>
      </c>
      <c r="E9" s="1"/>
      <c r="F9" s="1"/>
      <c r="G9" s="1"/>
      <c r="H9" s="1"/>
    </row>
    <row r="10" spans="1:8" ht="29" x14ac:dyDescent="0.35">
      <c r="A10" s="4" t="s">
        <v>133</v>
      </c>
      <c r="B10" s="5">
        <v>290</v>
      </c>
      <c r="C10" s="4" t="s">
        <v>14</v>
      </c>
      <c r="D10" s="4" t="s">
        <v>129</v>
      </c>
      <c r="E10" s="1"/>
      <c r="F10" s="1"/>
      <c r="G10" s="1"/>
      <c r="H10" s="1"/>
    </row>
    <row r="11" spans="1:8" ht="29" x14ac:dyDescent="0.35">
      <c r="A11" s="4" t="s">
        <v>134</v>
      </c>
      <c r="B11" s="5">
        <v>74</v>
      </c>
      <c r="C11" s="4" t="s">
        <v>14</v>
      </c>
      <c r="D11" s="4" t="s">
        <v>129</v>
      </c>
      <c r="E11" s="1"/>
      <c r="F11" s="1"/>
      <c r="G11" s="1"/>
      <c r="H11" s="1"/>
    </row>
    <row r="12" spans="1:8" ht="29" x14ac:dyDescent="0.35">
      <c r="A12" s="4" t="s">
        <v>135</v>
      </c>
      <c r="B12" s="5">
        <v>355</v>
      </c>
      <c r="C12" s="4" t="s">
        <v>14</v>
      </c>
      <c r="D12" s="4" t="s">
        <v>129</v>
      </c>
      <c r="E12" s="1"/>
      <c r="F12" s="1"/>
      <c r="G12" s="1"/>
      <c r="H12" s="1"/>
    </row>
    <row r="13" spans="1:8" ht="29" x14ac:dyDescent="0.35">
      <c r="A13" s="4" t="s">
        <v>136</v>
      </c>
      <c r="B13" s="5">
        <v>386</v>
      </c>
      <c r="C13" s="4" t="s">
        <v>14</v>
      </c>
      <c r="D13" s="4" t="s">
        <v>129</v>
      </c>
      <c r="E13" s="1"/>
      <c r="F13" s="1"/>
      <c r="G13" s="1"/>
      <c r="H13" s="1"/>
    </row>
    <row r="14" spans="1:8" ht="29" x14ac:dyDescent="0.35">
      <c r="A14" s="4" t="s">
        <v>137</v>
      </c>
      <c r="B14" s="5">
        <v>94</v>
      </c>
      <c r="C14" s="4" t="s">
        <v>14</v>
      </c>
      <c r="D14" s="4" t="s">
        <v>129</v>
      </c>
      <c r="E14" s="1"/>
      <c r="F14" s="1"/>
      <c r="G14" s="1"/>
      <c r="H14" s="1"/>
    </row>
    <row r="15" spans="1:8" x14ac:dyDescent="0.35">
      <c r="A15" s="13" t="s">
        <v>138</v>
      </c>
      <c r="B15" s="13">
        <f>SUM(B6:B14)</f>
        <v>2043</v>
      </c>
      <c r="C15" s="13" t="s">
        <v>34</v>
      </c>
      <c r="D15" s="13" t="s">
        <v>139</v>
      </c>
      <c r="E15" s="1"/>
      <c r="F15" s="1"/>
      <c r="G15" s="1"/>
      <c r="H15" s="1"/>
    </row>
    <row r="16" spans="1:8" x14ac:dyDescent="0.35">
      <c r="A16" s="1"/>
      <c r="B16" s="1"/>
      <c r="C16" s="1"/>
      <c r="D16" s="1"/>
      <c r="E16" s="1"/>
      <c r="F16" s="1"/>
      <c r="G16" s="1"/>
      <c r="H16" s="1"/>
    </row>
    <row r="17" spans="1:8" x14ac:dyDescent="0.35">
      <c r="A17" s="20" t="s">
        <v>140</v>
      </c>
      <c r="B17" s="21"/>
      <c r="C17" s="21"/>
      <c r="D17" s="21"/>
      <c r="E17" s="21"/>
      <c r="F17" s="1"/>
      <c r="G17" s="1"/>
      <c r="H17" s="1"/>
    </row>
    <row r="18" spans="1:8" x14ac:dyDescent="0.35">
      <c r="A18" s="9" t="s">
        <v>141</v>
      </c>
      <c r="B18" s="9" t="s">
        <v>142</v>
      </c>
      <c r="C18" s="9" t="s">
        <v>143</v>
      </c>
      <c r="D18" s="9" t="s">
        <v>144</v>
      </c>
      <c r="E18" s="9" t="s">
        <v>10</v>
      </c>
      <c r="F18" s="3"/>
      <c r="G18" s="3"/>
      <c r="H18" s="3"/>
    </row>
    <row r="19" spans="1:8" x14ac:dyDescent="0.35">
      <c r="A19" s="4" t="s">
        <v>145</v>
      </c>
      <c r="B19" s="5">
        <v>418</v>
      </c>
      <c r="C19" s="10">
        <v>12</v>
      </c>
      <c r="D19" s="14">
        <f>B19/C19</f>
        <v>34.833333333333336</v>
      </c>
      <c r="E19" s="4" t="s">
        <v>146</v>
      </c>
      <c r="F19" s="1"/>
      <c r="G19" s="1"/>
      <c r="H19" s="1"/>
    </row>
    <row r="20" spans="1:8" x14ac:dyDescent="0.35">
      <c r="A20" s="4" t="s">
        <v>147</v>
      </c>
      <c r="B20" s="5">
        <v>275</v>
      </c>
      <c r="C20" s="10">
        <v>20</v>
      </c>
      <c r="D20" s="14">
        <f>B20/C20</f>
        <v>13.75</v>
      </c>
      <c r="E20" s="4" t="s">
        <v>148</v>
      </c>
      <c r="F20" s="1"/>
      <c r="G20" s="1"/>
      <c r="H20" s="1"/>
    </row>
    <row r="21" spans="1:8" x14ac:dyDescent="0.35">
      <c r="A21" s="4" t="s">
        <v>149</v>
      </c>
      <c r="B21" s="5">
        <v>1200</v>
      </c>
      <c r="C21" s="10">
        <v>35</v>
      </c>
      <c r="D21" s="14">
        <f>B21/C21</f>
        <v>34.285714285714285</v>
      </c>
      <c r="E21" s="4" t="s">
        <v>150</v>
      </c>
      <c r="F21" s="1"/>
      <c r="G21" s="1"/>
      <c r="H21" s="1"/>
    </row>
    <row r="22" spans="1:8" x14ac:dyDescent="0.35">
      <c r="A22" s="4" t="s">
        <v>151</v>
      </c>
      <c r="B22" s="5">
        <v>150</v>
      </c>
      <c r="C22" s="10">
        <v>60</v>
      </c>
      <c r="D22" s="14">
        <f>B22/C22</f>
        <v>2.5</v>
      </c>
      <c r="E22" s="4" t="s">
        <v>152</v>
      </c>
      <c r="F22" s="1"/>
      <c r="G22" s="1"/>
      <c r="H22" s="1"/>
    </row>
    <row r="23" spans="1:8" x14ac:dyDescent="0.35">
      <c r="A23" s="13" t="s">
        <v>153</v>
      </c>
      <c r="B23" s="13">
        <f>SUM(B19:B22)</f>
        <v>2043</v>
      </c>
      <c r="C23" s="1"/>
      <c r="D23" s="13">
        <f>SUM(D19:D22)</f>
        <v>85.36904761904762</v>
      </c>
      <c r="E23" s="1"/>
      <c r="F23" s="1"/>
      <c r="G23" s="1"/>
      <c r="H23" s="1"/>
    </row>
  </sheetData>
  <mergeCells count="3">
    <mergeCell ref="A4:D4"/>
    <mergeCell ref="A17:E17"/>
    <mergeCell ref="A1:H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showGridLines="0" workbookViewId="0">
      <pane ySplit="4" topLeftCell="A6" activePane="bottomLeft" state="frozen"/>
      <selection pane="bottomLeft" activeCell="D21" sqref="D21"/>
    </sheetView>
  </sheetViews>
  <sheetFormatPr baseColWidth="10" defaultColWidth="8.7265625" defaultRowHeight="14.5" x14ac:dyDescent="0.35"/>
  <cols>
    <col min="1" max="1" width="28" customWidth="1"/>
    <col min="2" max="2" width="18" customWidth="1"/>
    <col min="3" max="3" width="16" customWidth="1"/>
    <col min="4" max="4" width="32" customWidth="1"/>
    <col min="5" max="5" width="40" customWidth="1"/>
    <col min="6" max="6" width="18" customWidth="1"/>
    <col min="7" max="7" width="16" customWidth="1"/>
    <col min="8" max="8" width="32" customWidth="1"/>
    <col min="9" max="9" width="16" customWidth="1"/>
    <col min="10" max="12" width="4" customWidth="1"/>
  </cols>
  <sheetData>
    <row r="1" spans="1:8" ht="28" customHeight="1" x14ac:dyDescent="0.35">
      <c r="A1" s="23" t="s">
        <v>154</v>
      </c>
      <c r="B1" s="21"/>
      <c r="C1" s="21"/>
      <c r="D1" s="21"/>
      <c r="E1" s="21"/>
      <c r="F1" s="21"/>
      <c r="G1" s="21"/>
      <c r="H1" s="21"/>
    </row>
    <row r="2" spans="1:8" ht="39" x14ac:dyDescent="0.35">
      <c r="A2" s="2" t="s">
        <v>1</v>
      </c>
      <c r="B2" s="1"/>
      <c r="C2" s="1"/>
      <c r="D2" s="1"/>
      <c r="E2" s="1"/>
      <c r="F2" s="1"/>
      <c r="G2" s="1"/>
      <c r="H2" s="1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x14ac:dyDescent="0.35">
      <c r="A4" s="22" t="s">
        <v>155</v>
      </c>
      <c r="B4" s="21"/>
      <c r="C4" s="21"/>
      <c r="D4" s="21"/>
      <c r="E4" s="21"/>
      <c r="F4" s="21"/>
      <c r="G4" s="21"/>
      <c r="H4" s="21"/>
    </row>
    <row r="5" spans="1:8" x14ac:dyDescent="0.35">
      <c r="A5" s="9" t="s">
        <v>156</v>
      </c>
      <c r="B5" s="9" t="s">
        <v>145</v>
      </c>
      <c r="C5" s="9" t="s">
        <v>147</v>
      </c>
      <c r="D5" s="9" t="s">
        <v>149</v>
      </c>
      <c r="E5" s="9" t="s">
        <v>151</v>
      </c>
      <c r="F5" s="9" t="s">
        <v>157</v>
      </c>
      <c r="G5" s="9" t="s">
        <v>144</v>
      </c>
      <c r="H5" s="9" t="s">
        <v>10</v>
      </c>
    </row>
    <row r="6" spans="1:8" ht="29" x14ac:dyDescent="0.35">
      <c r="A6" s="4" t="s">
        <v>158</v>
      </c>
      <c r="B6" s="15">
        <v>117</v>
      </c>
      <c r="C6" s="15">
        <v>19</v>
      </c>
      <c r="D6" s="15">
        <v>6</v>
      </c>
      <c r="E6" s="15">
        <v>29</v>
      </c>
      <c r="F6" s="15">
        <v>0</v>
      </c>
      <c r="G6" s="4">
        <f>B6/12+C6/20+D6/35+E6/60+F6/12</f>
        <v>11.354761904761903</v>
      </c>
      <c r="H6" s="4" t="s">
        <v>159</v>
      </c>
    </row>
    <row r="7" spans="1:8" ht="29" x14ac:dyDescent="0.35">
      <c r="A7" s="4" t="s">
        <v>160</v>
      </c>
      <c r="B7" s="15">
        <v>65</v>
      </c>
      <c r="C7" s="15">
        <v>36</v>
      </c>
      <c r="D7" s="15">
        <v>38</v>
      </c>
      <c r="E7" s="15">
        <v>57</v>
      </c>
      <c r="F7" s="15">
        <v>0</v>
      </c>
      <c r="G7" s="4">
        <f t="shared" ref="G7:G12" si="0">B7/12+C7/20+D7/35+E7/60+F7/12</f>
        <v>9.2523809523809515</v>
      </c>
      <c r="H7" s="4" t="s">
        <v>159</v>
      </c>
    </row>
    <row r="8" spans="1:8" ht="29" x14ac:dyDescent="0.35">
      <c r="A8" s="4" t="s">
        <v>161</v>
      </c>
      <c r="B8" s="15">
        <v>14</v>
      </c>
      <c r="C8" s="15">
        <v>0</v>
      </c>
      <c r="D8" s="15">
        <v>0</v>
      </c>
      <c r="E8" s="15">
        <v>0</v>
      </c>
      <c r="F8" s="15">
        <v>14</v>
      </c>
      <c r="G8" s="4">
        <f t="shared" si="0"/>
        <v>2.3333333333333335</v>
      </c>
      <c r="H8" s="4" t="s">
        <v>159</v>
      </c>
    </row>
    <row r="9" spans="1:8" ht="29" x14ac:dyDescent="0.35">
      <c r="A9" s="4" t="s">
        <v>162</v>
      </c>
      <c r="B9" s="15">
        <v>17</v>
      </c>
      <c r="C9" s="15">
        <v>0</v>
      </c>
      <c r="D9" s="15">
        <v>0</v>
      </c>
      <c r="E9" s="15">
        <v>0</v>
      </c>
      <c r="F9" s="15">
        <v>17</v>
      </c>
      <c r="G9" s="4">
        <f t="shared" si="0"/>
        <v>2.8333333333333335</v>
      </c>
      <c r="H9" s="4" t="s">
        <v>159</v>
      </c>
    </row>
    <row r="10" spans="1:8" ht="29" x14ac:dyDescent="0.35">
      <c r="A10" s="4" t="s">
        <v>163</v>
      </c>
      <c r="B10" s="15">
        <v>15</v>
      </c>
      <c r="C10" s="15">
        <v>0</v>
      </c>
      <c r="D10" s="15">
        <v>0</v>
      </c>
      <c r="E10" s="15">
        <v>0</v>
      </c>
      <c r="F10" s="15">
        <v>15</v>
      </c>
      <c r="G10" s="4">
        <f t="shared" si="0"/>
        <v>2.5</v>
      </c>
      <c r="H10" s="4" t="s">
        <v>159</v>
      </c>
    </row>
    <row r="11" spans="1:8" ht="29" x14ac:dyDescent="0.35">
      <c r="A11" s="4" t="s">
        <v>164</v>
      </c>
      <c r="B11" s="15">
        <v>14</v>
      </c>
      <c r="C11" s="15">
        <v>0</v>
      </c>
      <c r="D11" s="15">
        <v>5</v>
      </c>
      <c r="E11" s="15">
        <v>17</v>
      </c>
      <c r="F11" s="15">
        <v>14</v>
      </c>
      <c r="G11" s="4">
        <f t="shared" si="0"/>
        <v>2.7595238095238095</v>
      </c>
      <c r="H11" s="4" t="s">
        <v>159</v>
      </c>
    </row>
    <row r="12" spans="1:8" ht="29" x14ac:dyDescent="0.35">
      <c r="A12" s="4" t="s">
        <v>165</v>
      </c>
      <c r="B12" s="15">
        <v>15</v>
      </c>
      <c r="C12" s="15">
        <v>3</v>
      </c>
      <c r="D12" s="15">
        <v>0</v>
      </c>
      <c r="E12" s="15">
        <v>0</v>
      </c>
      <c r="F12" s="15">
        <v>15</v>
      </c>
      <c r="G12" s="4">
        <f t="shared" si="0"/>
        <v>2.65</v>
      </c>
      <c r="H12" s="4" t="s">
        <v>159</v>
      </c>
    </row>
    <row r="13" spans="1:8" ht="29" x14ac:dyDescent="0.35">
      <c r="A13" s="4" t="s">
        <v>166</v>
      </c>
      <c r="B13" s="4"/>
      <c r="C13" s="4"/>
      <c r="D13" s="4"/>
      <c r="E13" s="4"/>
      <c r="F13" s="4"/>
      <c r="G13" s="4">
        <f>'02_Parque_Criticidad'!D23-SUM(G6:G12)</f>
        <v>51.68571428571429</v>
      </c>
      <c r="H13" s="4" t="s">
        <v>167</v>
      </c>
    </row>
    <row r="14" spans="1:8" ht="29" x14ac:dyDescent="0.35">
      <c r="A14" s="13" t="s">
        <v>168</v>
      </c>
      <c r="B14" s="1"/>
      <c r="C14" s="1"/>
      <c r="D14" s="1"/>
      <c r="E14" s="1"/>
      <c r="F14" s="1"/>
      <c r="G14" s="13">
        <f>SUM(G6:G13)</f>
        <v>85.36904761904762</v>
      </c>
      <c r="H14" s="13" t="s">
        <v>169</v>
      </c>
    </row>
  </sheetData>
  <mergeCells count="2">
    <mergeCell ref="A4:H4"/>
    <mergeCell ref="A1:H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showGridLines="0" workbookViewId="0">
      <pane ySplit="4" topLeftCell="A6" activePane="bottomLeft" state="frozen"/>
      <selection pane="bottomLeft" activeCell="B6" sqref="B6"/>
    </sheetView>
  </sheetViews>
  <sheetFormatPr baseColWidth="10" defaultColWidth="8.7265625" defaultRowHeight="14.5" x14ac:dyDescent="0.35"/>
  <cols>
    <col min="1" max="1" width="28" customWidth="1"/>
    <col min="2" max="2" width="18" customWidth="1"/>
    <col min="3" max="3" width="16" customWidth="1"/>
    <col min="4" max="4" width="32" customWidth="1"/>
    <col min="5" max="5" width="40" customWidth="1"/>
    <col min="6" max="6" width="18" customWidth="1"/>
    <col min="7" max="7" width="16" customWidth="1"/>
    <col min="8" max="8" width="32" customWidth="1"/>
    <col min="9" max="9" width="16" customWidth="1"/>
    <col min="10" max="12" width="4" customWidth="1"/>
  </cols>
  <sheetData>
    <row r="1" spans="1:9" ht="28" customHeight="1" x14ac:dyDescent="0.35">
      <c r="A1" s="23" t="s">
        <v>170</v>
      </c>
      <c r="B1" s="21"/>
      <c r="C1" s="21"/>
      <c r="D1" s="21"/>
      <c r="E1" s="21"/>
      <c r="F1" s="21"/>
      <c r="G1" s="21"/>
      <c r="H1" s="21"/>
      <c r="I1" s="1"/>
    </row>
    <row r="2" spans="1:9" ht="39" x14ac:dyDescent="0.35">
      <c r="A2" s="2" t="s">
        <v>1</v>
      </c>
      <c r="B2" s="1"/>
      <c r="C2" s="1"/>
      <c r="D2" s="1"/>
      <c r="E2" s="1"/>
      <c r="F2" s="1"/>
      <c r="G2" s="1"/>
      <c r="H2" s="1"/>
      <c r="I2" s="1"/>
    </row>
    <row r="3" spans="1:9" x14ac:dyDescent="0.35">
      <c r="A3" s="1"/>
      <c r="B3" s="1"/>
      <c r="C3" s="1"/>
      <c r="D3" s="1"/>
      <c r="E3" s="1"/>
      <c r="F3" s="1"/>
      <c r="G3" s="1"/>
      <c r="H3" s="1"/>
      <c r="I3" s="1"/>
    </row>
    <row r="4" spans="1:9" x14ac:dyDescent="0.35">
      <c r="A4" s="22" t="s">
        <v>171</v>
      </c>
      <c r="B4" s="21"/>
      <c r="C4" s="21"/>
      <c r="D4" s="21"/>
      <c r="E4" s="21"/>
      <c r="F4" s="21"/>
      <c r="G4" s="1"/>
      <c r="H4" s="1"/>
      <c r="I4" s="1"/>
    </row>
    <row r="5" spans="1:9" x14ac:dyDescent="0.35">
      <c r="A5" s="9" t="s">
        <v>172</v>
      </c>
      <c r="B5" s="9" t="s">
        <v>173</v>
      </c>
      <c r="C5" s="9" t="s">
        <v>5</v>
      </c>
      <c r="D5" s="9" t="s">
        <v>67</v>
      </c>
      <c r="E5" s="9" t="s">
        <v>10</v>
      </c>
      <c r="F5" s="9" t="s">
        <v>8</v>
      </c>
      <c r="G5" s="3"/>
      <c r="H5" s="19" t="s">
        <v>172</v>
      </c>
      <c r="I5" s="19" t="s">
        <v>31</v>
      </c>
    </row>
    <row r="6" spans="1:9" ht="29" x14ac:dyDescent="0.35">
      <c r="A6" s="4" t="s">
        <v>30</v>
      </c>
      <c r="B6" s="8">
        <f>'03_Secciones'!G14</f>
        <v>85.36904761904762</v>
      </c>
      <c r="C6" s="4" t="s">
        <v>31</v>
      </c>
      <c r="D6" s="4" t="s">
        <v>174</v>
      </c>
      <c r="E6" s="4" t="s">
        <v>175</v>
      </c>
      <c r="F6" s="4" t="s">
        <v>34</v>
      </c>
      <c r="G6" s="1"/>
      <c r="H6" s="4" t="s">
        <v>176</v>
      </c>
      <c r="I6" s="16">
        <f>B12</f>
        <v>114.20672301836095</v>
      </c>
    </row>
    <row r="7" spans="1:9" x14ac:dyDescent="0.35">
      <c r="A7" s="4" t="s">
        <v>35</v>
      </c>
      <c r="B7" s="8">
        <f>'01_Supuestos_Fuentes'!B12/'01_Supuestos_Fuentes'!B13</f>
        <v>9.5238095238095237</v>
      </c>
      <c r="C7" s="4" t="s">
        <v>31</v>
      </c>
      <c r="D7" s="4" t="s">
        <v>177</v>
      </c>
      <c r="E7" s="4" t="s">
        <v>178</v>
      </c>
      <c r="F7" s="4" t="s">
        <v>34</v>
      </c>
      <c r="G7" s="1"/>
      <c r="H7" s="4" t="s">
        <v>179</v>
      </c>
      <c r="I7" s="16">
        <f>B13</f>
        <v>123.69600873264665</v>
      </c>
    </row>
    <row r="8" spans="1:9" ht="29" x14ac:dyDescent="0.35">
      <c r="A8" s="4" t="s">
        <v>39</v>
      </c>
      <c r="B8" s="8">
        <f>'01_Supuestos_Fuentes'!B6*'01_Supuestos_Fuentes'!B7/'01_Supuestos_Fuentes'!B8</f>
        <v>3.0344827586206895</v>
      </c>
      <c r="C8" s="4" t="s">
        <v>31</v>
      </c>
      <c r="D8" s="4" t="s">
        <v>177</v>
      </c>
      <c r="E8" s="4" t="s">
        <v>180</v>
      </c>
      <c r="F8" s="4" t="s">
        <v>34</v>
      </c>
      <c r="G8" s="1"/>
      <c r="H8" s="4" t="s">
        <v>181</v>
      </c>
      <c r="I8" s="16">
        <f>B14</f>
        <v>80</v>
      </c>
    </row>
    <row r="9" spans="1:9" x14ac:dyDescent="0.35">
      <c r="A9" s="4" t="s">
        <v>42</v>
      </c>
      <c r="B9" s="8">
        <f>'01_Supuestos_Fuentes'!B9*'01_Supuestos_Fuentes'!B10/'01_Supuestos_Fuentes'!B11</f>
        <v>2.0454545454545454</v>
      </c>
      <c r="C9" s="4" t="s">
        <v>31</v>
      </c>
      <c r="D9" s="4" t="s">
        <v>177</v>
      </c>
      <c r="E9" s="4" t="s">
        <v>182</v>
      </c>
      <c r="F9" s="4" t="s">
        <v>34</v>
      </c>
      <c r="G9" s="1"/>
      <c r="H9" s="4" t="s">
        <v>183</v>
      </c>
      <c r="I9" s="16">
        <f>B15</f>
        <v>34.206723018360947</v>
      </c>
    </row>
    <row r="10" spans="1:9" ht="29" x14ac:dyDescent="0.35">
      <c r="A10" s="4" t="s">
        <v>45</v>
      </c>
      <c r="B10" s="8">
        <f>(B6+B7)*'01_Supuestos_Fuentes'!B14</f>
        <v>14.233928571428571</v>
      </c>
      <c r="C10" s="4" t="s">
        <v>31</v>
      </c>
      <c r="D10" s="4" t="s">
        <v>177</v>
      </c>
      <c r="E10" s="4" t="s">
        <v>184</v>
      </c>
      <c r="F10" s="4" t="s">
        <v>34</v>
      </c>
      <c r="G10" s="1"/>
      <c r="H10" s="4" t="s">
        <v>185</v>
      </c>
      <c r="I10" s="16">
        <f>B16</f>
        <v>43.696008732646646</v>
      </c>
    </row>
    <row r="11" spans="1:9" ht="29" x14ac:dyDescent="0.35">
      <c r="A11" s="4" t="s">
        <v>48</v>
      </c>
      <c r="B11" s="8">
        <f>(B6+B7)*'01_Supuestos_Fuentes'!B15</f>
        <v>23.723214285714285</v>
      </c>
      <c r="C11" s="4" t="s">
        <v>31</v>
      </c>
      <c r="D11" s="4" t="s">
        <v>177</v>
      </c>
      <c r="E11" s="4" t="s">
        <v>186</v>
      </c>
      <c r="F11" s="4" t="s">
        <v>34</v>
      </c>
      <c r="G11" s="1"/>
      <c r="H11" s="1"/>
      <c r="I11" s="1"/>
    </row>
    <row r="12" spans="1:9" ht="29" x14ac:dyDescent="0.35">
      <c r="A12" s="17" t="s">
        <v>50</v>
      </c>
      <c r="B12" s="18">
        <f>SUM(B6:B9)+B10</f>
        <v>114.20672301836095</v>
      </c>
      <c r="C12" s="17" t="s">
        <v>31</v>
      </c>
      <c r="D12" s="17" t="s">
        <v>187</v>
      </c>
      <c r="E12" s="17" t="s">
        <v>188</v>
      </c>
      <c r="F12" s="17" t="s">
        <v>34</v>
      </c>
      <c r="G12" s="1"/>
      <c r="H12" s="1"/>
      <c r="I12" s="1"/>
    </row>
    <row r="13" spans="1:9" ht="29" x14ac:dyDescent="0.35">
      <c r="A13" s="17" t="s">
        <v>53</v>
      </c>
      <c r="B13" s="18">
        <f>SUM(B6:B9)+B11</f>
        <v>123.69600873264665</v>
      </c>
      <c r="C13" s="17" t="s">
        <v>31</v>
      </c>
      <c r="D13" s="17" t="s">
        <v>187</v>
      </c>
      <c r="E13" s="17" t="s">
        <v>189</v>
      </c>
      <c r="F13" s="17" t="s">
        <v>34</v>
      </c>
      <c r="G13" s="1"/>
      <c r="H13" s="1"/>
      <c r="I13" s="1"/>
    </row>
    <row r="14" spans="1:9" x14ac:dyDescent="0.35">
      <c r="A14" s="4" t="s">
        <v>68</v>
      </c>
      <c r="B14" s="11">
        <f>'01_Supuestos_Fuentes'!B6</f>
        <v>80</v>
      </c>
      <c r="C14" s="4" t="s">
        <v>69</v>
      </c>
      <c r="D14" s="4" t="s">
        <v>190</v>
      </c>
      <c r="E14" s="4" t="s">
        <v>191</v>
      </c>
      <c r="F14" s="4" t="s">
        <v>72</v>
      </c>
      <c r="G14" s="1"/>
      <c r="H14" s="1"/>
      <c r="I14" s="1"/>
    </row>
    <row r="15" spans="1:9" x14ac:dyDescent="0.35">
      <c r="A15" s="17" t="s">
        <v>192</v>
      </c>
      <c r="B15" s="18">
        <f>B12-B14</f>
        <v>34.206723018360947</v>
      </c>
      <c r="C15" s="17" t="s">
        <v>31</v>
      </c>
      <c r="D15" s="17" t="s">
        <v>187</v>
      </c>
      <c r="E15" s="17" t="s">
        <v>193</v>
      </c>
      <c r="F15" s="17" t="s">
        <v>34</v>
      </c>
      <c r="G15" s="1"/>
      <c r="H15" s="1"/>
      <c r="I15" s="1"/>
    </row>
    <row r="16" spans="1:9" x14ac:dyDescent="0.35">
      <c r="A16" s="17" t="s">
        <v>194</v>
      </c>
      <c r="B16" s="18">
        <f>B13-B14</f>
        <v>43.696008732646646</v>
      </c>
      <c r="C16" s="17" t="s">
        <v>31</v>
      </c>
      <c r="D16" s="17" t="s">
        <v>187</v>
      </c>
      <c r="E16" s="17" t="s">
        <v>195</v>
      </c>
      <c r="F16" s="17" t="s">
        <v>34</v>
      </c>
      <c r="G16" s="1"/>
      <c r="H16" s="1"/>
      <c r="I16" s="1"/>
    </row>
  </sheetData>
  <mergeCells count="2">
    <mergeCell ref="A4:F4"/>
    <mergeCell ref="A1:H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showGridLines="0" workbookViewId="0">
      <pane ySplit="4" topLeftCell="A5" activePane="bottomLeft" state="frozen"/>
      <selection pane="bottomLeft" activeCell="B13" sqref="B13"/>
    </sheetView>
  </sheetViews>
  <sheetFormatPr baseColWidth="10" defaultColWidth="8.7265625" defaultRowHeight="14.5" x14ac:dyDescent="0.35"/>
  <cols>
    <col min="1" max="1" width="28" customWidth="1"/>
    <col min="2" max="2" width="18" customWidth="1"/>
    <col min="3" max="3" width="16" customWidth="1"/>
    <col min="4" max="4" width="32" customWidth="1"/>
    <col min="5" max="5" width="40" customWidth="1"/>
    <col min="6" max="6" width="18" customWidth="1"/>
    <col min="7" max="7" width="16" customWidth="1"/>
    <col min="8" max="8" width="32" customWidth="1"/>
    <col min="9" max="9" width="16" customWidth="1"/>
    <col min="10" max="12" width="4" customWidth="1"/>
  </cols>
  <sheetData>
    <row r="1" spans="1:8" ht="28" customHeight="1" x14ac:dyDescent="0.35">
      <c r="A1" s="23" t="s">
        <v>196</v>
      </c>
      <c r="B1" s="21"/>
      <c r="C1" s="21"/>
      <c r="D1" s="21"/>
      <c r="E1" s="21"/>
      <c r="F1" s="21"/>
      <c r="G1" s="21"/>
      <c r="H1" s="21"/>
    </row>
    <row r="2" spans="1:8" ht="39" x14ac:dyDescent="0.35">
      <c r="A2" s="2" t="s">
        <v>1</v>
      </c>
      <c r="B2" s="1"/>
      <c r="C2" s="1"/>
      <c r="D2" s="1"/>
      <c r="E2" s="1"/>
      <c r="F2" s="1"/>
      <c r="G2" s="1"/>
      <c r="H2" s="1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x14ac:dyDescent="0.35">
      <c r="A4" s="22" t="s">
        <v>197</v>
      </c>
      <c r="B4" s="21"/>
      <c r="C4" s="21"/>
      <c r="D4" s="21"/>
      <c r="E4" s="21"/>
      <c r="F4" s="21"/>
      <c r="G4" s="1"/>
      <c r="H4" s="1"/>
    </row>
    <row r="5" spans="1:8" x14ac:dyDescent="0.35">
      <c r="A5" s="9" t="s">
        <v>3</v>
      </c>
      <c r="B5" s="9" t="s">
        <v>4</v>
      </c>
      <c r="C5" s="9" t="s">
        <v>5</v>
      </c>
      <c r="D5" s="9" t="s">
        <v>67</v>
      </c>
      <c r="E5" s="9" t="s">
        <v>10</v>
      </c>
      <c r="F5" s="9" t="s">
        <v>8</v>
      </c>
      <c r="G5" s="3"/>
      <c r="H5" s="3"/>
    </row>
    <row r="6" spans="1:8" ht="29" x14ac:dyDescent="0.35">
      <c r="A6" s="4" t="s">
        <v>198</v>
      </c>
      <c r="B6" s="5">
        <v>737</v>
      </c>
      <c r="C6" s="4" t="s">
        <v>199</v>
      </c>
      <c r="D6" s="4" t="s">
        <v>28</v>
      </c>
      <c r="E6" s="4" t="s">
        <v>200</v>
      </c>
      <c r="F6" s="4" t="s">
        <v>15</v>
      </c>
      <c r="G6" s="1"/>
      <c r="H6" s="1"/>
    </row>
    <row r="7" spans="1:8" ht="29" x14ac:dyDescent="0.35">
      <c r="A7" s="4" t="s">
        <v>201</v>
      </c>
      <c r="B7" s="7">
        <v>29627.200000000001</v>
      </c>
      <c r="C7" s="4" t="s">
        <v>26</v>
      </c>
      <c r="D7" s="4" t="s">
        <v>28</v>
      </c>
      <c r="E7" s="4" t="s">
        <v>202</v>
      </c>
      <c r="F7" s="4" t="s">
        <v>15</v>
      </c>
      <c r="G7" s="1"/>
      <c r="H7" s="1"/>
    </row>
    <row r="8" spans="1:8" ht="29" x14ac:dyDescent="0.35">
      <c r="A8" s="4" t="s">
        <v>203</v>
      </c>
      <c r="B8" s="7">
        <v>28449</v>
      </c>
      <c r="C8" s="4" t="s">
        <v>204</v>
      </c>
      <c r="D8" s="4" t="s">
        <v>28</v>
      </c>
      <c r="E8" s="4" t="s">
        <v>205</v>
      </c>
      <c r="F8" s="4" t="s">
        <v>15</v>
      </c>
      <c r="G8" s="1"/>
      <c r="H8" s="1"/>
    </row>
    <row r="9" spans="1:8" x14ac:dyDescent="0.35">
      <c r="A9" s="1"/>
      <c r="B9" s="1"/>
      <c r="C9" s="1"/>
      <c r="D9" s="1"/>
      <c r="E9" s="1"/>
      <c r="F9" s="1"/>
      <c r="G9" s="1"/>
      <c r="H9" s="1"/>
    </row>
    <row r="10" spans="1:8" x14ac:dyDescent="0.35">
      <c r="A10" s="1"/>
      <c r="B10" s="1"/>
      <c r="C10" s="1"/>
      <c r="D10" s="1"/>
      <c r="E10" s="1"/>
      <c r="F10" s="1"/>
      <c r="G10" s="1"/>
      <c r="H10" s="1"/>
    </row>
    <row r="11" spans="1:8" x14ac:dyDescent="0.35">
      <c r="A11" s="20" t="s">
        <v>206</v>
      </c>
      <c r="B11" s="21"/>
      <c r="C11" s="21"/>
      <c r="D11" s="21"/>
      <c r="E11" s="1"/>
      <c r="F11" s="1"/>
      <c r="G11" s="1"/>
      <c r="H11" s="1"/>
    </row>
    <row r="12" spans="1:8" ht="29" x14ac:dyDescent="0.35">
      <c r="A12" s="9" t="s">
        <v>141</v>
      </c>
      <c r="B12" s="9" t="s">
        <v>207</v>
      </c>
      <c r="C12" s="9" t="s">
        <v>208</v>
      </c>
      <c r="D12" s="9" t="s">
        <v>67</v>
      </c>
      <c r="E12" s="3"/>
      <c r="F12" s="3"/>
      <c r="G12" s="3"/>
      <c r="H12" s="3"/>
    </row>
    <row r="13" spans="1:8" ht="29" x14ac:dyDescent="0.35">
      <c r="A13" s="4" t="s">
        <v>145</v>
      </c>
      <c r="B13" s="15">
        <v>30</v>
      </c>
      <c r="C13" s="15">
        <v>120</v>
      </c>
      <c r="D13" s="4" t="s">
        <v>28</v>
      </c>
      <c r="E13" s="1"/>
      <c r="F13" s="1"/>
      <c r="G13" s="1"/>
      <c r="H13" s="1"/>
    </row>
    <row r="14" spans="1:8" ht="29" x14ac:dyDescent="0.35">
      <c r="A14" s="4" t="s">
        <v>147</v>
      </c>
      <c r="B14" s="15">
        <v>75</v>
      </c>
      <c r="C14" s="16">
        <v>187.5</v>
      </c>
      <c r="D14" s="4" t="s">
        <v>28</v>
      </c>
      <c r="E14" s="1"/>
      <c r="F14" s="1"/>
      <c r="G14" s="1"/>
      <c r="H14" s="1"/>
    </row>
    <row r="15" spans="1:8" ht="29" x14ac:dyDescent="0.35">
      <c r="A15" s="4" t="s">
        <v>149</v>
      </c>
      <c r="B15" s="15">
        <v>158</v>
      </c>
      <c r="C15" s="16">
        <v>237</v>
      </c>
      <c r="D15" s="4" t="s">
        <v>28</v>
      </c>
      <c r="E15" s="1"/>
      <c r="F15" s="1"/>
      <c r="G15" s="1"/>
      <c r="H15" s="1"/>
    </row>
    <row r="16" spans="1:8" ht="29" x14ac:dyDescent="0.35">
      <c r="A16" s="4" t="s">
        <v>151</v>
      </c>
      <c r="B16" s="15">
        <v>474</v>
      </c>
      <c r="C16" s="15">
        <v>474</v>
      </c>
      <c r="D16" s="4" t="s">
        <v>28</v>
      </c>
      <c r="E16" s="1"/>
      <c r="F16" s="1"/>
      <c r="G16" s="1"/>
      <c r="H16" s="1"/>
    </row>
  </sheetData>
  <mergeCells count="3">
    <mergeCell ref="A11:D11"/>
    <mergeCell ref="A4:F4"/>
    <mergeCell ref="A1:H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00_Resumen</vt:lpstr>
      <vt:lpstr>01_Supuestos_Fuentes</vt:lpstr>
      <vt:lpstr>02_Parque_Criticidad</vt:lpstr>
      <vt:lpstr>03_Secciones</vt:lpstr>
      <vt:lpstr>04_Calculo_FTE</vt:lpstr>
      <vt:lpstr>05_Datos_2025_actual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Dimensionamiento mantenimiento PK-16</dc:title>
  <dc:subject>Parque completo, ratios, secciones y fuentes</dc:subject>
  <dc:creator>Rocosa Serra, David (SEA/PK-16)</dc:creator>
  <cp:keywords/>
  <dc:description/>
  <cp:lastModifiedBy>Rocosa Serra, David (SEA/PK-16)</cp:lastModifiedBy>
  <cp:revision/>
  <dcterms:created xsi:type="dcterms:W3CDTF">2026-08-06T13:24:57Z</dcterms:created>
  <dcterms:modified xsi:type="dcterms:W3CDTF">2026-09-08T12:31:25Z</dcterms:modified>
  <cp:category/>
  <cp:contentStatus/>
</cp:coreProperties>
</file>