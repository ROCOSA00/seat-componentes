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david_rocosa_seat_es/Documents/Escritorio/CRITICIDAD MAQUINAS/"/>
    </mc:Choice>
  </mc:AlternateContent>
  <xr:revisionPtr revIDLastSave="15" documentId="8_{69815F37-D3FE-476B-BF10-8841427FD827}" xr6:coauthVersionLast="47" xr6:coauthVersionMax="47" xr10:uidLastSave="{545D1D60-1CFA-4E52-96F2-5C20DC65B4E5}"/>
  <bookViews>
    <workbookView xWindow="-57720" yWindow="-2820" windowWidth="29040" windowHeight="15720" firstSheet="22" activeTab="28" xr2:uid="{00000000-000D-0000-FFFF-FFFF00000000}"/>
  </bookViews>
  <sheets>
    <sheet name="00_Portada" sheetId="1" r:id="rId1"/>
    <sheet name="10_Resumen_Ejecutivo" sheetId="2" r:id="rId2"/>
    <sheet name="11_Dashboard" sheetId="3" r:id="rId3"/>
    <sheet name="ORG_M_00_Resumen_Ejecutivo" sheetId="4" r:id="rId4"/>
    <sheet name="ORG_M_01_Maestro_Fabrica" sheetId="5" r:id="rId5"/>
    <sheet name="ORG_M_02_MEB_ECO_Oficial" sheetId="6" r:id="rId6"/>
    <sheet name="ORG_M_03_MEB_ECO_Detalle" sheetId="7" r:id="rId7"/>
    <sheet name="ORG_M_04_Montaje_Completo" sheetId="8" r:id="rId8"/>
    <sheet name="ORG_M_05_Paros_Historico" sheetId="9" r:id="rId9"/>
    <sheet name="ORG_M_06_Cuellos_Botella" sheetId="10" r:id="rId10"/>
    <sheet name="ORG_M_07_Contexto_Global" sheetId="11" r:id="rId11"/>
    <sheet name="ORG_M_08_Dimensionamiento" sheetId="12" r:id="rId12"/>
    <sheet name="ORG_M_09_Reglas_Criterios" sheetId="13" r:id="rId13"/>
    <sheet name="ORG_D_00_Resumen" sheetId="14" r:id="rId14"/>
    <sheet name="ORG_D_01_Supuestos_Fuentes" sheetId="15" r:id="rId15"/>
    <sheet name="ORG_D_02_Parque_Criticidad" sheetId="16" r:id="rId16"/>
    <sheet name="ORG_D_03_Secciones" sheetId="17" r:id="rId17"/>
    <sheet name="ORG_D_04_Calculo_FTE" sheetId="18" r:id="rId18"/>
    <sheet name="ORG_D_05_Datos_2025_actual" sheetId="19" r:id="rId19"/>
    <sheet name="20_Maestro_Estructurado" sheetId="20" r:id="rId20"/>
    <sheet name="21_MEB_ECO_Detalle" sheetId="21" r:id="rId21"/>
    <sheet name="22_Montaje" sheetId="22" r:id="rId22"/>
    <sheet name="23_Paros" sheetId="23" r:id="rId23"/>
    <sheet name="24_Cuellos_Botella" sheetId="24" r:id="rId24"/>
    <sheet name="25_MEB_ECO_Oficial" sheetId="25" r:id="rId25"/>
    <sheet name="30_Dimensionamiento" sheetId="26" r:id="rId26"/>
    <sheet name="31_Analisis" sheetId="27" r:id="rId27"/>
    <sheet name="40_Diccionario_Datos" sheetId="28" r:id="rId28"/>
    <sheet name="41_Comprobaciones" sheetId="29" r:id="rId29"/>
    <sheet name="42_Relaciones_y_Notas" sheetId="30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9" l="1"/>
  <c r="C10" i="29" s="1"/>
  <c r="B9" i="29"/>
  <c r="C9" i="29" s="1"/>
  <c r="B8" i="29"/>
  <c r="C8" i="29" s="1"/>
  <c r="B7" i="29"/>
  <c r="B6" i="29"/>
  <c r="C6" i="29" s="1"/>
  <c r="D17" i="27"/>
  <c r="C17" i="27"/>
  <c r="B17" i="27"/>
  <c r="H35" i="3" s="1"/>
  <c r="D16" i="27"/>
  <c r="C16" i="27"/>
  <c r="B16" i="27"/>
  <c r="H34" i="3" s="1"/>
  <c r="D15" i="27"/>
  <c r="C15" i="27"/>
  <c r="B15" i="27"/>
  <c r="H33" i="3" s="1"/>
  <c r="D14" i="27"/>
  <c r="C14" i="27"/>
  <c r="B14" i="27"/>
  <c r="H32" i="3" s="1"/>
  <c r="D13" i="27"/>
  <c r="C13" i="27"/>
  <c r="B13" i="27"/>
  <c r="H31" i="3" s="1"/>
  <c r="G8" i="27"/>
  <c r="D8" i="27"/>
  <c r="C8" i="27"/>
  <c r="B8" i="27"/>
  <c r="G7" i="27"/>
  <c r="B33" i="3" s="1"/>
  <c r="D7" i="27"/>
  <c r="C7" i="27"/>
  <c r="B7" i="27"/>
  <c r="G6" i="27"/>
  <c r="B32" i="3" s="1"/>
  <c r="D6" i="27"/>
  <c r="C6" i="27"/>
  <c r="B6" i="27"/>
  <c r="G5" i="27"/>
  <c r="B31" i="3" s="1"/>
  <c r="D5" i="27"/>
  <c r="C5" i="27"/>
  <c r="B5" i="27"/>
  <c r="B29" i="26"/>
  <c r="B25" i="26"/>
  <c r="B21" i="26"/>
  <c r="B17" i="26"/>
  <c r="H8" i="27" s="1"/>
  <c r="B16" i="26"/>
  <c r="H7" i="27" s="1"/>
  <c r="B15" i="26"/>
  <c r="H6" i="27" s="1"/>
  <c r="B14" i="26"/>
  <c r="C15" i="2" s="1"/>
  <c r="B9" i="26"/>
  <c r="A5" i="2" s="1"/>
  <c r="B34" i="3"/>
  <c r="E31" i="3"/>
  <c r="B18" i="2"/>
  <c r="B17" i="2"/>
  <c r="B16" i="2"/>
  <c r="B15" i="2"/>
  <c r="D5" i="2"/>
  <c r="C17" i="2" l="1"/>
  <c r="C16" i="2"/>
  <c r="C18" i="2"/>
  <c r="A5" i="3"/>
  <c r="B5" i="29"/>
  <c r="C5" i="29" s="1"/>
  <c r="H5" i="27"/>
  <c r="B18" i="26"/>
  <c r="C7" i="29"/>
  <c r="B33" i="26" l="1"/>
  <c r="B35" i="26" s="1"/>
  <c r="B32" i="26"/>
  <c r="B34" i="26" s="1"/>
  <c r="D5" i="3"/>
  <c r="B36" i="26" l="1"/>
  <c r="E32" i="3"/>
  <c r="G5" i="2"/>
  <c r="B12" i="29"/>
  <c r="C12" i="29" s="1"/>
  <c r="B37" i="26"/>
  <c r="E33" i="3"/>
  <c r="A9" i="2"/>
  <c r="J5" i="3" l="1"/>
  <c r="G9" i="2"/>
  <c r="B13" i="29"/>
  <c r="C13" i="29" s="1"/>
  <c r="G5" i="3"/>
  <c r="D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B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C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MAESTRO_FABRICA_FINAL.xlsx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D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E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0F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10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11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A1" authorId="0" shapeId="0" xr:uid="{00000000-0006-0000-1200-000001000000}">
      <text>
        <r>
          <rPr>
            <sz val="11"/>
            <color theme="1"/>
            <rFont val="Calibri"/>
            <family val="2"/>
            <charset val="1"/>
          </rPr>
          <t>Copia de datos del archivo origen. Fuente: DIMENSIONAMIENTO_MANTENIMIENTO_DATOS_FINAL.xlsx</t>
        </r>
      </text>
    </comment>
  </commentList>
</comments>
</file>

<file path=xl/sharedStrings.xml><?xml version="1.0" encoding="utf-8"?>
<sst xmlns="http://schemas.openxmlformats.org/spreadsheetml/2006/main" count="51070" uniqueCount="6537">
  <si>
    <t>MAESTRO PK-16 | Mantenimiento y dimensionamiento</t>
  </si>
  <si>
    <t>Libro consolidado. Datos originales separados de las capas limpias, de análisis y de control.</t>
  </si>
  <si>
    <t>Propósito</t>
  </si>
  <si>
    <t>Consultar el parque, criticidad, MEB ECO, montaje, paros, cuellos de botella y dimensionamiento FTE desde una única estructura actualizable.</t>
  </si>
  <si>
    <t>Fuente 1</t>
  </si>
  <si>
    <t>MAESTRO_FABRICA_FINAL.xlsx</t>
  </si>
  <si>
    <t>Fuente 2</t>
  </si>
  <si>
    <t>DIMENSIONAMIENTO_MANTENIMIENTO_DATOS_FINAL.xlsx</t>
  </si>
  <si>
    <t>Criterio de clasificación</t>
  </si>
  <si>
    <t>Los 2.043 activos están clasificados en A/B/C/D.</t>
  </si>
  <si>
    <t>Plantilla nominal</t>
  </si>
  <si>
    <t>80 personas</t>
  </si>
  <si>
    <t>Necesidad calculada</t>
  </si>
  <si>
    <t>114,21 a 123,70 FTE</t>
  </si>
  <si>
    <t>Uso recomendado</t>
  </si>
  <si>
    <t>Actualizar primero las tablas limpias o los archivos fuente; revisar después Comprobaciones y Dashboard.</t>
  </si>
  <si>
    <t>Código de color</t>
  </si>
  <si>
    <t>Importado / vinculado</t>
  </si>
  <si>
    <t>Fórmula / calculado</t>
  </si>
  <si>
    <t>Entrada editable</t>
  </si>
  <si>
    <t>Advertencia / revisión</t>
  </si>
  <si>
    <t>Error / incoherencia</t>
  </si>
  <si>
    <t>Resumen ejecutivo</t>
  </si>
  <si>
    <t>Visión consolidada para dirección. Los valores de dimensionamiento se calculan desde la hoja 30_Dimensionamiento.</t>
  </si>
  <si>
    <t>Parque total</t>
  </si>
  <si>
    <t>Plantilla actual</t>
  </si>
  <si>
    <t>Necesidad mínima</t>
  </si>
  <si>
    <t>Necesidad máxima</t>
  </si>
  <si>
    <t>Gap mínimo</t>
  </si>
  <si>
    <t>Gap máximo</t>
  </si>
  <si>
    <t>Distribución por criticidad</t>
  </si>
  <si>
    <t>MEB ECO crítico confirmado</t>
  </si>
  <si>
    <t>Criticidad</t>
  </si>
  <si>
    <t>Activos</t>
  </si>
  <si>
    <t>FTE base</t>
  </si>
  <si>
    <t>Producto</t>
  </si>
  <si>
    <t>Total crítico</t>
  </si>
  <si>
    <t>A</t>
  </si>
  <si>
    <t>KMM</t>
  </si>
  <si>
    <t>B</t>
  </si>
  <si>
    <t>EBOX</t>
  </si>
  <si>
    <t>C</t>
  </si>
  <si>
    <t>Conjunto Diferencial</t>
  </si>
  <si>
    <t>D</t>
  </si>
  <si>
    <t>Manguetas</t>
  </si>
  <si>
    <t>Aluminio GGH/MGH</t>
  </si>
  <si>
    <t>Conclusión</t>
  </si>
  <si>
    <t>El modelo sitúa la necesidad entre 114 y 124 FTE frente a una plantilla nominal de 80 personas. El déficit calculado queda entre 34 y 44 FTE. La base estructural se obtiene de los 2.043 activos clasificados por criticidad A/B/C/D.</t>
  </si>
  <si>
    <t>Dashboard de mantenimiento</t>
  </si>
  <si>
    <t>Indicadores de criticidad, dimensionamiento, MEB ECO y eventos de paro.</t>
  </si>
  <si>
    <t>Base criticidad</t>
  </si>
  <si>
    <t>Escenario</t>
  </si>
  <si>
    <t>FTE</t>
  </si>
  <si>
    <t>Críticos</t>
  </si>
  <si>
    <t>Plantilla</t>
  </si>
  <si>
    <t>Necesidad mín.</t>
  </si>
  <si>
    <t>Necesidad máx.</t>
  </si>
  <si>
    <t>MAESTRO COMPLETO DE FÁBRICA | Mantenimiento</t>
  </si>
  <si>
    <t>Integra contexto fábrica, paros, cuellos, montaje MQ-200/MQ-281, MEB ECO y dimensionamiento. No inventa inventarios faltantes.</t>
  </si>
  <si>
    <t>Indicador</t>
  </si>
  <si>
    <t>Valor</t>
  </si>
  <si>
    <t>Lectura</t>
  </si>
  <si>
    <t>Alcance detallado en histórico de paros</t>
  </si>
  <si>
    <t>Máquinas/objetos con paros agrupados</t>
  </si>
  <si>
    <t>Montaje en fichero actualizado</t>
  </si>
  <si>
    <t>Incluye MQ-200/KRAUSE, MQ-281/SCHMID y nuevos productos</t>
  </si>
  <si>
    <t>Cuellos de botella</t>
  </si>
  <si>
    <t>Todos A1 por definición</t>
  </si>
  <si>
    <t>Programa global: 5 productos</t>
  </si>
  <si>
    <t>MEB ECO montaje crítico</t>
  </si>
  <si>
    <t>KMM 15 + EBOX 14 + Diferencial 10 + Manguetas 17</t>
  </si>
  <si>
    <t>MEB ECO mecanizado crítico</t>
  </si>
  <si>
    <t>Diferencial 4 Reishauer + Aluminio GGH/MGH 15</t>
  </si>
  <si>
    <t>Personas de mantenimiento aprox. facilitadas por usuario</t>
  </si>
  <si>
    <t>Referencia base ajustada</t>
  </si>
  <si>
    <t>Mantenedores equivalentes por carga ponderada</t>
  </si>
  <si>
    <t>Referencia base equilibrada</t>
  </si>
  <si>
    <t>Gap base</t>
  </si>
  <si>
    <t>20 - 34</t>
  </si>
  <si>
    <t>Diferencia vs plantilla actual</t>
  </si>
  <si>
    <t>Referencia con PM/TPM no absorbido</t>
  </si>
  <si>
    <t>110 - 124</t>
  </si>
  <si>
    <t>Sirve si PM/TPM no está ya integrado en plantilla</t>
  </si>
  <si>
    <t>Gap con PM/TPM</t>
  </si>
  <si>
    <t>30 - 44</t>
  </si>
  <si>
    <t>Producto MEB ECO</t>
  </si>
  <si>
    <t>Montaje crítico</t>
  </si>
  <si>
    <t>Mecanizado crítico</t>
  </si>
  <si>
    <t>TOTAL</t>
  </si>
  <si>
    <t>Maestro fábrica consolidado</t>
  </si>
  <si>
    <t>Vista única por bloque: global fábrica, MEB ECO oficial, montaje, cuellos y paros. El campo Veracidad indica el nivel de confianza.</t>
  </si>
  <si>
    <t>Bloque</t>
  </si>
  <si>
    <t>Producto / Familia / Activo</t>
  </si>
  <si>
    <t>Proceso / Ubicación</t>
  </si>
  <si>
    <t>Cantidad</t>
  </si>
  <si>
    <t>Descripción / Inventario</t>
  </si>
  <si>
    <t>Estado</t>
  </si>
  <si>
    <t>Fuente</t>
  </si>
  <si>
    <t>Veracidad</t>
  </si>
  <si>
    <t>Comentario</t>
  </si>
  <si>
    <t>Contexto fábrica</t>
  </si>
  <si>
    <t>Mecanizado</t>
  </si>
  <si>
    <t>Global</t>
  </si>
  <si>
    <t>Máquinas de mecanizado</t>
  </si>
  <si>
    <t>Dato global de presentación</t>
  </si>
  <si>
    <t>Dato global - no inventario individual</t>
  </si>
  <si>
    <t>Contexto / dimensionamiento</t>
  </si>
  <si>
    <t>Robots</t>
  </si>
  <si>
    <t>Robots KUKA/FANUC/ABB/Universal</t>
  </si>
  <si>
    <t>Montaje</t>
  </si>
  <si>
    <t>Filas de montaje en fichero actualizado. Incluye MQ-200, MQ-281 y MEB ECO con reservas/standby</t>
  </si>
  <si>
    <t>Fichero montaje actualizado</t>
  </si>
  <si>
    <t>Tratamientos y fundición</t>
  </si>
  <si>
    <t>Instalaciones de tratamientos térmicos y fundición</t>
  </si>
  <si>
    <t>Calidad</t>
  </si>
  <si>
    <t>Puestos de calidad, medición y control</t>
  </si>
  <si>
    <t>Lavadoras</t>
  </si>
  <si>
    <t>Lavadoras automáticas</t>
  </si>
  <si>
    <t>Transporte instalaciones</t>
  </si>
  <si>
    <t>Instalaciones de transporte</t>
  </si>
  <si>
    <t>Medios de transporte</t>
  </si>
  <si>
    <t>Carros, apiladores, potros</t>
  </si>
  <si>
    <t>Auxiliares producción</t>
  </si>
  <si>
    <t>Ingrávidos, atemperadores, aspiradores y auxiliares</t>
  </si>
  <si>
    <t>Preventivos</t>
  </si>
  <si>
    <t>Más de 9.000 planes PM</t>
  </si>
  <si>
    <t>Puntos PM</t>
  </si>
  <si>
    <t>Más de 50.000 puntos PM</t>
  </si>
  <si>
    <t>Avisos intervención</t>
  </si>
  <si>
    <t>Más de 10.000 avisos/año</t>
  </si>
  <si>
    <t>TPM</t>
  </si>
  <si>
    <t>Más de 3.000 intervenciones TPM/año</t>
  </si>
  <si>
    <t>Horas máquina parada</t>
  </si>
  <si>
    <t>10.000 h de máquina parada declaradas</t>
  </si>
  <si>
    <t>MEB ECO oficial</t>
  </si>
  <si>
    <t>Estaciones de montaje críticas</t>
  </si>
  <si>
    <t>A1</t>
  </si>
  <si>
    <t>Total confirmado; faltan inventarios exactos en ficheros</t>
  </si>
  <si>
    <t>Dato de negocio facilitado por usuario</t>
  </si>
  <si>
    <t>Total verificado por negocio</t>
  </si>
  <si>
    <t>Rectificadoras Reishauer críticas</t>
  </si>
  <si>
    <t>Máquinas críticas: centros de mecanizado y equipos principales</t>
  </si>
  <si>
    <t>Montaje detalle</t>
  </si>
  <si>
    <t>MQ-200</t>
  </si>
  <si>
    <t>7016420001/215H</t>
  </si>
  <si>
    <t>A1 - Montaje</t>
  </si>
  <si>
    <t>Activo candidato</t>
  </si>
  <si>
    <t>Regla: KRAUSE/7016420001/7016420002</t>
  </si>
  <si>
    <t>Inventario fuente montaje</t>
  </si>
  <si>
    <t>PRENSADO RODAMIENTOS Y CASQUILLOS CAR. DE EMBRAGUE 
REALIZADO POR THYSSENKRUPP</t>
  </si>
  <si>
    <t>7016424001/10H</t>
  </si>
  <si>
    <t>A1 - MEB ECO montaje candidato</t>
  </si>
  <si>
    <t>Regla: THYSSEN/Manguetas/7016424001</t>
  </si>
  <si>
    <t>PUESTO DE CARGA DE MATERIAL</t>
  </si>
  <si>
    <t>7016424001/20A</t>
  </si>
  <si>
    <t>ATORNILLADO DE CHAPA Y SENSOR ABS</t>
  </si>
  <si>
    <t>7016424001/25 S/R</t>
  </si>
  <si>
    <t>C/Pendiente - revisar</t>
  </si>
  <si>
    <t>Standby/Reparación/Reserva</t>
  </si>
  <si>
    <t>STANDBY / REPARACIÓN</t>
  </si>
  <si>
    <t>7016424001/30A</t>
  </si>
  <si>
    <t>CARGA Y ATORNILLADO DE RODAMIENTO</t>
  </si>
  <si>
    <t>7016424001/35 S/R</t>
  </si>
  <si>
    <t>7016424001/40A</t>
  </si>
  <si>
    <t>CARGA Y ATORNILLADO DE DISCO DE FRENO</t>
  </si>
  <si>
    <t>7016424001/45 S/R</t>
  </si>
  <si>
    <t>7016424001/50A</t>
  </si>
  <si>
    <t>TEST DE ALABEO, CONTROL DE GIRO, Y ABS</t>
  </si>
  <si>
    <t>7016424001/55 S/R</t>
  </si>
  <si>
    <t>7016424001/60A</t>
  </si>
  <si>
    <t>VOLTEO MANGUETAS Y ATORNILLADO DE RÓTULA</t>
  </si>
  <si>
    <t>7016424001/65 S/R</t>
  </si>
  <si>
    <t>7016424001/70A</t>
  </si>
  <si>
    <t>CARGA DE PINZAS DE FRENO</t>
  </si>
  <si>
    <t>7016424001/75 S/R</t>
  </si>
  <si>
    <t>7016424001/80M</t>
  </si>
  <si>
    <t>PREATORNILLADO PINZAS DE FRENO</t>
  </si>
  <si>
    <t>7016424001/90A</t>
  </si>
  <si>
    <t>ATORNILLADO DE PINZAS Y GRABADO 2D</t>
  </si>
  <si>
    <t>7016424001/100M</t>
  </si>
  <si>
    <t>MONTAJE TAPONES, CARGA DE ROTULA</t>
  </si>
  <si>
    <t>7016424001/110A</t>
  </si>
  <si>
    <t>CONTROL DE PRODUCTO</t>
  </si>
  <si>
    <t>7016424001/115R</t>
  </si>
  <si>
    <t>ISLA DE DESMONTAJE</t>
  </si>
  <si>
    <t>7016424001/120A</t>
  </si>
  <si>
    <t>DESCARGA AUTOMATICA DE MANGUETAS</t>
  </si>
  <si>
    <t>7016424001/125S</t>
  </si>
  <si>
    <t>STANDBY DESCARGA</t>
  </si>
  <si>
    <t>7016424001/130A</t>
  </si>
  <si>
    <t>LIMPIEZA DE PALET</t>
  </si>
  <si>
    <t>7016420001/230H</t>
  </si>
  <si>
    <t>MEDICION DE ARANDELA MQ1</t>
  </si>
  <si>
    <t>7016420001/240H</t>
  </si>
  <si>
    <t>PRENSADO PISTA DIFERENCIAL MQ1</t>
  </si>
  <si>
    <t>7016420001/220A</t>
  </si>
  <si>
    <t>7016420001/150H</t>
  </si>
  <si>
    <t>APLICACIÓN SEGER Y HORQUILLA 5ª MQ1</t>
  </si>
  <si>
    <t>7016420001/160A</t>
  </si>
  <si>
    <t>CONTROL ANILLOS DE SEGURIDAD MQ1</t>
  </si>
  <si>
    <t>7016420001/20H</t>
  </si>
  <si>
    <t>MONTAJE DIFERENCIAL MQ1</t>
  </si>
  <si>
    <t>7016420001/30H</t>
  </si>
  <si>
    <t>PRENSADO RODAMIENTO CONICO MQ1</t>
  </si>
  <si>
    <t>7016420001/40H</t>
  </si>
  <si>
    <t>MONTAJE EJE PRIMARIO MQ1</t>
  </si>
  <si>
    <t>7016420001/50H</t>
  </si>
  <si>
    <t>MONTAJE EJE SECUNDARIO MQ1</t>
  </si>
  <si>
    <t>7016420001/60A</t>
  </si>
  <si>
    <t>ALMACEN PRIM/SEC/DIFERENC. MQ1</t>
  </si>
  <si>
    <t>7016420001/70H</t>
  </si>
  <si>
    <t>PREMONTAJE CAJA CAMBIO MQ1</t>
  </si>
  <si>
    <t>7016420001/90H</t>
  </si>
  <si>
    <t>MONTAJE EJES MQ1</t>
  </si>
  <si>
    <t>7016420001/100H</t>
  </si>
  <si>
    <t>PRENSADO EJES MQ1</t>
  </si>
  <si>
    <t>7016420001/120H</t>
  </si>
  <si>
    <t>ESTACION DE CARGA MQ1</t>
  </si>
  <si>
    <t>7016420001/200H</t>
  </si>
  <si>
    <t>PREMONTAJE CARCASA EMBRAGUE MQ1</t>
  </si>
  <si>
    <t>7016420001/250A</t>
  </si>
  <si>
    <t>APLICACION JUNTA LIQUIDA MQ1</t>
  </si>
  <si>
    <t>7016420001/600H</t>
  </si>
  <si>
    <t>DESMONTAJE CAMBIO</t>
  </si>
  <si>
    <t>7016420001/300A</t>
  </si>
  <si>
    <t>ESTACION DE VOLTEO MQ1 (SUSITUIDA POR UNA NUEVA JULIO 2016)</t>
  </si>
  <si>
    <t>7016420001/140H</t>
  </si>
  <si>
    <t>MONTAJE  5ª VELOCIDAD MQ1</t>
  </si>
  <si>
    <t>7016420001/35H</t>
  </si>
  <si>
    <t>PREMONTAJE ANILLO 1/2</t>
  </si>
  <si>
    <t>7016420001/350A</t>
  </si>
  <si>
    <t>ATORNILLADO TAPA 5ª Y VOLTEO MQ1(MODIFICADA 5/2006)</t>
  </si>
  <si>
    <t>7016420001/380H</t>
  </si>
  <si>
    <t>PRENSADO RETEN RADIAL MQ1</t>
  </si>
  <si>
    <t>7016420001/390H</t>
  </si>
  <si>
    <t>MONTAJE DE SEMIPALIERES MQ1</t>
  </si>
  <si>
    <t>7016420001/400H</t>
  </si>
  <si>
    <t>ESTACION DE MONTAJE SEMIPAL. MQ1</t>
  </si>
  <si>
    <t>7016420001/410A</t>
  </si>
  <si>
    <t>PRUEBA DE ESTANQUEIDAD MQ1</t>
  </si>
  <si>
    <t>7016420001/VK1</t>
  </si>
  <si>
    <t>CADENA MONTAJE MQ200 VK1 MQ1</t>
  </si>
  <si>
    <t>7016420001/VK2</t>
  </si>
  <si>
    <t>CADENA MONTAJE MQ200 VK2 MQ1</t>
  </si>
  <si>
    <t>7016420001/270H</t>
  </si>
  <si>
    <t>7016420001/340H</t>
  </si>
  <si>
    <t>EST.MAN.PREMONTAJE TAPA 5ª</t>
  </si>
  <si>
    <t>7016420001/520A</t>
  </si>
  <si>
    <t>MARCADO Y CONTROL DE VOLUMEN DE ACEITE</t>
  </si>
  <si>
    <t>7016420001/570A</t>
  </si>
  <si>
    <t>LAVADO DE PALETS MQ1</t>
  </si>
  <si>
    <t>7016420001/190A</t>
  </si>
  <si>
    <t>ESTACION DE VOLTEO MQ1</t>
  </si>
  <si>
    <t>7016420001/440A</t>
  </si>
  <si>
    <t>ESTACION DE LLENADO DE ACEITE MQ1</t>
  </si>
  <si>
    <t>7016420001/580H</t>
  </si>
  <si>
    <t>MONTAJE EJE MARCHA ATRÁS MQ1</t>
  </si>
  <si>
    <t>7016420001/560A</t>
  </si>
  <si>
    <t>C/Pendiente - auxiliar o reserva</t>
  </si>
  <si>
    <t>Común/datos línea</t>
  </si>
  <si>
    <t>CENTRAL DE CAPTACIÓN DE DATOS (ZDE)</t>
  </si>
  <si>
    <t>7016420001/550H</t>
  </si>
  <si>
    <t>REGISTRO DATOS DE MÁQUINA        (BDE)</t>
  </si>
  <si>
    <t>7016420001/430H</t>
  </si>
  <si>
    <t>EST.NAN.MONTAJE CONJUNTO DESEMBRAGUE</t>
  </si>
  <si>
    <t>7016420001</t>
  </si>
  <si>
    <t>INFORMACIÓN COMÚN A TODA LA LINEA</t>
  </si>
  <si>
    <t>7016420001/290H</t>
  </si>
  <si>
    <t>STANDBY DE ATORNILLADO CAJA MQ200-1</t>
  </si>
  <si>
    <t>7016420001/415H</t>
  </si>
  <si>
    <t>STANDBY DE REPARACIÓN MQ2</t>
  </si>
  <si>
    <t>7016420001/450H</t>
  </si>
  <si>
    <t>REPARACIÓN LLENADORA DE ACEITE</t>
  </si>
  <si>
    <t>7016420001/45H</t>
  </si>
  <si>
    <t>MONT. ANILLO SEGUR. EJE DE ACCIONAMIENTO</t>
  </si>
  <si>
    <t>7016420001/195H</t>
  </si>
  <si>
    <t>VOLTEADORA MANUAL CARCASA 180º</t>
  </si>
  <si>
    <t>7016420001/310H</t>
  </si>
  <si>
    <t>VOLTEADORA MANUAL CAJA 180º</t>
  </si>
  <si>
    <t>7016420001/370H</t>
  </si>
  <si>
    <t>VOLTEADORA MANUAL CAJA 90º</t>
  </si>
  <si>
    <t>7016420002/420H</t>
  </si>
  <si>
    <t>STAMBY PRUEBA DE ESTANQUEIDAD</t>
  </si>
  <si>
    <t>7016420002/430H</t>
  </si>
  <si>
    <t>MONTAJE PALANCA DESEMBRAGUE</t>
  </si>
  <si>
    <t>7016420002/517H</t>
  </si>
  <si>
    <t>CONTROL VOLUMEN DE ACEITE</t>
  </si>
  <si>
    <t>7016420002/BDE</t>
  </si>
  <si>
    <t>7016420002/560A</t>
  </si>
  <si>
    <t>7016420002/550H</t>
  </si>
  <si>
    <t>CODIGO DE BARRAS Y DESCARGA</t>
  </si>
  <si>
    <t>7016420002/700H</t>
  </si>
  <si>
    <t>CONTROL DE FUGAS</t>
  </si>
  <si>
    <t>7016420002/PALET</t>
  </si>
  <si>
    <t>PALET</t>
  </si>
  <si>
    <t>7016420002</t>
  </si>
  <si>
    <t>INFORMACIÓN COMÚN A TODA LA LÍNEA</t>
  </si>
  <si>
    <t>7016420002/VK1</t>
  </si>
  <si>
    <t>TRANSFERIZADO LINEA MONTAJE MQ200-2</t>
  </si>
  <si>
    <t>7016420002/VK2</t>
  </si>
  <si>
    <t>7016420002/VK3</t>
  </si>
  <si>
    <t>7016420002/415H</t>
  </si>
  <si>
    <t>REPARACIÓN 2</t>
  </si>
  <si>
    <t>7016420002/10H</t>
  </si>
  <si>
    <t>ESTACIÓN DE REMACHADO</t>
  </si>
  <si>
    <t>7016420002/20H</t>
  </si>
  <si>
    <t>MONTAJE DIFERENCIAL</t>
  </si>
  <si>
    <t>7016420002/30H</t>
  </si>
  <si>
    <t>MONTAJE RODAMIENTOS DIFERENCIAL</t>
  </si>
  <si>
    <t>7016420002/35H</t>
  </si>
  <si>
    <t>PUESTO MONTAJE BUJE 3/4</t>
  </si>
  <si>
    <t>7016420002/40H</t>
  </si>
  <si>
    <t>PREMONTAJE PRIMARIO</t>
  </si>
  <si>
    <t>7016420002/45H</t>
  </si>
  <si>
    <t>7016420002/50H</t>
  </si>
  <si>
    <t>PREMONTAJE SECUNDARIO</t>
  </si>
  <si>
    <t>7016420002/60A</t>
  </si>
  <si>
    <t>ESTACION DE RECOLECCIÓN</t>
  </si>
  <si>
    <t>7016420002/70H</t>
  </si>
  <si>
    <t>PREMONTAJE DE LA CAJA DE CAMBIOS</t>
  </si>
  <si>
    <t>7016420002/90H</t>
  </si>
  <si>
    <t>ESTACIÓN MONTAJE DE EJES</t>
  </si>
  <si>
    <t>7016420002/100H</t>
  </si>
  <si>
    <t>ESTACIÓN PRENSADO DE EJES</t>
  </si>
  <si>
    <t>7016420002/120H</t>
  </si>
  <si>
    <t>ESTACIÓN DE CARGA</t>
  </si>
  <si>
    <t>7016420002/200H</t>
  </si>
  <si>
    <t>PREMONTAJE CARCASA DE EMBRAGUE</t>
  </si>
  <si>
    <t>7016420002/220A</t>
  </si>
  <si>
    <t>MEDICIÓN DE ARANDELA</t>
  </si>
  <si>
    <t>7016420002/230H</t>
  </si>
  <si>
    <t>7016420002/240H</t>
  </si>
  <si>
    <t>PRENSA PISTA DIFERENCIAL</t>
  </si>
  <si>
    <t>7016420002/250A</t>
  </si>
  <si>
    <t>APLICACIÓN JUNTA LÍQUIDA</t>
  </si>
  <si>
    <t>7016420002/280A</t>
  </si>
  <si>
    <t>ESTACIÓN CIERRE CAMBIO</t>
  </si>
  <si>
    <t>7016420002/285A</t>
  </si>
  <si>
    <t>ATORNILLADO CIERRE CAMBIO</t>
  </si>
  <si>
    <t>7016420002/300A</t>
  </si>
  <si>
    <t>ESTACIÓN VOLTEADORA 90º</t>
  </si>
  <si>
    <t>7016420002/140H</t>
  </si>
  <si>
    <t>MONTAJE DE LA 5ª VELOCIDAD</t>
  </si>
  <si>
    <t>7016420002/160A</t>
  </si>
  <si>
    <t>APLICACIÓN HORQUILLA 5ª VEL.</t>
  </si>
  <si>
    <t>7016420002/150H</t>
  </si>
  <si>
    <t>APLICACIÓN SEGAR 5ª VEL.</t>
  </si>
  <si>
    <t>7016420002/270H</t>
  </si>
  <si>
    <t>APLICACION JUNTA LIQUIDA MQ2</t>
  </si>
  <si>
    <t>7016420002/350A</t>
  </si>
  <si>
    <t>ATORNILLADO TAPA 5ª VEL. Y VOLTEO 90º</t>
  </si>
  <si>
    <t>7016420002/380H</t>
  </si>
  <si>
    <t>PRENSADO RETÉN RADIAL</t>
  </si>
  <si>
    <t>7016420002/390H</t>
  </si>
  <si>
    <t>MONTAJE SEMIPALIERES</t>
  </si>
  <si>
    <t>7016420002/400H</t>
  </si>
  <si>
    <t>7016420002/410A</t>
  </si>
  <si>
    <t>PRUEBA ESTANQUEIDAD CAJA</t>
  </si>
  <si>
    <t>7016420002/440A</t>
  </si>
  <si>
    <t>LLENADO DE ACEITE</t>
  </si>
  <si>
    <t>7016420002/450H</t>
  </si>
  <si>
    <t>7016420002/450H/1</t>
  </si>
  <si>
    <t>EQUIPO BKW A5 ACEITE MINERAL</t>
  </si>
  <si>
    <t>7016420002/450H/2</t>
  </si>
  <si>
    <t>EQUIPO BKW A6 ACEITE SINTETICO</t>
  </si>
  <si>
    <t>7016420002/520A</t>
  </si>
  <si>
    <t>7016420002/580H</t>
  </si>
  <si>
    <t>MONTAJE DE EJE MARCHA ATRÁS</t>
  </si>
  <si>
    <t>7016420002/570A</t>
  </si>
  <si>
    <t>LAVADORA DE PALETS</t>
  </si>
  <si>
    <t>7016420002/190A</t>
  </si>
  <si>
    <t>ESTACIÓN VOLTEADORA 180º</t>
  </si>
  <si>
    <t>7016420002/H1</t>
  </si>
  <si>
    <t>HIDRAULICO 1</t>
  </si>
  <si>
    <t>7016420002/H2</t>
  </si>
  <si>
    <t>HIDRAULICO 2</t>
  </si>
  <si>
    <t>7016420002/H3</t>
  </si>
  <si>
    <t>HIDRAULICO 3</t>
  </si>
  <si>
    <t>7016420002/H4</t>
  </si>
  <si>
    <t>HIDRAULICO 4</t>
  </si>
  <si>
    <t>7016420002/VK</t>
  </si>
  <si>
    <t>TRANSFERIZADO CONTROL VARIAS ESTACIONES</t>
  </si>
  <si>
    <t>7016420002/195H</t>
  </si>
  <si>
    <t>7016420002/310H</t>
  </si>
  <si>
    <t>7016420002/370H</t>
  </si>
  <si>
    <t>7016420001/33H</t>
  </si>
  <si>
    <t>PRENSADO RODAMIENTOS CÓNICOS SOBRE DIFERNCIAL</t>
  </si>
  <si>
    <t>7016420001/H5</t>
  </si>
  <si>
    <t>GRUPO HIDRAÚLICO 4851.029 MQ1</t>
  </si>
  <si>
    <t>7016420001/25H</t>
  </si>
  <si>
    <t>MONTAJE CONJUNTO DEFERENCIAL 5F 6F Y GA</t>
  </si>
  <si>
    <t>7016420001/170H</t>
  </si>
  <si>
    <t>MONTAJE 6ª VELOCIDAD</t>
  </si>
  <si>
    <t>7016420001/180H</t>
  </si>
  <si>
    <t>ATORNILLADO EJES Y HORQUILLA 5ª Y 6ª VELOCIDAD</t>
  </si>
  <si>
    <t>7016420001/225A</t>
  </si>
  <si>
    <t>DETERMINACIÓN ARANDELAS Y MEDICIÓN ALABEO DIFEREN.GA PLUS</t>
  </si>
  <si>
    <t>7016420001/280A</t>
  </si>
  <si>
    <t>7016420001/320A</t>
  </si>
  <si>
    <t>APLICACIÓN JUNTA LÍQUIDA CARA UNIÓN TAPA CAJA</t>
  </si>
  <si>
    <t>7016420001/330H</t>
  </si>
  <si>
    <t>MONTAJE TAPA 5ª Y 6ª</t>
  </si>
  <si>
    <t>7016420001/375H</t>
  </si>
  <si>
    <t>PRENSADO RETENES EN CAJA Y CARCASA</t>
  </si>
  <si>
    <t>7016420002/170H</t>
  </si>
  <si>
    <t>7016420002/145H</t>
  </si>
  <si>
    <t>MONTAJE 5ª VELOCIDAD</t>
  </si>
  <si>
    <t>7016420002/H5</t>
  </si>
  <si>
    <t>HIDRAULICO 145H/170H LINEA2</t>
  </si>
  <si>
    <t>7016420002/180H</t>
  </si>
  <si>
    <t>ATORNILLADO EJES Y HORQUILLA 5º Y 6º VELOCIDAD.</t>
  </si>
  <si>
    <t>7016420002/320A</t>
  </si>
  <si>
    <t>APLICACIÓN JUNTA LIQUIDA</t>
  </si>
  <si>
    <t>7016420002/330H</t>
  </si>
  <si>
    <t>MONTAJE TAPA 6ª VELOCIDAD</t>
  </si>
  <si>
    <t>7016420002/255A</t>
  </si>
  <si>
    <t>CONTROL CON CAMARA APLICACIÓN JUNTA LÍQUIDA</t>
  </si>
  <si>
    <t>7016420002/435A</t>
  </si>
  <si>
    <t>PESAJE DEL CAMBIO ÖLOFFEN EN VACIO (L2)</t>
  </si>
  <si>
    <t>7016420002/515A</t>
  </si>
  <si>
    <t>EXTRACCION DE ACEITE Y PESAJE CAMBIO ÖLOFFEN (L2)</t>
  </si>
  <si>
    <t>7016420002/530A</t>
  </si>
  <si>
    <t>EXTRACCION DE ACEITE Y ETIQUETADO AUTOMATICO ÖLOFFEN (L2)</t>
  </si>
  <si>
    <t>ESTACION DE VOLTEO MQ CON ROBOT KUKA 8536339069 (LOZANO)</t>
  </si>
  <si>
    <t>Sin clasificar</t>
  </si>
  <si>
    <t>Pendiente clasificar</t>
  </si>
  <si>
    <t>NUEVA ESTACION 20H QUE SUSTITUYE A LA ANTERIOR</t>
  </si>
  <si>
    <t>7016420002/130A</t>
  </si>
  <si>
    <t>ESTACION CONTROL CARRUSEL CON ROBOT ABB TRASPASE</t>
  </si>
  <si>
    <t>7016420001/412H</t>
  </si>
  <si>
    <t>NUEVA PSEUDOCABECERA LINEA 1 (Cueto)</t>
  </si>
  <si>
    <t>7016420001/275A</t>
  </si>
  <si>
    <t>ESTACIÓN DE VOLTEADO  Y CIERRE DE CAMBIO. ROBOT ABB</t>
  </si>
  <si>
    <t>7016426001</t>
  </si>
  <si>
    <t>Regla: ORBITA/7016426001/Diferencial MEB ECO</t>
  </si>
  <si>
    <t>ARMARIO ELECTRICO PRENSA</t>
  </si>
  <si>
    <t>ARMARIO ELECTRICO RODADORA</t>
  </si>
  <si>
    <t>ARMARIO ELECTRICO TRASNPORTE Y ESTACIONES MANUALES</t>
  </si>
  <si>
    <t>ARMARIO DE DISTRIBUCIÓN KV</t>
  </si>
  <si>
    <t>7016308001/05</t>
  </si>
  <si>
    <t>Regla: DSA/EBOX/7016308001</t>
  </si>
  <si>
    <t>Armario de transporte y estaciones manueales</t>
  </si>
  <si>
    <t>7016308001/10</t>
  </si>
  <si>
    <t>Carga Material</t>
  </si>
  <si>
    <t>7016308001/20</t>
  </si>
  <si>
    <t>Carga Material y Pre Atornillado</t>
  </si>
  <si>
    <t>7016308001/30</t>
  </si>
  <si>
    <t>Atornillado y Clipado</t>
  </si>
  <si>
    <t>7016308001/40</t>
  </si>
  <si>
    <t>Cerrado de -Box y +Box</t>
  </si>
  <si>
    <t>7016308001/50</t>
  </si>
  <si>
    <t>Atornillado Reles</t>
  </si>
  <si>
    <t>7016308001/60</t>
  </si>
  <si>
    <t>Volteo</t>
  </si>
  <si>
    <t>7016308001/65</t>
  </si>
  <si>
    <t>Puesto de recuperacion</t>
  </si>
  <si>
    <t>7016308001/80</t>
  </si>
  <si>
    <t>7016308001/90</t>
  </si>
  <si>
    <t>Pegado Isofolie</t>
  </si>
  <si>
    <t>7016308001/100</t>
  </si>
  <si>
    <t>Pegado GaP PAD</t>
  </si>
  <si>
    <t>7016308001/110</t>
  </si>
  <si>
    <t>Descarga EBOX</t>
  </si>
  <si>
    <t>7016308001/120</t>
  </si>
  <si>
    <t>7016427001/10</t>
  </si>
  <si>
    <t>Regla: IBERFLUID/KMM/7016427001</t>
  </si>
  <si>
    <t>10.1 Carga Caja MVV + Junta Distribuidor
10.2 Carga Caja PV + Junta Distriubuidor
10.3 Clavado Distribuidor MVV y PV</t>
  </si>
  <si>
    <t>7016427001/20</t>
  </si>
  <si>
    <t>20.1 Carga Tapas + Clavado Retenes</t>
  </si>
  <si>
    <t>7016427001/30</t>
  </si>
  <si>
    <t>30.1 Montaje Torica a Tapa + Clavado Tapa
30.2 Atornillado Tapas</t>
  </si>
  <si>
    <t>7016427001/40</t>
  </si>
  <si>
    <t>40.1 Carga Actuador + Junta T en MVV/PV
40.2 Atornillado Actuadores</t>
  </si>
  <si>
    <t>7016427001/50</t>
  </si>
  <si>
    <t>50.1 Test Fuga MVV/PV</t>
  </si>
  <si>
    <t>7016427001/60</t>
  </si>
  <si>
    <t>60.1 Laser Grabado Laser MVV/PV</t>
  </si>
  <si>
    <t>7016427001/70</t>
  </si>
  <si>
    <t>70.1 Carga Placa + Carga MVV/PV a Placa
70.2 Atornillado MVV y PV</t>
  </si>
  <si>
    <t>7016427001/80</t>
  </si>
  <si>
    <t>80.1 Giro Placa + Montaje Bombas
80.2 Atornillado Bombas P50/P3</t>
  </si>
  <si>
    <t>7016427001/90</t>
  </si>
  <si>
    <t>90.1 Test Fuga Final</t>
  </si>
  <si>
    <t>7016427001/100</t>
  </si>
  <si>
    <t>100.1 Grabado Laser Producto Final</t>
  </si>
  <si>
    <t>7016427001/110</t>
  </si>
  <si>
    <t>110.1 Rework Montaje Placa Base</t>
  </si>
  <si>
    <t>7016427001/120</t>
  </si>
  <si>
    <t>120.1 Packaging</t>
  </si>
  <si>
    <t>7016427001/130</t>
  </si>
  <si>
    <t>130.1 Limpieza Palet</t>
  </si>
  <si>
    <t>7016427001/200</t>
  </si>
  <si>
    <t>Transporte y estaciones manuales</t>
  </si>
  <si>
    <t>8536339182</t>
  </si>
  <si>
    <t>ROBOT OP50</t>
  </si>
  <si>
    <t>8536339183</t>
  </si>
  <si>
    <t>ROBOT OP90</t>
  </si>
  <si>
    <t>MQ-281</t>
  </si>
  <si>
    <t>7016420006-010M</t>
  </si>
  <si>
    <t>Regla: SCHMID/7016420006/MQ281</t>
  </si>
  <si>
    <t>WARENKORB PALET MONTAJE MQ281</t>
  </si>
  <si>
    <t>7016420006-015M</t>
  </si>
  <si>
    <t>CARGA EJES MONTAJE MQ281</t>
  </si>
  <si>
    <t>7016420006-020A</t>
  </si>
  <si>
    <t>CAMARA CONTROL PALET MONTAJE MQ281</t>
  </si>
  <si>
    <t>7016420006-030H</t>
  </si>
  <si>
    <t>CASQUILLOS EJES MONTAJE MQ281</t>
  </si>
  <si>
    <t>7016420006-040.1H</t>
  </si>
  <si>
    <t>PRENSADO BUJES 3ª/4ª Y 1ª/2ª  MONTAJE MQ281</t>
  </si>
  <si>
    <t>7016420006-050.2H</t>
  </si>
  <si>
    <t>SEEGER DE BUJES EJES MONTAJE MQ281</t>
  </si>
  <si>
    <t>7016420006-060.3H</t>
  </si>
  <si>
    <t>PRENSADO CASQUILLO 4ª  MONTAJE MQ281</t>
  </si>
  <si>
    <t>7016420006-070.4H</t>
  </si>
  <si>
    <t>PRENSADO CASQUILLO 5ª  MONTAJE MQ281</t>
  </si>
  <si>
    <t>7016420006-080H</t>
  </si>
  <si>
    <t>PRENSADO CASQUILLO 6ª  MONTAJE MQ281</t>
  </si>
  <si>
    <t>7016420006-090A</t>
  </si>
  <si>
    <t>MONTAJE 6ª Y MARCHA ATRÁS  MONTAJE MQ281</t>
  </si>
  <si>
    <t>7016420006-100A</t>
  </si>
  <si>
    <t>CALENTAMIENTO Y PRENSADO 3ª Y 4ª MONTAJE MQ281</t>
  </si>
  <si>
    <t>7016420006-110A</t>
  </si>
  <si>
    <t>CALENTAMIENTO Y PRENSADO 5ª Y 6ª MONTAJE MQ281</t>
  </si>
  <si>
    <t>7016420006-115R</t>
  </si>
  <si>
    <t>REPARACION EJES MONTAJE MQ281</t>
  </si>
  <si>
    <t>7016420006-120M</t>
  </si>
  <si>
    <t>HORQUILLAS MONTAJE MQ281</t>
  </si>
  <si>
    <t>7016420006-130M</t>
  </si>
  <si>
    <t>PASO DE CAJA A BUCLE PREMONTAJE MONTAJE MQ281</t>
  </si>
  <si>
    <t>7016420006-140H</t>
  </si>
  <si>
    <t>ATORNILLADO EJES MONTAJE MQ281</t>
  </si>
  <si>
    <t>7016420006-150A</t>
  </si>
  <si>
    <t>JUNTA SILICONA TAPA MONTAJE MQ281</t>
  </si>
  <si>
    <t>7016420006-160A</t>
  </si>
  <si>
    <t>ATORNILLADO TAPA MONTAJE MQ281</t>
  </si>
  <si>
    <t>7016420006-165R</t>
  </si>
  <si>
    <t>STANDBY ATORNILLADO TAPA MONTAJE MQ281</t>
  </si>
  <si>
    <t>7016420006-170A</t>
  </si>
  <si>
    <t>PASO DE CAJA A BUCLE PRINCIPAL MONTAJE MQ281</t>
  </si>
  <si>
    <t>7016420006-180A</t>
  </si>
  <si>
    <t>LAVADORA PALET BUCLE PREMONTAJE MONTAJE MQ281</t>
  </si>
  <si>
    <t>RESERVADO LINEA DE MONTAJE MQ281</t>
  </si>
  <si>
    <t>7016420006-200A</t>
  </si>
  <si>
    <t>CARGA DE CARCASA MONTAJE MQ281</t>
  </si>
  <si>
    <t>7016420006-201S</t>
  </si>
  <si>
    <t>STANDBY CARGA CARCASA MONTAJE MQ281</t>
  </si>
  <si>
    <t>7016420006-210H</t>
  </si>
  <si>
    <t>WARENKORB PALIETRES, SELECTORA, PALANCA MONTAJE MQ281</t>
  </si>
  <si>
    <t>7016420006-220H</t>
  </si>
  <si>
    <t>PRENSADO CARCASA, CASQUILLO Y RODAMIENTO  MONTAJE MQ281</t>
  </si>
  <si>
    <t>7016420006-230H</t>
  </si>
  <si>
    <t>PRENSADO CARCASA RODAMIENTO Y TORNILLO ACEITE MONTAJE MQ281</t>
  </si>
  <si>
    <t>7016420006-240A</t>
  </si>
  <si>
    <t>MEDICION TARAJE MONTAJE MQ281</t>
  </si>
  <si>
    <t>7016420006-244M</t>
  </si>
  <si>
    <t>SPR PRECARGA MEDICION TARAJE MONTAJE MQ281</t>
  </si>
  <si>
    <t>7016420006-250H</t>
  </si>
  <si>
    <t>ARANDELAS Y PRENSADO PISTAS MONTAJE MQ281</t>
  </si>
  <si>
    <t>7016420006-260A</t>
  </si>
  <si>
    <t>SILICONA UNION CAJA Y SELECTORA MONTAJE MQ281</t>
  </si>
  <si>
    <t>7016420006-270H</t>
  </si>
  <si>
    <t>CIERRE UNION CAJA - CARCASA MONTAJE MQ281</t>
  </si>
  <si>
    <t>7016420006-280A</t>
  </si>
  <si>
    <t>CARGA 9 TORNILLOS Y PREAPRIETE MONTAJE MQ281</t>
  </si>
  <si>
    <t>7016420006-281S</t>
  </si>
  <si>
    <t>STANDBY CARGA 9 TORNILLOS Y PREAPRIETE MONTAJE MQ281</t>
  </si>
  <si>
    <t>7016420006-290A</t>
  </si>
  <si>
    <t>VOLTEO CAMBIO MONTAJE MQ281</t>
  </si>
  <si>
    <t>7016420006-300A</t>
  </si>
  <si>
    <t>CARGA 12 TORNILLOS Y PREAPRIETE MONTAJE MQ281</t>
  </si>
  <si>
    <t>7016420006-301S</t>
  </si>
  <si>
    <t>STANDBY CARGA 12 TORNILLOS Y PREAPRIETE MONTAJE MQ281</t>
  </si>
  <si>
    <t>7016420006-310A</t>
  </si>
  <si>
    <t>7016420006-320A</t>
  </si>
  <si>
    <t>ATORNILLADO 23 TORNILLOS UNION  MONTAJE MQ281</t>
  </si>
  <si>
    <t>7016420006-325R</t>
  </si>
  <si>
    <t>REPARACION ATORNILLADO LINEA PRINCIPAL MONTAJE MQ281</t>
  </si>
  <si>
    <t>7016420006-340H</t>
  </si>
  <si>
    <t>PRENSADO RETENES CAJA  - CARCASA MONTAJE MQ281</t>
  </si>
  <si>
    <t>7016420006-350H</t>
  </si>
  <si>
    <t>PRENSADO RETEN PRIMARIO Y PALIERES MONTAJE MQ281</t>
  </si>
  <si>
    <t>7016420006-360H</t>
  </si>
  <si>
    <t>ATORNILLADO PALIERES Y STST MONTAJE MQ281</t>
  </si>
  <si>
    <t>7016420006-370A</t>
  </si>
  <si>
    <t>MICROFUGOMETRO 1/2 MONTAJE MQ281</t>
  </si>
  <si>
    <t>7016420006-385R</t>
  </si>
  <si>
    <t>PUESTO DE REPARACION FUGAS MONTAJE MQ281</t>
  </si>
  <si>
    <t>7016420006-390H</t>
  </si>
  <si>
    <t>PREMONTAJE PALANCA EMBRAGUE MONTAJE MQ281</t>
  </si>
  <si>
    <t>7016420006-400A</t>
  </si>
  <si>
    <t>PESAJE CAMBIO VACIO INTEGRADA EN 410A MONTAJE MQ281</t>
  </si>
  <si>
    <t>7016420006-420A</t>
  </si>
  <si>
    <t>PESAJE CAMBIO LLENO INTEGRADA EN 410A MONTAJE MQ281</t>
  </si>
  <si>
    <t>7016420006-410A</t>
  </si>
  <si>
    <t>LLENADO DE ACEITE MONTAJE MQ281</t>
  </si>
  <si>
    <t>7016420006-411S</t>
  </si>
  <si>
    <t>STANDBY LLENADO DE ACEITE MONTAJE MQ281</t>
  </si>
  <si>
    <t>7016420006-430A</t>
  </si>
  <si>
    <t>ROBOT PASO DE CAMBIO A BUCLE BANCOS DE PRUEBA  MONTAJE MQ281</t>
  </si>
  <si>
    <t>7016420006-440A</t>
  </si>
  <si>
    <t>LAVADORA PALET BUCLE PRINCIPAL Y BANCOS  MONTAJE MQ281</t>
  </si>
  <si>
    <t>7016420006-560A</t>
  </si>
  <si>
    <t>TROQUELADO Y ETIQUETA CAMBIO MONTAJE MQ281</t>
  </si>
  <si>
    <t>7016420006-570M</t>
  </si>
  <si>
    <t>DESCARGA CAMBIOS NOK MONTAJE MQ281</t>
  </si>
  <si>
    <t>7016420006-590H</t>
  </si>
  <si>
    <t>CARGA DE CAMBIOS RECUPERADOS MONTAJE MQ281</t>
  </si>
  <si>
    <t>7016420006-700A</t>
  </si>
  <si>
    <t>CARGA DE CAJA EN BUCLE ALUMINIO CAJA MONTAJE MQ281</t>
  </si>
  <si>
    <t>7016420006-710H</t>
  </si>
  <si>
    <t>PRENSADO 1 CAJA MONTAJE MQ281</t>
  </si>
  <si>
    <t>7016420006-720H</t>
  </si>
  <si>
    <t>PRENSADO 2 CAJA MONTAJE MQ281</t>
  </si>
  <si>
    <t>7016420006-730H</t>
  </si>
  <si>
    <t>PRENSADO 3 CAJA MONTAJE MQ281</t>
  </si>
  <si>
    <t>7016420006-740A</t>
  </si>
  <si>
    <t>VOLTEO CAJA MONTAJE MQ281</t>
  </si>
  <si>
    <t>7016420006-750A</t>
  </si>
  <si>
    <t>PREMONTAJE ARANDELAS RODAMIENTOS CAJA MONTAJE MQ281</t>
  </si>
  <si>
    <t>7016420006-900A</t>
  </si>
  <si>
    <t>CARGA DIFERENCIAL EN BUCLE DIFERENCIAL MONTAJE MQ281</t>
  </si>
  <si>
    <t>7016420006-910H</t>
  </si>
  <si>
    <t>PRENSADO RODAMIENTOS MONTAJE MQ281</t>
  </si>
  <si>
    <t>7016420006-920M</t>
  </si>
  <si>
    <t>PREMONTAJE CHAPAS SATÉLITES Y PLANETARIO MONTAJE MQ281</t>
  </si>
  <si>
    <t>7016420006-930M</t>
  </si>
  <si>
    <t>MONTAJE PLANETARIOS MONTAJE MQ281</t>
  </si>
  <si>
    <t>7016420006-940M</t>
  </si>
  <si>
    <t>MONTAJE SATELITES MONTAJE MQ281</t>
  </si>
  <si>
    <t>7016420006-950S</t>
  </si>
  <si>
    <t>STANDBY PASADOR Y EJES MONTAJE MQ281</t>
  </si>
  <si>
    <t>7016420006-960A</t>
  </si>
  <si>
    <t>PRENSADO EJE Y PASADOR DIFERENCIAL MONTAJE MQ281</t>
  </si>
  <si>
    <t>7016420006-970A</t>
  </si>
  <si>
    <t>CONTROL DE GIRO DIFERENCIAL MONTAJE MQ281</t>
  </si>
  <si>
    <t>7016420006-980S</t>
  </si>
  <si>
    <t>STANDBY CARGA DIFERENCIAL EN CAJA MONTAJE MQ281</t>
  </si>
  <si>
    <t>7016420006-990A</t>
  </si>
  <si>
    <t>CARGA DE DIFERENCIAL OK EN CAJA MONTAJE MQ281</t>
  </si>
  <si>
    <t>7016420006-TA10</t>
  </si>
  <si>
    <t>LOOP 1 MONTAJE MQ281</t>
  </si>
  <si>
    <t>7016420006-TA20</t>
  </si>
  <si>
    <t>LOOP 2 MONTAJE MQ281</t>
  </si>
  <si>
    <t>7016420006-TA30</t>
  </si>
  <si>
    <t>LOOP 3 MONTAJE MQ281</t>
  </si>
  <si>
    <t>7016420006-TA40</t>
  </si>
  <si>
    <t>LOOP 4 MONTAJE MQ281</t>
  </si>
  <si>
    <t>7016420006-TA50</t>
  </si>
  <si>
    <t>LOOP 5 MONTAJE MQ281</t>
  </si>
  <si>
    <t>Cuello botella</t>
  </si>
  <si>
    <t>281-BLANCO</t>
  </si>
  <si>
    <t>Flujo/OEE</t>
  </si>
  <si>
    <t xml:space="preserve"> FELSOMAT 20004/5ª</t>
  </si>
  <si>
    <t>A1 - Cuello de botella</t>
  </si>
  <si>
    <t>CB</t>
  </si>
  <si>
    <t>CUELLOS_DE_BOTELLA.xlsx</t>
  </si>
  <si>
    <t>Dato fuente</t>
  </si>
  <si>
    <t>OEE 93.6%</t>
  </si>
  <si>
    <t xml:space="preserve"> FELSOMAT 20009</t>
  </si>
  <si>
    <t>OEE 93.8%</t>
  </si>
  <si>
    <t>281-NEGRO</t>
  </si>
  <si>
    <t>16004  FELSOMAT</t>
  </si>
  <si>
    <t>OEE 85.0%</t>
  </si>
  <si>
    <t>SINCRO</t>
  </si>
  <si>
    <t>90343</t>
  </si>
  <si>
    <t>OEE 89.2%</t>
  </si>
  <si>
    <t>90348</t>
  </si>
  <si>
    <t>OEE 89.4%</t>
  </si>
  <si>
    <t>BUDERUS 41002</t>
  </si>
  <si>
    <t>OEE 88.3%</t>
  </si>
  <si>
    <t>EMAG 42001</t>
  </si>
  <si>
    <t>OEE 86.7%</t>
  </si>
  <si>
    <t>EMAG 42002</t>
  </si>
  <si>
    <t>OEE 74.2%</t>
  </si>
  <si>
    <t>EMAG 42003</t>
  </si>
  <si>
    <t>OEE 74.0%</t>
  </si>
  <si>
    <t>T.T.</t>
  </si>
  <si>
    <t>EST-H15</t>
  </si>
  <si>
    <t>OEE 90.0%</t>
  </si>
  <si>
    <t>200-TORN</t>
  </si>
  <si>
    <t>FAMAR 90381-3ªVP</t>
  </si>
  <si>
    <t>OEE 82.8%</t>
  </si>
  <si>
    <t>FAMAR 90382</t>
  </si>
  <si>
    <t>FELSOMAT 16001</t>
  </si>
  <si>
    <t>OEE 89.0%</t>
  </si>
  <si>
    <t>FELSOMAT 16002</t>
  </si>
  <si>
    <t>OEE 88.6%</t>
  </si>
  <si>
    <t>FELSOMAT 16003</t>
  </si>
  <si>
    <t>OEE 88.0%</t>
  </si>
  <si>
    <t>FELSOMAT 20001</t>
  </si>
  <si>
    <t>OEE 94.0%</t>
  </si>
  <si>
    <t>FELSOMAT 20002</t>
  </si>
  <si>
    <t>OEE 92.2%</t>
  </si>
  <si>
    <t>FELSOMAT 20003</t>
  </si>
  <si>
    <t>OEE 95.7%</t>
  </si>
  <si>
    <t>FELSOMAT 20004/6ª</t>
  </si>
  <si>
    <t>OEE 92.3%</t>
  </si>
  <si>
    <t>FELSOMAT 20005</t>
  </si>
  <si>
    <t>OEE 93.4%</t>
  </si>
  <si>
    <t>FELSOMAT 20006</t>
  </si>
  <si>
    <t>OEE 94.1%</t>
  </si>
  <si>
    <t>FELSOMAT 20007</t>
  </si>
  <si>
    <t>OEE 94.9%</t>
  </si>
  <si>
    <t>FELSOMAT 20008</t>
  </si>
  <si>
    <t>OEE 95.1%</t>
  </si>
  <si>
    <t>FELSOMAT 20009</t>
  </si>
  <si>
    <t>OEE 92.7%</t>
  </si>
  <si>
    <t>FELSOMAT 20010</t>
  </si>
  <si>
    <t>OEE 92.5%</t>
  </si>
  <si>
    <t>FELSOMAT 20011</t>
  </si>
  <si>
    <t>OEE 93.3%</t>
  </si>
  <si>
    <t>FELSOMAT 26002</t>
  </si>
  <si>
    <t>FELSOMAT 26004</t>
  </si>
  <si>
    <t>OEE 92.8%</t>
  </si>
  <si>
    <t>FELSOMAT 26005/07</t>
  </si>
  <si>
    <t>FELSOMAT 41003/28002</t>
  </si>
  <si>
    <t>OEE 77.5%</t>
  </si>
  <si>
    <t>200-BLANCO</t>
  </si>
  <si>
    <t>GLEASON 17001</t>
  </si>
  <si>
    <t>OEE 86.8%</t>
  </si>
  <si>
    <t>GLEASON 17002</t>
  </si>
  <si>
    <t>GLEASON 17003</t>
  </si>
  <si>
    <t>OEE 89.1%</t>
  </si>
  <si>
    <t>GLEASON 17004</t>
  </si>
  <si>
    <t>OEE 87.1%</t>
  </si>
  <si>
    <t>200-AL</t>
  </si>
  <si>
    <t>GROB TAPA 6ª</t>
  </si>
  <si>
    <t>OEE 87.5%</t>
  </si>
  <si>
    <t>HURTH 90103</t>
  </si>
  <si>
    <t>OEE 82.4%</t>
  </si>
  <si>
    <t>TºLARGO</t>
  </si>
  <si>
    <t>I10-C.LONG</t>
  </si>
  <si>
    <t>OEE 69.9%</t>
  </si>
  <si>
    <t>I3-C.LONG</t>
  </si>
  <si>
    <t>OEE 79.9%</t>
  </si>
  <si>
    <t>I5-C.LONG</t>
  </si>
  <si>
    <t>OEE 67.5%</t>
  </si>
  <si>
    <t>TºCORTO</t>
  </si>
  <si>
    <t>I6-CSHORT</t>
  </si>
  <si>
    <t>OEE 66.9%</t>
  </si>
  <si>
    <t>I7-C.LONG</t>
  </si>
  <si>
    <t>OEE 67.9%</t>
  </si>
  <si>
    <t>I8-C.LONG</t>
  </si>
  <si>
    <t>OEE 69.6%</t>
  </si>
  <si>
    <t>I9-C.LONG</t>
  </si>
  <si>
    <t>OEE 70.3%</t>
  </si>
  <si>
    <t>E-PRODUCTS-FUN-GGH</t>
  </si>
  <si>
    <t>ISLA 1 GGH</t>
  </si>
  <si>
    <t>OEE 59.2%</t>
  </si>
  <si>
    <t>ISLA 2 GGH</t>
  </si>
  <si>
    <t>OEE 66.0%</t>
  </si>
  <si>
    <t>E-PRODUCTS-FUN-MGH</t>
  </si>
  <si>
    <t>ISLA 3 MGH</t>
  </si>
  <si>
    <t>OEE 54.2%</t>
  </si>
  <si>
    <t>ISLA 4 GGH</t>
  </si>
  <si>
    <t>OEE 83.2%</t>
  </si>
  <si>
    <t>ISLA 4 MGH</t>
  </si>
  <si>
    <t>OEE 69.7%</t>
  </si>
  <si>
    <t>ISLA 8 GGH</t>
  </si>
  <si>
    <t>OEE 46.9%</t>
  </si>
  <si>
    <t>KARL KLINK 90455</t>
  </si>
  <si>
    <t>OEE 88.8%</t>
  </si>
  <si>
    <t>L4 GROB CAJA</t>
  </si>
  <si>
    <t>OEE 87.9%</t>
  </si>
  <si>
    <t>L4 GROB CARCASA</t>
  </si>
  <si>
    <t>OEE 88.4%</t>
  </si>
  <si>
    <t>281-AL</t>
  </si>
  <si>
    <t>L5 MAG CAJA</t>
  </si>
  <si>
    <t>OEE 87.4%</t>
  </si>
  <si>
    <t>L5 MAG CARCASAS</t>
  </si>
  <si>
    <t>OEE 86.9%</t>
  </si>
  <si>
    <t>200-NEGRO</t>
  </si>
  <si>
    <t>LIDKOPING 20003</t>
  </si>
  <si>
    <t>LIEBHERR 90153</t>
  </si>
  <si>
    <t>LIEBHERR 90328</t>
  </si>
  <si>
    <t>LIEBHERR 90329</t>
  </si>
  <si>
    <t>OEE 84.3%</t>
  </si>
  <si>
    <t>LIEBHERR 90473</t>
  </si>
  <si>
    <t>E-PRODUCTS-AL-MGH</t>
  </si>
  <si>
    <t>MAG 1040</t>
  </si>
  <si>
    <t>OEE 53.2%</t>
  </si>
  <si>
    <t>MAG 1041</t>
  </si>
  <si>
    <t>OEE 53.8%</t>
  </si>
  <si>
    <t>E-PRODUCTS-AL-GGH</t>
  </si>
  <si>
    <t>MAG 1046</t>
  </si>
  <si>
    <t>MAG 1050</t>
  </si>
  <si>
    <t>OEE 56.6%</t>
  </si>
  <si>
    <t>MAG 1051</t>
  </si>
  <si>
    <t>OEE 54.5%</t>
  </si>
  <si>
    <t>MAG 1053</t>
  </si>
  <si>
    <t>OEE 48.7%</t>
  </si>
  <si>
    <t>MAG 1054</t>
  </si>
  <si>
    <t>OEE 47.0%</t>
  </si>
  <si>
    <t>MAG 1055</t>
  </si>
  <si>
    <t>OEE 55.7%</t>
  </si>
  <si>
    <t>MAG 1056</t>
  </si>
  <si>
    <t>OEE 63.7%</t>
  </si>
  <si>
    <t>MAG 1057</t>
  </si>
  <si>
    <t>OEE 66.3%</t>
  </si>
  <si>
    <t>MAG1045</t>
  </si>
  <si>
    <t>OEE 65.7%</t>
  </si>
  <si>
    <t>MONTAJE</t>
  </si>
  <si>
    <t>MONTAJE L-1</t>
  </si>
  <si>
    <t>OEE 96.1%</t>
  </si>
  <si>
    <t>MONTAJE L-3</t>
  </si>
  <si>
    <t>OEE 94.4%</t>
  </si>
  <si>
    <t>MURATEC 41004-3/4</t>
  </si>
  <si>
    <t>OEE 85.3%</t>
  </si>
  <si>
    <t>MURATEC 41004-5/6</t>
  </si>
  <si>
    <t>OEE 84.9%</t>
  </si>
  <si>
    <t>MURATEC 41005</t>
  </si>
  <si>
    <t>OEE 83.5%</t>
  </si>
  <si>
    <t>MURATEC 41010</t>
  </si>
  <si>
    <t>OEE 87.0%</t>
  </si>
  <si>
    <t>281-TORN</t>
  </si>
  <si>
    <t>MURATEC 41011-1ª281-COM</t>
  </si>
  <si>
    <t>OEE 83.0%</t>
  </si>
  <si>
    <t>MURATEC 41011-2ª-281-COM</t>
  </si>
  <si>
    <t>OEE 89.6%</t>
  </si>
  <si>
    <t>MURATEC 41012</t>
  </si>
  <si>
    <t>OEE 86.5%</t>
  </si>
  <si>
    <t>MURATEC 41013</t>
  </si>
  <si>
    <t>OEE 86.3%</t>
  </si>
  <si>
    <t>MURATEC 41014</t>
  </si>
  <si>
    <t>OEE 83.3%</t>
  </si>
  <si>
    <t>MURATEC 41015</t>
  </si>
  <si>
    <t>MURATEC 41016</t>
  </si>
  <si>
    <t>OEE 84.4%</t>
  </si>
  <si>
    <t>MURATEC 41016-5ªVP</t>
  </si>
  <si>
    <t>MURATEC 41016-6ªVP</t>
  </si>
  <si>
    <t>MURATEC 41017</t>
  </si>
  <si>
    <t>OEE 83.6%</t>
  </si>
  <si>
    <t>MURATEC 41018</t>
  </si>
  <si>
    <t>MURATEC 41019</t>
  </si>
  <si>
    <t>OEE 89.9%</t>
  </si>
  <si>
    <t>MURATEC 41019-4ªVC</t>
  </si>
  <si>
    <t>OEE 85.5%</t>
  </si>
  <si>
    <t>MURATEC 41019-6ªVC</t>
  </si>
  <si>
    <t>MURATEC 41020</t>
  </si>
  <si>
    <t>OEE 85.2%</t>
  </si>
  <si>
    <t>MURATEC 41021</t>
  </si>
  <si>
    <t>MURATEC 41022</t>
  </si>
  <si>
    <t>MURATEC 41023</t>
  </si>
  <si>
    <t>OEE 87.2%</t>
  </si>
  <si>
    <t>MURATEC 45003</t>
  </si>
  <si>
    <t>OEE 87.6%</t>
  </si>
  <si>
    <t>MURATEC 45004</t>
  </si>
  <si>
    <t>PFAUTER 90085</t>
  </si>
  <si>
    <t>PFAUTER 90087</t>
  </si>
  <si>
    <t>PITTLER 90456</t>
  </si>
  <si>
    <t>PITTLER 90456-3ªVC</t>
  </si>
  <si>
    <t>PRAWEMA 15002</t>
  </si>
  <si>
    <t>OEE 90.3%</t>
  </si>
  <si>
    <t>PRÄWEMA 33001</t>
  </si>
  <si>
    <t>PRÄWEMA 34001</t>
  </si>
  <si>
    <t>OEE 86.2%</t>
  </si>
  <si>
    <t>PRAWEMA 39001</t>
  </si>
  <si>
    <t>OEE 88.1%</t>
  </si>
  <si>
    <t>PRÄWEMA 90370</t>
  </si>
  <si>
    <t>OEE 85.9%</t>
  </si>
  <si>
    <t>PROBEAM 25001</t>
  </si>
  <si>
    <t>OEE 81.1%</t>
  </si>
  <si>
    <t>PROFILATOR 21001/2</t>
  </si>
  <si>
    <t>PROFIROLL 10002</t>
  </si>
  <si>
    <t>PTR  90007</t>
  </si>
  <si>
    <t>REISHAUER 30001</t>
  </si>
  <si>
    <t>OEE 87.7%</t>
  </si>
  <si>
    <t>REISHAUER 30002</t>
  </si>
  <si>
    <t>REISHAUER 32004</t>
  </si>
  <si>
    <t>OEE 88.2%</t>
  </si>
  <si>
    <t>REISHAUER 32006</t>
  </si>
  <si>
    <t>REISHAUER 32007</t>
  </si>
  <si>
    <t>REISHAUER 32008</t>
  </si>
  <si>
    <t>REISHAUER 37001</t>
  </si>
  <si>
    <t>OEE 88.9%</t>
  </si>
  <si>
    <t>REISHAUER 39005/36001/36002</t>
  </si>
  <si>
    <t>OEE 83.1%</t>
  </si>
  <si>
    <t>REISHAUER 39006</t>
  </si>
  <si>
    <t>OEE 76.3%</t>
  </si>
  <si>
    <t>REISHAUER 39007</t>
  </si>
  <si>
    <t>OEE 77.0%</t>
  </si>
  <si>
    <t>REISHAUER 40001</t>
  </si>
  <si>
    <t>OEE 88.5%</t>
  </si>
  <si>
    <t>REISHAUER 40006</t>
  </si>
  <si>
    <t>REISHAUER 40007</t>
  </si>
  <si>
    <t>OEE 88.7%</t>
  </si>
  <si>
    <t>REISHAUER 40008</t>
  </si>
  <si>
    <t>REISHAUER 40012</t>
  </si>
  <si>
    <t>REISHAUER 6773936001</t>
  </si>
  <si>
    <t>OEE 86.0%</t>
  </si>
  <si>
    <t>REISHAUER 6773939005</t>
  </si>
  <si>
    <t>OEE 86.4%</t>
  </si>
  <si>
    <t>TAKISAWA 41001</t>
  </si>
  <si>
    <t>OEE 81.9%</t>
  </si>
  <si>
    <t>TAKISAWA 41002</t>
  </si>
  <si>
    <t>TAKISAWA 41003</t>
  </si>
  <si>
    <t>Histórico paros</t>
  </si>
  <si>
    <t>SOLDADORA PROBEAM (EB) 7016420005/3</t>
  </si>
  <si>
    <t>Gr.65904 Soldadura en Duro</t>
  </si>
  <si>
    <t>404.6 h / 399 avisos</t>
  </si>
  <si>
    <t>A2 - Alto paro</t>
  </si>
  <si>
    <t>Histórico agrupado</t>
  </si>
  <si>
    <t>ANALISIS_PAROS_MAQUINAS_V2 3.xlsx</t>
  </si>
  <si>
    <t>Categorías: Otros (167); Neumatica / aire (93); Robot / carga / manipulacion (48)</t>
  </si>
  <si>
    <t>GRANALLADORA WHEELABRATOR 6868217001</t>
  </si>
  <si>
    <t>Gr. 65904 Rectificado.Ka</t>
  </si>
  <si>
    <t>355.8 h / 196 avisos</t>
  </si>
  <si>
    <t>Categorías: Granalla (129); Electrico / PLC / PC / comunicacion (17); Robot / carga / manipulacion (16)</t>
  </si>
  <si>
    <t>TORNO TAKISAWA 6782941001</t>
  </si>
  <si>
    <t>Grupo torneado</t>
  </si>
  <si>
    <t>302.8 h / 147 avisos</t>
  </si>
  <si>
    <t>Categorías: Otros (31); Robot / carga / manipulacion (28); Mecanica / desgaste / rotura (24)</t>
  </si>
  <si>
    <t>DENTADORA LIEBHERR 90405</t>
  </si>
  <si>
    <t>Gr. 66209 Ejes Primario (Blanco)</t>
  </si>
  <si>
    <t>297.7 h / 119 avisos</t>
  </si>
  <si>
    <t>Categorías: Mecanica / desgaste / rotura (61); Robot / carga / manipulacion (29); Calidad / medicion / proceso (16)</t>
  </si>
  <si>
    <t>GRANALLADORA ALJU 6868221001</t>
  </si>
  <si>
    <t>Gr. 31303 Rebabado Cajas -Carcasas</t>
  </si>
  <si>
    <t>284.8 h / 57 avisos</t>
  </si>
  <si>
    <t>Categorías: Granalla (38); Robot / carga / manipulacion (6); Neumatica / aire (3)</t>
  </si>
  <si>
    <t>RECTIFICADORA REISHAUER 6773936001</t>
  </si>
  <si>
    <t>Gr. 65904 Rectificado GaPlus</t>
  </si>
  <si>
    <t>269.0 h / 179 avisos</t>
  </si>
  <si>
    <t>Categorías: Otros (72); Robot / carga / manipulacion (22); Calidad / medicion / proceso (20)</t>
  </si>
  <si>
    <t>LAMINADORA PROFIROLL 6776922003</t>
  </si>
  <si>
    <t>66302 MQ-281 Engranajes Blanco</t>
  </si>
  <si>
    <t>267.1 h / 125 avisos</t>
  </si>
  <si>
    <t>Categorías: Robot / carga / manipulacion (51); Mecanica / desgaste / rotura (29); Otros (28)</t>
  </si>
  <si>
    <t>SOLDADORA P.T.R. 90007</t>
  </si>
  <si>
    <t>66302 P.T.R</t>
  </si>
  <si>
    <t>259.7 h / 103 avisos</t>
  </si>
  <si>
    <t>Categorías: Otros (57); Electrico / PLC / PC / comunicacion (12); Robot / carga / manipulacion (8)</t>
  </si>
  <si>
    <t>RECTIFICADORA REISHAUER 6773936002</t>
  </si>
  <si>
    <t>259.2 h / 41 avisos</t>
  </si>
  <si>
    <t>Categorías: Otros (10); Hidraulica / aceite (8); Seguridad / puertas / protecciones (6)</t>
  </si>
  <si>
    <t>RECTIFIC. HONEN PRAWEMA 6773934001</t>
  </si>
  <si>
    <t>242.2 h / 128 avisos</t>
  </si>
  <si>
    <t>Categorías: Otros (48); Calidad / medicion / proceso (20); Mecanica / desgaste / rotura (17)</t>
  </si>
  <si>
    <t>SOLDADORA PRO BEAM 6866224001</t>
  </si>
  <si>
    <t>235.8 h / 221 avisos</t>
  </si>
  <si>
    <t>Categorías: Otros (120); Mecanica / desgaste / rotura (29); Robot / carga / manipulacion (25)</t>
  </si>
  <si>
    <t>RECTIFICADORA FELSOMAT 6773941003</t>
  </si>
  <si>
    <t>Gr.65904 MQ-281 Corona Sincro</t>
  </si>
  <si>
    <t>234.5 h / 153 avisos</t>
  </si>
  <si>
    <t>Categorías: Otros (65); Robot / carga / manipulacion (47); Mecanica / desgaste / rotura (12)</t>
  </si>
  <si>
    <t>TORNO MURATEC 6782941014</t>
  </si>
  <si>
    <t>Grupo torneado MQ-281</t>
  </si>
  <si>
    <t>234.3 h / 52 avisos</t>
  </si>
  <si>
    <t>Categorías: Otros (21); Preventivo / TPM (9); Calidad / medicion / proceso (5)</t>
  </si>
  <si>
    <t>LAMINADORA PROFIROLL 6776922002</t>
  </si>
  <si>
    <t>232.2 h / 136 avisos</t>
  </si>
  <si>
    <t>Categorías: Robot / carga / manipulacion (68); Otros (37); Hidraulica / aceite (11)</t>
  </si>
  <si>
    <t>DENTADORA LIEBHERR 6786324003</t>
  </si>
  <si>
    <t>230.8 h / 95 avisos</t>
  </si>
  <si>
    <t>Categorías: Mecanica / desgaste / rotura (39); Robot / carga / manipulacion (34); Calidad / medicion / proceso (14)</t>
  </si>
  <si>
    <t>RECTIFICADORA REISHAUER 6773932006</t>
  </si>
  <si>
    <t>229.0 h / 82 avisos</t>
  </si>
  <si>
    <t>Categorías: Otros (32); Calidad / medicion / proceso (15); Robot / carga / manipulacion (9)</t>
  </si>
  <si>
    <t>BROCHADORA KARL KLINK 90390(6781750001)</t>
  </si>
  <si>
    <t>66302 Engranaje GA PLUS</t>
  </si>
  <si>
    <t>228.3 h / 209 avisos</t>
  </si>
  <si>
    <t>Categorías: Otros (120); Hidraulica / aceite (28); Robot / carga / manipulacion (16)</t>
  </si>
  <si>
    <t>TORNO 2 HUSILLO FAMAR 90494</t>
  </si>
  <si>
    <t>Gr. 66407 Bujes</t>
  </si>
  <si>
    <t>227.3 h / 238 avisos</t>
  </si>
  <si>
    <t>Categorías: Mecanica / desgaste / rotura (126); Robot / carga / manipulacion (41); Seguridad / puertas / protecciones (33)</t>
  </si>
  <si>
    <t>BROCHADORA KARL KLINK 6781912001</t>
  </si>
  <si>
    <t>225.3 h / 146 avisos</t>
  </si>
  <si>
    <t>Categorías: Otros (66); Hidraulica / aceite (25); Robot / carga / manipulacion (15)</t>
  </si>
  <si>
    <t>TORNO MURATEC 6782941022</t>
  </si>
  <si>
    <t>224.6 h / 60 avisos</t>
  </si>
  <si>
    <t>Categorías: Otros (28); Preventivo / TPM (9); Electrico / PLC / PC / comunicacion (6)</t>
  </si>
  <si>
    <t>DESPUNTADORA PROFILATOR 6786921002</t>
  </si>
  <si>
    <t>66302 MQ-281 Corona Sincro</t>
  </si>
  <si>
    <t>224.0 h / 136 avisos</t>
  </si>
  <si>
    <t>Categorías: Otros (47); Robot / carga / manipulacion (36); Mecanica / desgaste / rotura (28)</t>
  </si>
  <si>
    <t>DENTADORA LIEBHERR 90328</t>
  </si>
  <si>
    <t>217.8 h / 84 avisos</t>
  </si>
  <si>
    <t>Categorías: Otros (35); Robot / carga / manipulacion (20); Mecanica / desgaste / rotura (14)</t>
  </si>
  <si>
    <t>LAMINADORA PROFIROLL 6776922001</t>
  </si>
  <si>
    <t>209.5 h / 106 avisos</t>
  </si>
  <si>
    <t>Categorías: Otros (36); Robot / carga / manipulacion (29); Mecanica / desgaste / rotura (18)</t>
  </si>
  <si>
    <t>TORNO TAKISAWA 6782941002</t>
  </si>
  <si>
    <t>208.7 h / 167 avisos</t>
  </si>
  <si>
    <t>Categorías: Otros (54); Robot / carga / manipulacion (39); Mecanica / desgaste / rotura (22)</t>
  </si>
  <si>
    <t>DENTADORA FELSOMAT 6786920009</t>
  </si>
  <si>
    <t>208.4 h / 170 avisos</t>
  </si>
  <si>
    <t>Categorías: Otros (73); Mecanica / desgaste / rotura (34); Robot / carga / manipulacion (17)</t>
  </si>
  <si>
    <t>RECTIFICADORA REISHAUER 6773930003</t>
  </si>
  <si>
    <t>Gr. 66220 Rectificado Ejes y Rodado Coro</t>
  </si>
  <si>
    <t>208.0 h / 138 avisos</t>
  </si>
  <si>
    <t>Categorías: Mecanica / desgaste / rotura (83); Calidad / medicion / proceso (15); Neumatica / aire (11)</t>
  </si>
  <si>
    <t>TORNO VERTICAL FAMAR 90382</t>
  </si>
  <si>
    <t>203.1 h / 167 avisos</t>
  </si>
  <si>
    <t>Categorías: Otros (64); Mecanica / desgaste / rotura (29); Preventivo / TPM (27)</t>
  </si>
  <si>
    <t>LAMINADORA PROFIROLL 6776922005</t>
  </si>
  <si>
    <t>Gr.66222 MQ-281 Ejes Blanco</t>
  </si>
  <si>
    <t>200.2 h / 82 avisos</t>
  </si>
  <si>
    <t>Categorías: Mecanica / desgaste / rotura (42); Robot / carga / manipulacion (16); Hidraulica / aceite (9)</t>
  </si>
  <si>
    <t>TORNO MURATEC 6782941016</t>
  </si>
  <si>
    <t>200.1 h / 51 avisos</t>
  </si>
  <si>
    <t>Categorías: Otros (18); Mecanica / desgaste / rotura (11); Robot / carga / manipulacion (7)</t>
  </si>
  <si>
    <t>RECTIFICADORA REISHAUER 6773932005</t>
  </si>
  <si>
    <t>197.7 h / 100 avisos</t>
  </si>
  <si>
    <t>Categorías: Mecanica / desgaste / rotura (56); Calidad / medicion / proceso (17); Robot / carga / manipulacion (11)</t>
  </si>
  <si>
    <t>RECTIFICADORA REISHAUER 6773939005</t>
  </si>
  <si>
    <t>196.5 h / 149 avisos</t>
  </si>
  <si>
    <t>Categorías: Otros (58); Mecanica / desgaste / rotura (27); Robot / carga / manipulacion (19)</t>
  </si>
  <si>
    <t>CENTRO MECANIZ. MAG 6780981049</t>
  </si>
  <si>
    <t>Gr. 66511/06 Mecanizado Línea 5</t>
  </si>
  <si>
    <t>192.1 h / 125 avisos</t>
  </si>
  <si>
    <t>Categorías: Calidad / medicion / proceso (98); Electrico / PLC / PC / comunicacion (11); Hidraulica / aceite (7)</t>
  </si>
  <si>
    <t>GRANALLADORA WHEELABRATOR 6868213001</t>
  </si>
  <si>
    <t>191.3 h / 196 avisos</t>
  </si>
  <si>
    <t>Categorías: Granalla (115); Mecanica / desgaste / rotura (25); Neumatica / aire (12)</t>
  </si>
  <si>
    <t>LAMINADORA PROFIROLL 6776922004</t>
  </si>
  <si>
    <t>179.7 h / 92 avisos</t>
  </si>
  <si>
    <t>Categorías: Mecanica / desgaste / rotura (71); Robot / carga / manipulacion (6); Calidad / medicion / proceso (5)</t>
  </si>
  <si>
    <t>BROCHADORA EKIN 90229 (6791903001)</t>
  </si>
  <si>
    <t>179.6 h / 150 avisos</t>
  </si>
  <si>
    <t>Categorías: Refrigerante / agua / lavado (56); Otros (53); Hidraulica / aceite (12)</t>
  </si>
  <si>
    <t>DENTADORA FELSOMAT 6786920008</t>
  </si>
  <si>
    <t>178.1 h / 136 avisos</t>
  </si>
  <si>
    <t>Categorías: Otros (48); Robot / carga / manipulacion (36); Mecanica / desgaste / rotura (28)</t>
  </si>
  <si>
    <t>DENTADORA FELSOMAT 6786920007</t>
  </si>
  <si>
    <t>176.7 h / 74 avisos</t>
  </si>
  <si>
    <t>B - Alta carga</t>
  </si>
  <si>
    <t>Categorías: Otros (38); Mecanica / desgaste / rotura (20); Robot / carga / manipulacion (6)</t>
  </si>
  <si>
    <t>RECTIFICADORA TACHELLA 90388</t>
  </si>
  <si>
    <t>175.4 h / 47 avisos</t>
  </si>
  <si>
    <t>Categorías: Mecanica / desgaste / rotura (17); Robot / carga / manipulacion (11); Electrico / PLC / PC / comunicacion (6)</t>
  </si>
  <si>
    <t>ROBOT KUKA CELULA CARGA 8536339132</t>
  </si>
  <si>
    <t>175.2 h / 141 avisos</t>
  </si>
  <si>
    <t>Categorías: Robot / carga / manipulacion (134); Hidraulica / aceite (3); Neumatica / aire (2)</t>
  </si>
  <si>
    <t>RECTIFICADORA DANOBAT 90019</t>
  </si>
  <si>
    <t>174.9 h / 131 avisos</t>
  </si>
  <si>
    <t>Categorías: Otros (39); Hidraulica / aceite (19); Electrico / PLC / PC / comunicacion (19)</t>
  </si>
  <si>
    <t>RECTIFICADORA DANOBAT 90018 (6773925001)</t>
  </si>
  <si>
    <t>174.9 h / 90 avisos</t>
  </si>
  <si>
    <t>Categorías: Otros (41); Robot / carga / manipulacion (18); Mecanica / desgaste / rotura (10)</t>
  </si>
  <si>
    <t>DENTADORA FELSOMAT 6786920002</t>
  </si>
  <si>
    <t>173.6 h / 92 avisos</t>
  </si>
  <si>
    <t>Categorías: Otros (44); Calidad / medicion / proceso (15); Mecanica / desgaste / rotura (15)</t>
  </si>
  <si>
    <t>DENTADORA FELSOMAT 6786920001</t>
  </si>
  <si>
    <t>172.6 h / 132 avisos</t>
  </si>
  <si>
    <t>Categorías: Otros (54); Mecanica / desgaste / rotura (28); Calidad / medicion / proceso (10)</t>
  </si>
  <si>
    <t>TORNO VERT.PITTLER 90456 (6782926001)</t>
  </si>
  <si>
    <t>171.9 h / 163 avisos</t>
  </si>
  <si>
    <t>Categorías: Otros (59); Preventivo / TPM (27); Mecanica / desgaste / rotura (22)</t>
  </si>
  <si>
    <t>LAMINADORA PROFIROLL 6776910001</t>
  </si>
  <si>
    <t>Gr. 66219 Ejes Secundario (Blanco)</t>
  </si>
  <si>
    <t>170.6 h / 78 avisos</t>
  </si>
  <si>
    <t>Categorías: Mecanica / desgaste / rotura (55); Calidad / medicion / proceso (6); Robot / carga / manipulacion (5)</t>
  </si>
  <si>
    <t>GRANALLADORA DISA 6868218001</t>
  </si>
  <si>
    <t>Gr. 63501 Trat. Termicos (GRANALLAS)</t>
  </si>
  <si>
    <t>169.9 h / 96 avisos</t>
  </si>
  <si>
    <t>Categorías: Electrico / PLC / PC / comunicacion (89); Hidraulica / aceite (4); Refrigerante / agua / lavado (3)</t>
  </si>
  <si>
    <t>ROBOT KUKA CELULA CARGA 6861065025</t>
  </si>
  <si>
    <t>169.0 h / 124 avisos</t>
  </si>
  <si>
    <t>Categorías: Robot / carga / manipulacion (116); Electrico / PLC / PC / comunicacion (4); Hidraulica / aceite (2)</t>
  </si>
  <si>
    <t>LAMINADORA EX-CELL-O 90116</t>
  </si>
  <si>
    <t>167.2 h / 108 avisos</t>
  </si>
  <si>
    <t>Categorías: Robot / carga / manipulacion (48); Mecanica / desgaste / rotura (47); Electrico / PLC / PC / comunicacion (6)</t>
  </si>
  <si>
    <t>RECTIFICADORA REISHAUER 6773932004</t>
  </si>
  <si>
    <t>164.3 h / 118 avisos</t>
  </si>
  <si>
    <t>Categorías: Otros (39); Seguridad / puertas / protecciones (15); Hidraulica / aceite (13)</t>
  </si>
  <si>
    <t>RECTIFICADORA REISHAUER 6773930002</t>
  </si>
  <si>
    <t>162.9 h / 117 avisos</t>
  </si>
  <si>
    <t>Categorías: Otros (36); Robot / carga / manipulacion (23); Mecanica / desgaste / rotura (13)</t>
  </si>
  <si>
    <t>CELULA CARGA PROMAUT 8536579001/310</t>
  </si>
  <si>
    <t>Gr.65904 MQ-281 Conjunto Diferencial</t>
  </si>
  <si>
    <t>162.2 h / 203 avisos</t>
  </si>
  <si>
    <t>Categorías: Robot / carga / manipulacion (177); Electrico / PLC / PC / comunicacion (20); Neumatica / aire (6)</t>
  </si>
  <si>
    <t>EST.ORBITA CONJTO.DIFERENCIAL 7016420007</t>
  </si>
  <si>
    <t>160.8 h / 200 avisos</t>
  </si>
  <si>
    <t>Categorías: Otros (71); Robot / carga / manipulacion (36); Calidad / medicion / proceso (28)</t>
  </si>
  <si>
    <t>IS7 INYECTORA ITALPRESSE 6766901009</t>
  </si>
  <si>
    <t>Gr. 31301 Inyección Cajas -Carcasas</t>
  </si>
  <si>
    <t>159.7 h / 203 avisos</t>
  </si>
  <si>
    <t>Categorías: Otros (91); Hidraulica / aceite (42); Seguridad / puertas / protecciones (26)</t>
  </si>
  <si>
    <t>RECTIFICADORA DANOBAT 90022</t>
  </si>
  <si>
    <t>156.4 h / 146 avisos</t>
  </si>
  <si>
    <t>Categorías: Otros (52); Hidraulica / aceite (22); Robot / carga / manipulacion (21)</t>
  </si>
  <si>
    <t>DESPUNTEADORA PRAWEMA 90370</t>
  </si>
  <si>
    <t>66302 Engranaje 1ª Y 2ª Velocidad</t>
  </si>
  <si>
    <t>156.2 h / 113 avisos</t>
  </si>
  <si>
    <t>Categorías: Otros (66); Mecanica / desgaste / rotura (18); Proceso / ciclo / tiempo (8)</t>
  </si>
  <si>
    <t>RECTIFICADORA PRAWEMA 6786915002</t>
  </si>
  <si>
    <t>155.8 h / 104 avisos</t>
  </si>
  <si>
    <t>Categorías: Mecanica / desgaste / rotura (68); Robot / carga / manipulacion (11); Hidraulica / aceite (8)</t>
  </si>
  <si>
    <t>DENTADORA GLEASON-PFAUTER 6786917002</t>
  </si>
  <si>
    <t>Gr. 66306 Corona Reducción</t>
  </si>
  <si>
    <t>155.4 h / 55 avisos</t>
  </si>
  <si>
    <t>Categorías: Electrico / PLC / PC / comunicacion (51); Refrigerante / agua / lavado (2); Neumatica / aire (1)</t>
  </si>
  <si>
    <t>RECTIFICADORA REISHAUER 6773932007</t>
  </si>
  <si>
    <t>154.5 h / 107 avisos</t>
  </si>
  <si>
    <t>Categorías: Otros (45); Mecanica / desgaste / rotura (16); Calidad / medicion / proceso (13)</t>
  </si>
  <si>
    <t>Taladro-roscado T.B.T. 6780245001</t>
  </si>
  <si>
    <t>149.2 h / 105 avisos</t>
  </si>
  <si>
    <t>Categorías: Mecanica / desgaste / rotura (47); Robot / carga / manipulacion (29); Hidraulica / aceite (10)</t>
  </si>
  <si>
    <t>RECTIFICADORA EMAG 6773942003</t>
  </si>
  <si>
    <t>Gr.66221 MQ-281 Ejes Negro</t>
  </si>
  <si>
    <t>149.2 h / 111 avisos</t>
  </si>
  <si>
    <t>Categorías: Mecanica / desgaste / rotura (42); Robot / carga / manipulacion (29); Hidraulica / aceite (11)</t>
  </si>
  <si>
    <t>TORNO VERTICAL FAMAR 90381</t>
  </si>
  <si>
    <t>148.2 h / 132 avisos</t>
  </si>
  <si>
    <t>Categorías: Otros (47); Preventivo / TPM (36); Mecanica / desgaste / rotura (11)</t>
  </si>
  <si>
    <t>GRANALLADORA WHEELABRATOR 6868223001</t>
  </si>
  <si>
    <t>145.9 h / 163 avisos</t>
  </si>
  <si>
    <t>Categorías: Mecanica / desgaste / rotura (130); Seguridad / puertas / protecciones (9); Robot / carga / manipulacion (9)</t>
  </si>
  <si>
    <t>CENTRO MECANIZ. GROB 90508(6780981014)</t>
  </si>
  <si>
    <t>Gr. 66511/05 Mecanizado Línea 3</t>
  </si>
  <si>
    <t>144.2 h / 91 avisos</t>
  </si>
  <si>
    <t>Categorías: Calidad / medicion / proceso (63); Hidraulica / aceite (9); Refrigerante / agua / lavado (7)</t>
  </si>
  <si>
    <t>DENTADORA FELSOMAT 6786920004</t>
  </si>
  <si>
    <t>143.6 h / 80 avisos</t>
  </si>
  <si>
    <t>Categorías: Otros (37); Mecanica / desgaste / rotura (25); Robot / carga / manipulacion (7)</t>
  </si>
  <si>
    <t>AFILADORA ARTUR KLINK 90010</t>
  </si>
  <si>
    <t>Gr. 63801 Afilado Herramientas</t>
  </si>
  <si>
    <t>141.7 h / 32 avisos</t>
  </si>
  <si>
    <t>Categorías: Otros (13); Electrico / PLC / PC / comunicacion (6); Refrigerante / agua / lavado (3)</t>
  </si>
  <si>
    <t>COMBINADA PRÄWEMA 6786918002</t>
  </si>
  <si>
    <t>Gr. 66408 manguitos</t>
  </si>
  <si>
    <t>141.6 h / 101 avisos</t>
  </si>
  <si>
    <t>Categorías: Mecanica / desgaste / rotura (35); Otros (31); Robot / carga / manipulacion (7)</t>
  </si>
  <si>
    <t>GRANALLADORA WHEELABRATOR 6868213002</t>
  </si>
  <si>
    <t>141.1 h / 161 avisos</t>
  </si>
  <si>
    <t>Categorías: Mecanica / desgaste / rotura (120); Electrico / PLC / PC / comunicacion (16); Robot / carga / manipulacion (9)</t>
  </si>
  <si>
    <t>ESTACION 015H KRAUSE 7016420003</t>
  </si>
  <si>
    <t>Gr. 63508 Trat.Term.CONJTO.DIFERENCIAL</t>
  </si>
  <si>
    <t>138.7 h / 125 avisos</t>
  </si>
  <si>
    <t>Categorías: Otros (56); Preventivo / TPM (15); Calidad / medicion / proceso (14)</t>
  </si>
  <si>
    <t>CENTRO MECANIZ. GROB 90507(6780981013)</t>
  </si>
  <si>
    <t>136.3 h / 131 avisos</t>
  </si>
  <si>
    <t>Categorías: Calidad / medicion / proceso (77); Seguridad / puertas / protecciones (17); Robot / carga / manipulacion (15)</t>
  </si>
  <si>
    <t>BRUÑIDORA NÄGEL 6771814001</t>
  </si>
  <si>
    <t>Gr.65904 MQ-281 Engranajes Negro</t>
  </si>
  <si>
    <t>135.5 h / 121 avisos</t>
  </si>
  <si>
    <t>Categorías: Otros (51); Robot / carga / manipulacion (25); Seguridad / puertas / protecciones (16)</t>
  </si>
  <si>
    <t>RECTIFICADORA BUDERUS 90337(6773924001)</t>
  </si>
  <si>
    <t>135.0 h / 122 avisos</t>
  </si>
  <si>
    <t>Categorías: Otros (34); Robot / carga / manipulacion (30); Refrigerante / agua / lavado (14)</t>
  </si>
  <si>
    <t>BANCO REPARACION MOLDES CGM 6897601001</t>
  </si>
  <si>
    <t>Secc. 298 Mantenimiento Moldes</t>
  </si>
  <si>
    <t>134.4 h / 18 avisos</t>
  </si>
  <si>
    <t>Categorías: Otros (10); Hidraulica / aceite (4); Electrico / PLC / PC / comunicacion (3)</t>
  </si>
  <si>
    <t>CENTRO MECANIZ. MAG 6780981046</t>
  </si>
  <si>
    <t>133.5 h / 150 avisos</t>
  </si>
  <si>
    <t>Categorías: Calidad / medicion / proceso (83); Robot / carga / manipulacion (30); Seguridad / puertas / protecciones (21)</t>
  </si>
  <si>
    <t>COMBINADA PRÄWEMA 6785939001</t>
  </si>
  <si>
    <t>Gr. 66305 Engranajes M. Atrás</t>
  </si>
  <si>
    <t>133.3 h / 97 avisos</t>
  </si>
  <si>
    <t>Categorías: Otros (39); Mecanica / desgaste / rotura (19); Robot / carga / manipulacion (12)</t>
  </si>
  <si>
    <t>DENTADORA LIEBHERR 90042</t>
  </si>
  <si>
    <t>132.8 h / 73 avisos</t>
  </si>
  <si>
    <t>Categorías: Otros (33); Refrigerante / agua / lavado (11); Robot / carga / manipulacion (10)</t>
  </si>
  <si>
    <t>CENTRO MECANIZ. MAG 6780981051</t>
  </si>
  <si>
    <t>Gr. 66511/07 Mecanizado Línea 6</t>
  </si>
  <si>
    <t>132.8 h / 85 avisos</t>
  </si>
  <si>
    <t>Categorías: Calidad / medicion / proceso (36); Otros (22); Mecanica / desgaste / rotura (13)</t>
  </si>
  <si>
    <t>CENTRO MECANIZ. MAG 6780981042</t>
  </si>
  <si>
    <t>132.4 h / 99 avisos</t>
  </si>
  <si>
    <t>Categorías: Calidad / medicion / proceso (69); Robot / carga / manipulacion (9); Hidraulica / aceite (8)</t>
  </si>
  <si>
    <t>RECTIFICADORA EMAG 6773942001</t>
  </si>
  <si>
    <t>130.9 h / 91 avisos</t>
  </si>
  <si>
    <t>Categorías: Mecanica / desgaste / rotura (37); Robot / carga / manipulacion (16); Hidraulica / aceite (11)</t>
  </si>
  <si>
    <t>ID2 INYECTORA IDRA</t>
  </si>
  <si>
    <t>130.5 h / 180 avisos</t>
  </si>
  <si>
    <t>Categorías: Otros (94); Hidraulica / aceite (26); Seguridad / puertas / protecciones (24)</t>
  </si>
  <si>
    <t>BROCHADORA KARL KLINK 90380</t>
  </si>
  <si>
    <t>130.1 h / 233 avisos</t>
  </si>
  <si>
    <t>Categorías: Otros (132); Hidraulica / aceite (27); Mecanica / desgaste / rotura (25)</t>
  </si>
  <si>
    <t>TORNO TAKISAWA 6782941003</t>
  </si>
  <si>
    <t>129.1 h / 75 avisos</t>
  </si>
  <si>
    <t>Categorías: Otros (21); Preventivo / TPM (15); Mecanica / desgaste / rotura (14)</t>
  </si>
  <si>
    <t>DESPUNTADORA PROFILATOR 6786921001</t>
  </si>
  <si>
    <t>128.5 h / 118 avisos</t>
  </si>
  <si>
    <t>Categorías: Otros (56); Robot / carga / manipulacion (17); Mecanica / desgaste / rotura (16)</t>
  </si>
  <si>
    <t>RECTIFIC. HONEN PRAWEMA 6773933001</t>
  </si>
  <si>
    <t>126.9 h / 91 avisos</t>
  </si>
  <si>
    <t>Categorías: Otros (32); Calidad / medicion / proceso (18); Robot / carga / manipulacion (12)</t>
  </si>
  <si>
    <t>RECTIFICADORA EMAG 6773942002</t>
  </si>
  <si>
    <t>126.4 h / 123 avisos</t>
  </si>
  <si>
    <t>Categorías: Mecanica / desgaste / rotura (48); Robot / carga / manipulacion (38); Seguridad / puertas / protecciones (10)</t>
  </si>
  <si>
    <t>BROCHADORA EKIN 6781915001</t>
  </si>
  <si>
    <t>125.6 h / 121 avisos</t>
  </si>
  <si>
    <t>Categorías: Otros (46); Robot / carga / manipulacion (44); Mecanica / desgaste / rotura (9)</t>
  </si>
  <si>
    <t>RECTIFICADORA REISHAUER 6773937001</t>
  </si>
  <si>
    <t>125.3 h / 101 avisos</t>
  </si>
  <si>
    <t>Categorías: Otros (42); Calidad / medicion / proceso (13); Robot / carga / manipulacion (13)</t>
  </si>
  <si>
    <t>RECTIFICADORA FELSOMAT 6773828002</t>
  </si>
  <si>
    <t>124.9 h / 124 avisos</t>
  </si>
  <si>
    <t>Categorías: Otros (58); Robot / carga / manipulacion (19); Seguridad / puertas / protecciones (15)</t>
  </si>
  <si>
    <t>CENTRO MECANIZ. MAG 6780981048</t>
  </si>
  <si>
    <t>123.4 h / 138 avisos</t>
  </si>
  <si>
    <t>Categorías: Calidad / medicion / proceso (94); Electrico / PLC / PC / comunicacion (14); Hidraulica / aceite (14)</t>
  </si>
  <si>
    <t>BROCHADORA EKIN 6781916001</t>
  </si>
  <si>
    <t>121.8 h / 84 avisos</t>
  </si>
  <si>
    <t>Categorías: Otros (35); Robot / carga / manipulacion (20); Mecanica / desgaste / rotura (13)</t>
  </si>
  <si>
    <t>CENTRO MECANIZ. MAG 6780981047</t>
  </si>
  <si>
    <t>121.7 h / 117 avisos</t>
  </si>
  <si>
    <t>Categorías: Calidad / medicion / proceso (88); Hidraulica / aceite (12); Electrico / PLC / PC / comunicacion (8)</t>
  </si>
  <si>
    <t>RECTIFICADORA TACHELLA 90385</t>
  </si>
  <si>
    <t>121.6 h / 77 avisos</t>
  </si>
  <si>
    <t>Categorías: Mecanica / desgaste / rotura (43); Robot / carga / manipulacion (11); Hidraulica / aceite (7)</t>
  </si>
  <si>
    <t>DENTADORA FELSOMAT 6786326004</t>
  </si>
  <si>
    <t>121.3 h / 87 avisos</t>
  </si>
  <si>
    <t>Categorías: Robot / carga / manipulacion (34); Mecanica / desgaste / rotura (33); Calidad / medicion / proceso (12)</t>
  </si>
  <si>
    <t>ID1 INYECTORA IDRA</t>
  </si>
  <si>
    <t>121.0 h / 174 avisos</t>
  </si>
  <si>
    <t>Categorías: Otros (68); Seguridad / puertas / protecciones (42); Hidraulica / aceite (26)</t>
  </si>
  <si>
    <t>CENTRO MECANIZ. MAG 6780981050</t>
  </si>
  <si>
    <t>LÍNEA GETRIEBEGEHÄUSE (CAJA)</t>
  </si>
  <si>
    <t>119.8 h / 96 avisos</t>
  </si>
  <si>
    <t>Categorías: Calidad / medicion / proceso (26); Otros (19); Robot / carga / manipulacion (18)</t>
  </si>
  <si>
    <t>TALADRO ROSCADO T.B.T 6780245002</t>
  </si>
  <si>
    <t>119.5 h / 68 avisos</t>
  </si>
  <si>
    <t>Categorías: Mecanica / desgaste / rotura (34); Robot / carga / manipulacion (12); Hidraulica / aceite (8)</t>
  </si>
  <si>
    <t>TORNO MURATEC 6782941009</t>
  </si>
  <si>
    <t>119.3 h / 81 avisos</t>
  </si>
  <si>
    <t>Categorías: Otros (32); Robot / carga / manipulacion (26); Mecanica / desgaste / rotura (7)</t>
  </si>
  <si>
    <t>RECTIFICADORA REISHAUER 6773930001</t>
  </si>
  <si>
    <t>118.7 h / 130 avisos</t>
  </si>
  <si>
    <t>Categorías: Otros (34); Mecanica / desgaste / rotura (25); Electrico / PLC / PC / comunicacion (16)</t>
  </si>
  <si>
    <t>DENTADORA FELSOMAT 6786326005</t>
  </si>
  <si>
    <t>118.3 h / 82 avisos</t>
  </si>
  <si>
    <t>Categorías: Mecanica / desgaste / rotura (33); Robot / carga / manipulacion (27); Hidraulica / aceite (10)</t>
  </si>
  <si>
    <t>IP1 PRENSA ITALPRESSE 90313</t>
  </si>
  <si>
    <t>117.7 h / 45 avisos</t>
  </si>
  <si>
    <t>Categorías: Otros (26); Seguridad / puertas / protecciones (8); Hidraulica / aceite (6)</t>
  </si>
  <si>
    <t>PÓRTICO MAG 8536535003</t>
  </si>
  <si>
    <t>116.5 h / 103 avisos</t>
  </si>
  <si>
    <t>Categorías: Robot / carga / manipulacion (97); Neumatica / aire (5); Electrico / PLC / PC / comunicacion (1)</t>
  </si>
  <si>
    <t>GRANALLADORA WHEELABRATOR 6868213003</t>
  </si>
  <si>
    <t>116.0 h / 161 avisos</t>
  </si>
  <si>
    <t>Categorías: Mecanica / desgaste / rotura (118); Electrico / PLC / PC / comunicacion (14); Robot / carga / manipulacion (12)</t>
  </si>
  <si>
    <t>RECTIFICADORA HÖNEN PRÄWEMA 6771818001</t>
  </si>
  <si>
    <t>115.3 h / 68 avisos</t>
  </si>
  <si>
    <t>Categorías: Mecanica / desgaste / rotura (27); Robot / carga / manipulacion (15); Refrigerante / agua / lavado (9)</t>
  </si>
  <si>
    <t>CENTRO MECANIZ. GROB 6780981035</t>
  </si>
  <si>
    <t>Gr. 66511/04 Mecanizado Línea 4</t>
  </si>
  <si>
    <t>114.2 h / 119 avisos</t>
  </si>
  <si>
    <t>Categorías: Calidad / medicion / proceso (97); Refrigerante / agua / lavado (6); Seguridad / puertas / protecciones (5)</t>
  </si>
  <si>
    <t>ROBOT KUKA CELDA DESCARGA CAJA MQ281</t>
  </si>
  <si>
    <t>112.9 h / 176 avisos</t>
  </si>
  <si>
    <t>Categorías: Robot / carga / manipulacion (147); Hidraulica / aceite (26); Electrico / PLC / PC / comunicacion (3)</t>
  </si>
  <si>
    <t>DENTADORA LIEBHERR 90153</t>
  </si>
  <si>
    <t>112.8 h / 84 avisos</t>
  </si>
  <si>
    <t>Categorías: Otros (49); Mecanica / desgaste / rotura (13); Hidraulica / aceite (8)</t>
  </si>
  <si>
    <t>DENTADORA GLEASON-PFAUTER 6786917001</t>
  </si>
  <si>
    <t>112.7 h / 63 avisos</t>
  </si>
  <si>
    <t>Categorías: Electrico / PLC / PC / comunicacion (50); Refrigerante / agua / lavado (6); Hidraulica / aceite (4)</t>
  </si>
  <si>
    <t>DENTADORA FELSOMAT 6786326007</t>
  </si>
  <si>
    <t>112.0 h / 61 avisos</t>
  </si>
  <si>
    <t>Categorías: Mecanica / desgaste / rotura (39); Robot / carga / manipulacion (11); Calidad / medicion / proceso (4)</t>
  </si>
  <si>
    <t>DENTADORA FELSOMAT 6786920006</t>
  </si>
  <si>
    <t>111.8 h / 95 avisos</t>
  </si>
  <si>
    <t>Categorías: Otros (42); Mecanica / desgaste / rotura (23); Hidraulica / aceite (7)</t>
  </si>
  <si>
    <t>TORNO MURATEC 6782941018</t>
  </si>
  <si>
    <t>111.5 h / 44 avisos</t>
  </si>
  <si>
    <t>Categorías: Otros (7); Robot / carga / manipulacion (6); Hidraulica / aceite (6)</t>
  </si>
  <si>
    <t>RECTIFICADORA HÖNEN FELSOMAT 6771816001</t>
  </si>
  <si>
    <t>111.2 h / 105 avisos</t>
  </si>
  <si>
    <t>Categorías: Otros (36); Mecanica / desgaste / rotura (16); Robot / carga / manipulacion (11)</t>
  </si>
  <si>
    <t>SOLDADORA P.T.R. 90281 (6867134003)</t>
  </si>
  <si>
    <t>111.0 h / 127 avisos</t>
  </si>
  <si>
    <t>Categorías: Otros (58); Robot / carga / manipulacion (30); Neumatica / aire (15)</t>
  </si>
  <si>
    <t>RECTIFICADORA TACHELLA 90386</t>
  </si>
  <si>
    <t>110.8 h / 63 avisos</t>
  </si>
  <si>
    <t>Categorías: Mecanica / desgaste / rotura (31); Hidraulica / aceite (7); Electrico / PLC / PC / comunicacion (6)</t>
  </si>
  <si>
    <t>CENTRO MECANIZ. MAG 6780981043</t>
  </si>
  <si>
    <t>110.0 h / 121 avisos</t>
  </si>
  <si>
    <t>Categorías: Calidad / medicion / proceso (89); Electrico / PLC / PC / comunicacion (12); Seguridad / puertas / protecciones (8)</t>
  </si>
  <si>
    <t>ESMERILADORA GEHRING 90272(6771622005)</t>
  </si>
  <si>
    <t>109.0 h / 67 avisos</t>
  </si>
  <si>
    <t>Categorías: Otros (42); Calidad / medicion / proceso (9); Mecanica / desgaste / rotura (5)</t>
  </si>
  <si>
    <t>GRANALLADORA SISSON LEHMANN 6868213004</t>
  </si>
  <si>
    <t>108.0 h / 128 avisos</t>
  </si>
  <si>
    <t>Categorías: Granalla (72); Mecanica / desgaste / rotura (19); Proceso / ciclo / tiempo (9)</t>
  </si>
  <si>
    <t>CENTRO MECANIZ. MAG 6780981044</t>
  </si>
  <si>
    <t>108.0 h / 100 avisos</t>
  </si>
  <si>
    <t>Categorías: Calidad / medicion / proceso (75); Electrico / PLC / PC / comunicacion (9); Seguridad / puertas / protecciones (5)</t>
  </si>
  <si>
    <t>RECTIFICADORA BUDERUS 6773941002</t>
  </si>
  <si>
    <t>107.8 h / 65 avisos</t>
  </si>
  <si>
    <t>Categorías: Otros (18); Refrigerante / agua / lavado (16); Robot / carga / manipulacion (12)</t>
  </si>
  <si>
    <t>RECTIFICADORA REISHAUER 6773932010</t>
  </si>
  <si>
    <t>107.1 h / 109 avisos</t>
  </si>
  <si>
    <t>Categorías: Mecanica / desgaste / rotura (40); Calidad / medicion / proceso (22); Robot / carga / manipulacion (20)</t>
  </si>
  <si>
    <t>BRUÑIDORA NÄGEL 6771814002</t>
  </si>
  <si>
    <t>104.8 h / 75 avisos</t>
  </si>
  <si>
    <t>Categorías: Otros (36); Robot / carga / manipulacion (13); Electrico / PLC / PC / comunicacion (8)</t>
  </si>
  <si>
    <t>RECTIFICADORA REISHAUER 6773932008</t>
  </si>
  <si>
    <t>103.4 h / 88 avisos</t>
  </si>
  <si>
    <t>Categorías: Otros (25); Calidad / medicion / proceso (20); Mecanica / desgaste / rotura (13)</t>
  </si>
  <si>
    <t>DENTADORA FELSOMAT 6786920010</t>
  </si>
  <si>
    <t>66302 MQ-281 Corona Reducción</t>
  </si>
  <si>
    <t>103.3 h / 72 avisos</t>
  </si>
  <si>
    <t>Categorías: Electrico / PLC / PC / comunicacion (66); Hidraulica / aceite (4); Refrigerante / agua / lavado (2)</t>
  </si>
  <si>
    <t>BROCHADORA ARTUR KLINK 90025</t>
  </si>
  <si>
    <t>66302 Engranaje KA</t>
  </si>
  <si>
    <t>103.3 h / 88 avisos</t>
  </si>
  <si>
    <t>Categorías: Otros (54); Mecanica / desgaste / rotura (11); Hidraulica / aceite (7)</t>
  </si>
  <si>
    <t>CORTADORA METKON 6776921001</t>
  </si>
  <si>
    <t>101.0 h / 14 avisos</t>
  </si>
  <si>
    <t>Categorías: Mecanica / desgaste / rotura (6); Otros (6); Refrigerante / agua / lavado (1)</t>
  </si>
  <si>
    <t>RECTIFICADORA HÖNEN PRÄWEMA 6771818002</t>
  </si>
  <si>
    <t>100.7 h / 76 avisos</t>
  </si>
  <si>
    <t>Categorías: Mecanica / desgaste / rotura (27); Electrico / PLC / PC / comunicacion (13); Refrigerante / agua / lavado (10)</t>
  </si>
  <si>
    <t>AFILADORA SCHNEEBERGER 6772919002</t>
  </si>
  <si>
    <t>100.7 h / 15 avisos</t>
  </si>
  <si>
    <t>Categorías: Otros (7); Proceso / ciclo / tiempo (2); Mecanica / desgaste / rotura (2)</t>
  </si>
  <si>
    <t>RECTIFICADORA REISHAUER 6773939006</t>
  </si>
  <si>
    <t>100.1 h / 74 avisos</t>
  </si>
  <si>
    <t>Categorías: Otros (27); Mecanica / desgaste / rotura (20); Robot / carga / manipulacion (11)</t>
  </si>
  <si>
    <t>DENTADORA FELSOMAT 6786920003</t>
  </si>
  <si>
    <t>99.5 h / 94 avisos</t>
  </si>
  <si>
    <t>Categorías: Otros (42); Mecanica / desgaste / rotura (29); Hidraulica / aceite (8)</t>
  </si>
  <si>
    <t>TRIDIMENSIONAL HEXAGON 8228108003</t>
  </si>
  <si>
    <t>99.0 h / 13 avisos</t>
  </si>
  <si>
    <t>Categorías: Calidad / medicion / proceso (11); Electrico / PLC / PC / comunicacion (2)</t>
  </si>
  <si>
    <t>LAMINADORA PROFIROLL 6776922006</t>
  </si>
  <si>
    <t>97.9 h / 49 avisos</t>
  </si>
  <si>
    <t>Categorías: Otros (19); Robot / carga / manipulacion (16); Hidraulica / aceite (5)</t>
  </si>
  <si>
    <t>RECTIFICADORA TACHELLA 90476</t>
  </si>
  <si>
    <t>97.4 h / 66 avisos</t>
  </si>
  <si>
    <t>Categorías: Mecanica / desgaste / rotura (22); Hidraulica / aceite (14); Robot / carga / manipulacion (10)</t>
  </si>
  <si>
    <t>RECTIFICADORA FELSOMAT 6773828001</t>
  </si>
  <si>
    <t>96.9 h / 96 avisos</t>
  </si>
  <si>
    <t>Categorías: Otros (40); Mecanica / desgaste / rotura (10); Seguridad / puertas / protecciones (9)</t>
  </si>
  <si>
    <t>TORNO VERTICAL FAMAR 90351</t>
  </si>
  <si>
    <t>96.4 h / 93 avisos</t>
  </si>
  <si>
    <t>Categorías: Otros (46); Robot / carga / manipulacion (16); Mecanica / desgaste / rotura (14)</t>
  </si>
  <si>
    <t>DESPUNTEADORA PRAWEMA 6786629002</t>
  </si>
  <si>
    <t>95.5 h / 91 avisos</t>
  </si>
  <si>
    <t>Categorías: Mecanica / desgaste / rotura (65); Robot / carga / manipulacion (7); Electrico / PLC / PC / comunicacion (7)</t>
  </si>
  <si>
    <t>RECTIFICADORA DANOBAT 90296</t>
  </si>
  <si>
    <t>94.9 h / 30 avisos</t>
  </si>
  <si>
    <t>Categorías: Otros (8); Hidraulica / aceite (4); Robot / carga / manipulacion (4)</t>
  </si>
  <si>
    <t>LAMINADORA EX-CELL-O 90113</t>
  </si>
  <si>
    <t>94.8 h / 79 avisos</t>
  </si>
  <si>
    <t>Categorías: Mecanica / desgaste / rotura (42); Robot / carga / manipulacion (24); Hidraulica / aceite (10)</t>
  </si>
  <si>
    <t>PRENSA ENDEREZ. MAE 6761069002</t>
  </si>
  <si>
    <t>94.5 h / 95 avisos</t>
  </si>
  <si>
    <t>Categorías: Mecanica / desgaste / rotura (46); Electrico / PLC / PC / comunicacion (26); Robot / carga / manipulacion (15)</t>
  </si>
  <si>
    <t>BRUÑIDORA GEHRING 6771626001</t>
  </si>
  <si>
    <t>94.1 h / 61 avisos</t>
  </si>
  <si>
    <t>Categorías: Otros (23); Refrigerante / agua / lavado (9); Neumatica / aire (6)</t>
  </si>
  <si>
    <t>SOLDADORA P.T.R. 90363 ( 6866215001)</t>
  </si>
  <si>
    <t>92.8 h / 17 avisos</t>
  </si>
  <si>
    <t>Categorías: Otros (11); Electrico / PLC / PC / comunicacion (3); Seguridad / puertas / protecciones (1)</t>
  </si>
  <si>
    <t>RECTIFICADORA HÖNEN FELSOMAT 6771816003</t>
  </si>
  <si>
    <t>91.5 h / 85 avisos</t>
  </si>
  <si>
    <t>Categorías: Otros (33); Calidad / medicion / proceso (14); Hidraulica / aceite (11)</t>
  </si>
  <si>
    <t>TORNO VERTICAL FAMAR 6782938001</t>
  </si>
  <si>
    <t>91.4 h / 66 avisos</t>
  </si>
  <si>
    <t>Categorías: Otros (30); Robot / carga / manipulacion (13); Preventivo / TPM (7)</t>
  </si>
  <si>
    <t>RECTIFICADORA HÖNEN PRÄWEMA 6771818003</t>
  </si>
  <si>
    <t>89.5 h / 106 avisos</t>
  </si>
  <si>
    <t>Categorías: Mecanica / desgaste / rotura (67); Calidad / medicion / proceso (10); Electrico / PLC / PC / comunicacion (8)</t>
  </si>
  <si>
    <t>RECTIFICADORA LIDKOPING 90481</t>
  </si>
  <si>
    <t>88.7 h / 78 avisos</t>
  </si>
  <si>
    <t>Categorías: Mecanica / desgaste / rotura (42); Calidad / medicion / proceso (10); Refrigerante / agua / lavado (7)</t>
  </si>
  <si>
    <t>LAVADORA SILBERHORN 6878319002</t>
  </si>
  <si>
    <t>87.6 h / 135 avisos</t>
  </si>
  <si>
    <t>Categorías: Refrigerante / agua / lavado (111); Neumatica / aire (19); Hidraulica / aceite (5)</t>
  </si>
  <si>
    <t>DENTADORA GLEASON-PFAUTER 6786917004</t>
  </si>
  <si>
    <t>86.9 h / 64 avisos</t>
  </si>
  <si>
    <t>Categorías: Otros (29); Robot / carga / manipulacion (13); Mecanica / desgaste / rotura (5)</t>
  </si>
  <si>
    <t>GRANALLADORA WHEELABRATOR 6868223002</t>
  </si>
  <si>
    <t>86.8 h / 110 avisos</t>
  </si>
  <si>
    <t>Categorías: Granalla (40); Mecanica / desgaste / rotura (34); Robot / carga / manipulacion (15)</t>
  </si>
  <si>
    <t>GRANALLADORA WHEELABRATOR 6868222001</t>
  </si>
  <si>
    <t>86.5 h / 79 avisos</t>
  </si>
  <si>
    <t>Categorías: Granalla (47); Robot / carga / manipulacion (15); Mecanica / desgaste / rotura (6)</t>
  </si>
  <si>
    <t>RECTIFICADORA LIDKOPING 6773420003</t>
  </si>
  <si>
    <t>86.2 h / 95 avisos</t>
  </si>
  <si>
    <t>Categorías: Mecanica / desgaste / rotura (44); Electrico / PLC / PC / comunicacion (12); Neumatica / aire (11)</t>
  </si>
  <si>
    <t>MORTAJADORA LIEBHERR 6786210004</t>
  </si>
  <si>
    <t>85.8 h / 57 avisos</t>
  </si>
  <si>
    <t>Categorías: Mecanica / desgaste / rotura (46); Electrico / PLC / PC / comunicacion (3); Robot / carga / manipulacion (3)</t>
  </si>
  <si>
    <t>CENTRO MECANIZ. MAG 6780981040</t>
  </si>
  <si>
    <t>85.5 h / 120 avisos</t>
  </si>
  <si>
    <t>Categorías: Calidad / medicion / proceso (57); Robot / carga / manipulacion (17); Seguridad / puertas / protecciones (14)</t>
  </si>
  <si>
    <t>DENTADORA FELSOMAT 6786326008</t>
  </si>
  <si>
    <t>83.8 h / 68 avisos</t>
  </si>
  <si>
    <t>Categorías: Mecanica / desgaste / rotura (44); Robot / carga / manipulacion (12); Electrico / PLC / PC / comunicacion (3)</t>
  </si>
  <si>
    <t>MORTAJADORA LIEBHERR 6786210003</t>
  </si>
  <si>
    <t>83.7 h / 82 avisos</t>
  </si>
  <si>
    <t>Categorías: Mecanica / desgaste / rotura (35); Hidraulica / aceite (15); Robot / carga / manipulacion (10)</t>
  </si>
  <si>
    <t>DENTADORA GLEASON-PFAUTER 6786917003</t>
  </si>
  <si>
    <t>83.5 h / 46 avisos</t>
  </si>
  <si>
    <t>Categorías: Otros (29); Robot / carga / manipulacion (11); Mecanica / desgaste / rotura (2)</t>
  </si>
  <si>
    <t>CENTRO MECANIZ. GROB 6780981032</t>
  </si>
  <si>
    <t>83.3 h / 95 avisos</t>
  </si>
  <si>
    <t>Categorías: Calidad / medicion / proceso (75); Seguridad / puertas / protecciones (8); Refrigerante / agua / lavado (4)</t>
  </si>
  <si>
    <t>RECTIFICADORA BUDERUS 6773941001</t>
  </si>
  <si>
    <t>83.1 h / 69 avisos</t>
  </si>
  <si>
    <t>Categorías: Otros (24); Robot / carga / manipulacion (9); Mecanica / desgaste / rotura (8)</t>
  </si>
  <si>
    <t>DENTADORA FELSOMAT 6786920005</t>
  </si>
  <si>
    <t>83.0 h / 67 avisos</t>
  </si>
  <si>
    <t>Categorías: Robot / carga / manipulacion (29); Otros (26); Mecanica / desgaste / rotura (7)</t>
  </si>
  <si>
    <t>DESPUNTEADORA PRAWEMA 90369 (6785925002)</t>
  </si>
  <si>
    <t>82.1 h / 87 avisos</t>
  </si>
  <si>
    <t>Categorías: Otros (46); Robot / carga / manipulacion (12); Mecanica / desgaste / rotura (12)</t>
  </si>
  <si>
    <t>BROCHADORA KARL KLINK 90379(6781911001)</t>
  </si>
  <si>
    <t>80.7 h / 166 avisos</t>
  </si>
  <si>
    <t>Categorías: Otros (83); Robot / carga / manipulacion (35); Hidraulica / aceite (17)</t>
  </si>
  <si>
    <t>AFEITADORA HURTH 90103</t>
  </si>
  <si>
    <t>78.9 h / 71 avisos</t>
  </si>
  <si>
    <t>Categorías: Mecanica / desgaste / rotura (45); Robot / carga / manipulacion (15); Hidraulica / aceite (6)</t>
  </si>
  <si>
    <t>LAVADORA SILBERHORN 6878156001</t>
  </si>
  <si>
    <t>78.8 h / 165 avisos</t>
  </si>
  <si>
    <t>Categorías: Refrigerante / agua / lavado (140); Neumatica / aire (23); Hidraulica / aceite (2)</t>
  </si>
  <si>
    <t>GRANALLADORA ALJU 6868221002</t>
  </si>
  <si>
    <t>78.3 h / 54 avisos</t>
  </si>
  <si>
    <t>Categorías: Granalla (40); Seguridad / puertas / protecciones (5); Robot / carga / manipulacion (4)</t>
  </si>
  <si>
    <t>DENTADORA LIEBHERR 90329</t>
  </si>
  <si>
    <t>78.2 h / 59 avisos</t>
  </si>
  <si>
    <t>Categorías: Otros (22); Mecanica / desgaste / rotura (15); Robot / carga / manipulacion (14)</t>
  </si>
  <si>
    <t>HORNO CALENTAMI. PROBEAM 7016420005/2</t>
  </si>
  <si>
    <t>78.1 h / 48 avisos</t>
  </si>
  <si>
    <t>Categorías: Horno / temperatura (32); Hidraulica / aceite (6); Electrico / PLC / PC / comunicacion (3)</t>
  </si>
  <si>
    <t>COMPROBADORA KRAUTKRAMER 90282</t>
  </si>
  <si>
    <t>77.2 h / 42 avisos</t>
  </si>
  <si>
    <t>Categorías: Otros (16); Robot / carga / manipulacion (15); Mecanica / desgaste / rotura (5)</t>
  </si>
  <si>
    <t>TORNO VERTICAL FAMAR 90383</t>
  </si>
  <si>
    <t>77.2 h / 101 avisos</t>
  </si>
  <si>
    <t>Categorías: Otros (59); Mecanica / desgaste / rotura (18); Robot / carga / manipulacion (8)</t>
  </si>
  <si>
    <t>BROCHADORA KARL KLINK 90455(6781910001)</t>
  </si>
  <si>
    <t>77.0 h / 86 avisos</t>
  </si>
  <si>
    <t>Categorías: Otros (52); Refrigerante / agua / lavado (10); Electrico / PLC / PC / comunicacion (5)</t>
  </si>
  <si>
    <t>RECTIFICADORA HÖNEN FELSOMAT 6771816002</t>
  </si>
  <si>
    <t>75.8 h / 80 avisos</t>
  </si>
  <si>
    <t>Categorías: Otros (34); Mecanica / desgaste / rotura (10); Hidraulica / aceite (9)</t>
  </si>
  <si>
    <t>BRUÑIDORA GEHRING 90458(6771623001)</t>
  </si>
  <si>
    <t>75.4 h / 79 avisos</t>
  </si>
  <si>
    <t>Categorías: Otros (37); Mecanica / desgaste / rotura (20); Refrigerante / agua / lavado (8)</t>
  </si>
  <si>
    <t>DESPUNTADORA PRAWEMA 90084</t>
  </si>
  <si>
    <t>75.0 h / 137 avisos</t>
  </si>
  <si>
    <t>Categorías: Otros (75); Robot / carga / manipulacion (31); Mecanica / desgaste / rotura (13)</t>
  </si>
  <si>
    <t>TORNO WEISSER 90059(6782931008)</t>
  </si>
  <si>
    <t>74.2 h / 98 avisos</t>
  </si>
  <si>
    <t>C - Media</t>
  </si>
  <si>
    <t>Categorías: Robot / carga / manipulacion (35); Otros (33); Seguridad / puertas / protecciones (8)</t>
  </si>
  <si>
    <t>GRANALLADORA ALJU 6868210001</t>
  </si>
  <si>
    <t>73.1 h / 13 avisos</t>
  </si>
  <si>
    <t>Categorías: Granalla (10); Seguridad / puertas / protecciones (2); Refrigerante / agua / lavado (1)</t>
  </si>
  <si>
    <t>TALLADORA LIEBHERR 90132 (6786912005)</t>
  </si>
  <si>
    <t>72.8 h / 84 avisos</t>
  </si>
  <si>
    <t>Categorías: Otros (50); Robot / carga / manipulacion (11); Mecanica / desgaste / rotura (7)</t>
  </si>
  <si>
    <t>RECTIFICADORA LIDKOPING 90482</t>
  </si>
  <si>
    <t>72.1 h / 29 avisos</t>
  </si>
  <si>
    <t>Categorías: Mecanica / desgaste / rotura (21); Robot / carga / manipulacion (3); Refrigerante / agua / lavado (2)</t>
  </si>
  <si>
    <t>RECTIFICADORA HÖNEN FELSOMAT 6771816004</t>
  </si>
  <si>
    <t>70.0 h / 88 avisos</t>
  </si>
  <si>
    <t>Categorías: Otros (32); Mecanica / desgaste / rotura (11); Hidraulica / aceite (8)</t>
  </si>
  <si>
    <t>LAMINADORA PROFIROLL 6776910002</t>
  </si>
  <si>
    <t>69.1 h / 61 avisos</t>
  </si>
  <si>
    <t>Categorías: Mecanica / desgaste / rotura (47); Electrico / PLC / PC / comunicacion (4); Robot / carga / manipulacion (3)</t>
  </si>
  <si>
    <t>IS1 INYECTORA ITALPRES 90422(6766901007)</t>
  </si>
  <si>
    <t>68.9 h / 213 avisos</t>
  </si>
  <si>
    <t>Categorías: Hidraulica / aceite (75); Otros (64); Seguridad / puertas / protecciones (31)</t>
  </si>
  <si>
    <t>BROCHADORA EKIN 6781913001</t>
  </si>
  <si>
    <t>68.3 h / 115 avisos</t>
  </si>
  <si>
    <t>Categorías: Otros (66); Mecanica / desgaste / rotura (10); Robot / carga / manipulacion (9)</t>
  </si>
  <si>
    <t>BRUÑIDORA GEHRING 6771815002</t>
  </si>
  <si>
    <t>67.8 h / 64 avisos</t>
  </si>
  <si>
    <t>Categorías: Otros (40); Hidraulica / aceite (6); Mecanica / desgaste / rotura (5)</t>
  </si>
  <si>
    <t>IP2 INYECTORA ITALPRES 90484(6766902001)</t>
  </si>
  <si>
    <t>67.8 h / 223 avisos</t>
  </si>
  <si>
    <t>Categorías: Otros (91); Seguridad / puertas / protecciones (65); Hidraulica / aceite (23)</t>
  </si>
  <si>
    <t>TORNO VERTICAL FAMAR 6782935003</t>
  </si>
  <si>
    <t>67.7 h / 68 avisos</t>
  </si>
  <si>
    <t>Categorías: Otros (27); Mecanica / desgaste / rotura (10); Seguridad / puertas / protecciones (9)</t>
  </si>
  <si>
    <t>RECTIFICADORA DANOBAT 90294(6773930005)</t>
  </si>
  <si>
    <t>67.3 h / 38 avisos</t>
  </si>
  <si>
    <t>Categorías: Otros (16); Robot / carga / manipulacion (5); Calidad / medicion / proceso (3)</t>
  </si>
  <si>
    <t>AFEITADORA HURTH 90102</t>
  </si>
  <si>
    <t>67.0 h / 84 avisos</t>
  </si>
  <si>
    <t>Categorías: Mecanica / desgaste / rotura (62); Robot / carga / manipulacion (10); Electrico / PLC / PC / comunicacion (6)</t>
  </si>
  <si>
    <t>TRANSFERIZADO MASA 90773/05 (90345)</t>
  </si>
  <si>
    <t>66.7 h / 8 avisos</t>
  </si>
  <si>
    <t>Categorías: Otros (6); Refrigerante / agua / lavado (1); Calidad / medicion / proceso (1)</t>
  </si>
  <si>
    <t>DESPUNTEADORA WERA 90345</t>
  </si>
  <si>
    <t>65.3 h / 141 avisos</t>
  </si>
  <si>
    <t>Categorías: Otros (68); Mecanica / desgaste / rotura (29); Robot / carga / manipulacion (26)</t>
  </si>
  <si>
    <t>BRUÑIDORA NAGEL 6771820002</t>
  </si>
  <si>
    <t>65.2 h / 69 avisos</t>
  </si>
  <si>
    <t>Categorías: Otros (25); Robot / carga / manipulacion (18); Mecanica / desgaste / rotura (7)</t>
  </si>
  <si>
    <t>LAVADORA EUROTEC L1-H1</t>
  </si>
  <si>
    <t>Gr. 63503 Trat. Termicos IPSEN L1(H1-H2)</t>
  </si>
  <si>
    <t>65.2 h / 7 avisos</t>
  </si>
  <si>
    <t>Categorías: Refrigerante / agua / lavado (7)</t>
  </si>
  <si>
    <t>TRONZADORAS LABORATORIO T.T.</t>
  </si>
  <si>
    <t>Gr. 63509 Tratamientos Termicos</t>
  </si>
  <si>
    <t>64.7 h / 25 avisos</t>
  </si>
  <si>
    <t>Categorías: Electrico / PLC / PC / comunicacion (24); Neumatica / aire (1)</t>
  </si>
  <si>
    <t>PRENSA ENDEREZ. MAE 6761069001</t>
  </si>
  <si>
    <t>64.3 h / 68 avisos</t>
  </si>
  <si>
    <t>Categorías: Mecanica / desgaste / rotura (40); Electrico / PLC / PC / comunicacion (9); Neumatica / aire (8)</t>
  </si>
  <si>
    <t>ID10 INYECTORA IDRA 6766903001</t>
  </si>
  <si>
    <t>63.9 h / 136 avisos</t>
  </si>
  <si>
    <t>Categorías: Otros (58); Hidraulica / aceite (29); Electrico / PLC / PC / comunicacion (13)</t>
  </si>
  <si>
    <t>DENTADORA FELSOMAT 6786920011</t>
  </si>
  <si>
    <t>63.5 h / 48 avisos</t>
  </si>
  <si>
    <t>Categorías: Electrico / PLC / PC / comunicacion (42); Hidraulica / aceite (6)</t>
  </si>
  <si>
    <t>AFILADORA KLINGELNBERG 6772614001</t>
  </si>
  <si>
    <t>63.5 h / 36 avisos</t>
  </si>
  <si>
    <t>Categorías: Otros (13); Electrico / PLC / PC / comunicacion (7); Hidraulica / aceite (6)</t>
  </si>
  <si>
    <t>TORNO WEISSER 90048 (6782931013)</t>
  </si>
  <si>
    <t>63.2 h / 78 avisos</t>
  </si>
  <si>
    <t>Categorías: Otros (27); Robot / carga / manipulacion (26); Mecanica / desgaste / rotura (9)</t>
  </si>
  <si>
    <t>RECTIFICADORA REISHAUER 6773940011</t>
  </si>
  <si>
    <t>63.0 h / 47 avisos</t>
  </si>
  <si>
    <t>Categorías: Otros (17); Mecanica / desgaste / rotura (9); Robot / carga / manipulacion (8)</t>
  </si>
  <si>
    <t>RECTIFICADORA REISHAUER 6773940007</t>
  </si>
  <si>
    <t>62.7 h / 63 avisos</t>
  </si>
  <si>
    <t>Categorías: Electrico / PLC / PC / comunicacion (11); Robot / carga / manipulacion (11); Otros (9)</t>
  </si>
  <si>
    <t>RECTIFICADORA BUDERUS 6773941004</t>
  </si>
  <si>
    <t>62.3 h / 48 avisos</t>
  </si>
  <si>
    <t>Categorías: Otros (18); Refrigerante / agua / lavado (11); Mecanica / desgaste / rotura (6)</t>
  </si>
  <si>
    <t>TORNO WEISSER 90179</t>
  </si>
  <si>
    <t>61.7 h / 138 avisos</t>
  </si>
  <si>
    <t>Categorías: Otros (50); Robot / carga / manipulacion (44); Seguridad / puertas / protecciones (12)</t>
  </si>
  <si>
    <t>DESPUNTEADORA WERA 6778634001</t>
  </si>
  <si>
    <t>59.8 h / 101 avisos</t>
  </si>
  <si>
    <t>Categorías: Otros (44); Robot / carga / manipulacion (23); Mecanica / desgaste / rotura (16)</t>
  </si>
  <si>
    <t>PRENSA CLAVADO NOUTEME 90408</t>
  </si>
  <si>
    <t>59.8 h / 66 avisos</t>
  </si>
  <si>
    <t>Categorías: Refrigerante / agua / lavado (59); Hidraulica / aceite (7)</t>
  </si>
  <si>
    <t>DENTADORA FELSOMAT 6786326002</t>
  </si>
  <si>
    <t>59.5 h / 56 avisos</t>
  </si>
  <si>
    <t>Categorías: Mecanica / desgaste / rotura (29); Robot / carga / manipulacion (11); Hidraulica / aceite (8)</t>
  </si>
  <si>
    <t>DENTADORA PFAUTER 90085</t>
  </si>
  <si>
    <t>59.0 h / 58 avisos</t>
  </si>
  <si>
    <t>Categorías: Otros (31); Hidraulica / aceite (6); Robot / carga / manipulacion (6)</t>
  </si>
  <si>
    <t>LAVADORA SILBERHORN 6878319001</t>
  </si>
  <si>
    <t>58.9 h / 172 avisos</t>
  </si>
  <si>
    <t>Categorías: Refrigerante / agua / lavado (133); Neumatica / aire (35); Hidraulica / aceite (4)</t>
  </si>
  <si>
    <t>TORNO MURATEC 6782941006</t>
  </si>
  <si>
    <t>58.8 h / 44 avisos</t>
  </si>
  <si>
    <t>Categorías: Otros (13); Robot / carga / manipulacion (13); Mecanica / desgaste / rotura (8)</t>
  </si>
  <si>
    <t>TORNO MURATEC 6782945002</t>
  </si>
  <si>
    <t>57.0 h / 27 avisos</t>
  </si>
  <si>
    <t>Categorías: Robot / carga / manipulacion (10); Calidad / medicion / proceso (8); Otros (4)</t>
  </si>
  <si>
    <t>TALLADORA LORENZ 90374</t>
  </si>
  <si>
    <t>56.7 h / 71 avisos</t>
  </si>
  <si>
    <t>Categorías: Otros (29); Robot / carga / manipulacion (16); Mecanica / desgaste / rotura (14)</t>
  </si>
  <si>
    <t>LAMINADORA Z.F. 90202(66408)</t>
  </si>
  <si>
    <t>56.5 h / 100 avisos</t>
  </si>
  <si>
    <t>Categorías: Otros (59); Hidraulica / aceite (8); Mecanica / desgaste / rotura (8)</t>
  </si>
  <si>
    <t>DENTADORA PFAUTER 90087</t>
  </si>
  <si>
    <t>56.4 h / 69 avisos</t>
  </si>
  <si>
    <t>Categorías: Otros (23); Robot / carga / manipulacion (19); Mecanica / desgaste / rotura (13)</t>
  </si>
  <si>
    <t>IS3 INYECTORA ITALPRES 90423(6766901008)</t>
  </si>
  <si>
    <t>55.9 h / 175 avisos</t>
  </si>
  <si>
    <t>Categorías: Otros (90); Hidraulica / aceite (25); Seguridad / puertas / protecciones (22)</t>
  </si>
  <si>
    <t>CENTRO MECANIZ. GROB 6780981034</t>
  </si>
  <si>
    <t>55.3 h / 118 avisos</t>
  </si>
  <si>
    <t>Categorías: Calidad / medicion / proceso (99); Hidraulica / aceite (7); Seguridad / puertas / protecciones (6)</t>
  </si>
  <si>
    <t>TORNO VERTICAL FAMAR 6782935004</t>
  </si>
  <si>
    <t>55.3 h / 71 avisos</t>
  </si>
  <si>
    <t>Categorías: Otros (31); Seguridad / puertas / protecciones (9); Mecanica / desgaste / rotura (7)</t>
  </si>
  <si>
    <t>TORNO VERTICAL FAMAR 6782935002</t>
  </si>
  <si>
    <t>54.9 h / 77 avisos</t>
  </si>
  <si>
    <t>Categorías: Otros (34); Neumatica / aire (12); Mecanica / desgaste / rotura (8)</t>
  </si>
  <si>
    <t>TORNO MURATEC 6782941015</t>
  </si>
  <si>
    <t>54.4 h / 48 avisos</t>
  </si>
  <si>
    <t>Categorías: Otros (10); Hidraulica / aceite (8); Preventivo / TPM (7)</t>
  </si>
  <si>
    <t>BROCHADORA EKIN 6781914001</t>
  </si>
  <si>
    <t>53.3 h / 53 avisos</t>
  </si>
  <si>
    <t>Categorías: Otros (28); Mecanica / desgaste / rotura (8); Robot / carga / manipulacion (4)</t>
  </si>
  <si>
    <t>FRESADORA WERA 90348</t>
  </si>
  <si>
    <t>53.0 h / 132 avisos</t>
  </si>
  <si>
    <t>Categorías: Otros (54); Robot / carga / manipulacion (29); Mecanica / desgaste / rotura (14)</t>
  </si>
  <si>
    <t>IS4 INYECTORA ITALPRES 90442(6766901002)</t>
  </si>
  <si>
    <t>52.1 h / 151 avisos</t>
  </si>
  <si>
    <t>Categorías: Otros (73); Seguridad / puertas / protecciones (26); Hidraulica / aceite (17)</t>
  </si>
  <si>
    <t>TORNO VERTICAL FAMAR 6782935005</t>
  </si>
  <si>
    <t>52.0 h / 67 avisos</t>
  </si>
  <si>
    <t>Categorías: Otros (36); Electrico / PLC / PC / comunicacion (12); Mecanica / desgaste / rotura (9)</t>
  </si>
  <si>
    <t>CENTRO MECANIZ. MAG 6780981053</t>
  </si>
  <si>
    <t>LÍNEA MOTORGEHÄUSE (CARCASA)</t>
  </si>
  <si>
    <t>51.1 h / 62 avisos</t>
  </si>
  <si>
    <t>Categorías: Calidad / medicion / proceso (24); Otros (15); Mecanica / desgaste / rotura (15)</t>
  </si>
  <si>
    <t>RECTIFICADORA REISHAUER 6773939007</t>
  </si>
  <si>
    <t>50.8 h / 79 avisos</t>
  </si>
  <si>
    <t>Categorías: Otros (24); Robot / carga / manipulacion (17); Mecanica / desgaste / rotura (14)</t>
  </si>
  <si>
    <t>BRUÑIDORA GEHRING 6771815003</t>
  </si>
  <si>
    <t>50.4 h / 64 avisos</t>
  </si>
  <si>
    <t>Categorías: Otros (31); Calidad / medicion / proceso (14); Refrigerante / agua / lavado (5)</t>
  </si>
  <si>
    <t>HORNO MAGNÉTICO MAGNETTEKNIK 6875321001</t>
  </si>
  <si>
    <t>49.5 h / 8 avisos</t>
  </si>
  <si>
    <t>Categorías: Horno / temperatura (7); Proceso / ciclo / tiempo (1)</t>
  </si>
  <si>
    <t>TORNO MURATEC 6782941004</t>
  </si>
  <si>
    <t>48.9 h / 43 avisos</t>
  </si>
  <si>
    <t>Categorías: Robot / carga / manipulacion (16); Otros (11); Mecanica / desgaste / rotura (6)</t>
  </si>
  <si>
    <t>PRENSA ENDEREZ. GALDABINI 6777112001</t>
  </si>
  <si>
    <t>48.5 h / 70 avisos</t>
  </si>
  <si>
    <t>Categorías: Mecanica / desgaste / rotura (41); Robot / carga / manipulacion (16); Electrico / PLC / PC / comunicacion (8)</t>
  </si>
  <si>
    <t>FRESADORA WERA 90343</t>
  </si>
  <si>
    <t>47.7 h / 80 avisos</t>
  </si>
  <si>
    <t>Categorías: Otros (29); Mecanica / desgaste / rotura (16); Robot / carga / manipulacion (16)</t>
  </si>
  <si>
    <t>DESBARBADORA HURTH 90115</t>
  </si>
  <si>
    <t>47.4 h / 64 avisos</t>
  </si>
  <si>
    <t>Categorías: Mecanica / desgaste / rotura (50); Hidraulica / aceite (8); Electrico / PLC / PC / comunicacion (3)</t>
  </si>
  <si>
    <t>ISLA 5 INYECTORA IDRA (6766111002)</t>
  </si>
  <si>
    <t>46.7 h / 109 avisos</t>
  </si>
  <si>
    <t>Categorías: Otros (38); Seguridad / puertas / protecciones (24); Hidraulica / aceite (20)</t>
  </si>
  <si>
    <t>CENTRO MECANIZ. GROB 6780981036</t>
  </si>
  <si>
    <t>46.5 h / 58 avisos</t>
  </si>
  <si>
    <t>Categorías: Calidad / medicion / proceso (41); Seguridad / puertas / protecciones (6); Hidraulica / aceite (4)</t>
  </si>
  <si>
    <t>CENTRO MECANIZ. GROB 6780981033</t>
  </si>
  <si>
    <t>46.5 h / 62 avisos</t>
  </si>
  <si>
    <t>Categorías: Calidad / medicion / proceso (47); Neumatica / aire (4); Hidraulica / aceite (4)</t>
  </si>
  <si>
    <t>PÓRTICO MAG 8536525031</t>
  </si>
  <si>
    <t>46.3 h / 53 avisos</t>
  </si>
  <si>
    <t>Categorías: Robot / carga / manipulacion (41); Neumatica / aire (5); Electrico / PLC / PC / comunicacion (5)</t>
  </si>
  <si>
    <t>REBABADORA SAMPUTENSILI 90077</t>
  </si>
  <si>
    <t>46.1 h / 46 avisos</t>
  </si>
  <si>
    <t>Categorías: Otros (25); Refrigerante / agua / lavado (6); Hidraulica / aceite (4)</t>
  </si>
  <si>
    <t>TORNO MURATEC 6782941020</t>
  </si>
  <si>
    <t>45.9 h / 29 avisos</t>
  </si>
  <si>
    <t>Categorías: Otros (11); Preventivo / TPM (5); Seguridad / puertas / protecciones (4)</t>
  </si>
  <si>
    <t>LAVADORA BAUTERMIC 6878181001</t>
  </si>
  <si>
    <t>45.2 h / 65 avisos</t>
  </si>
  <si>
    <t>Categorías: Refrigerante / agua / lavado (63); Hidraulica / aceite (2)</t>
  </si>
  <si>
    <t>TORNO MURATEC 6782941019</t>
  </si>
  <si>
    <t>45.1 h / 47 avisos</t>
  </si>
  <si>
    <t>Categorías: Otros (12); Mecanica / desgaste / rotura (6); Preventivo / TPM (6)</t>
  </si>
  <si>
    <t>ISLA 6 INYECTORA IDRA (6766111001)</t>
  </si>
  <si>
    <t>44.9 h / 83 avisos</t>
  </si>
  <si>
    <t>Categorías: Otros (33); Hidraulica / aceite (18); Seguridad / puertas / protecciones (13)</t>
  </si>
  <si>
    <t>CENTRO MECANIZ. GROB 6780981039</t>
  </si>
  <si>
    <t>44.9 h / 84 avisos</t>
  </si>
  <si>
    <t>Categorías: Calidad / medicion / proceso (63); Robot / carga / manipulacion (8); Refrigerante / agua / lavado (6)</t>
  </si>
  <si>
    <t>RECTIFICADORA REISHAUER 6773940009</t>
  </si>
  <si>
    <t>44.6 h / 47 avisos</t>
  </si>
  <si>
    <t>Categorías: Otros (12); Mecanica / desgaste / rotura (9); Robot / carga / manipulacion (8)</t>
  </si>
  <si>
    <t>ROBOT FANUC 8536313001</t>
  </si>
  <si>
    <t>44.4 h / 23 avisos</t>
  </si>
  <si>
    <t>Categorías: Robot / carga / manipulacion (16); Electrico / PLC / PC / comunicacion (5); Hidraulica / aceite (1)</t>
  </si>
  <si>
    <t>CENTRO MECANIZ. GROB 6780981038</t>
  </si>
  <si>
    <t>44.1 h / 63 avisos</t>
  </si>
  <si>
    <t>Categorías: Calidad / medicion / proceso (55); Hidraulica / aceite (3); Robot / carga / manipulacion (2)</t>
  </si>
  <si>
    <t>BRUÑIDORA GEHRING 90341</t>
  </si>
  <si>
    <t>Gr. 66417 Planetarios, Satelites y Anill</t>
  </si>
  <si>
    <t>44.0 h / 24 avisos</t>
  </si>
  <si>
    <t>Categorías: Otros (8); Mecanica / desgaste / rotura (7); Hidraulica / aceite (4)</t>
  </si>
  <si>
    <t>CELULA DESCARGA PROMAUT 8536579001/390</t>
  </si>
  <si>
    <t>43.6 h / 64 avisos</t>
  </si>
  <si>
    <t>Categorías: Robot / carga / manipulacion (54); Electrico / PLC / PC / comunicacion (6); Neumatica / aire (3)</t>
  </si>
  <si>
    <t>TORNO MURATEC 6782941013</t>
  </si>
  <si>
    <t>43.6 h / 43 avisos</t>
  </si>
  <si>
    <t>Categorías: Otros (9); Preventivo / TPM (8); Robot / carga / manipulacion (4)</t>
  </si>
  <si>
    <t>IS3 LUBRICADOR ACHESON 90435</t>
  </si>
  <si>
    <t>43.5 h / 110 avisos</t>
  </si>
  <si>
    <t>Categorías: Otros (53); Mecanica / desgaste / rotura (30); Neumatica / aire (12)</t>
  </si>
  <si>
    <t>BRUÑIDORA GEHRING 90340</t>
  </si>
  <si>
    <t>Gr. 66418 Conjunto Buje-Maguitos</t>
  </si>
  <si>
    <t>43.5 h / 22 avisos</t>
  </si>
  <si>
    <t>Categorías: Otros (10); Hidraulica / aceite (3); Mecanica / desgaste / rotura (3)</t>
  </si>
  <si>
    <t>CENTRO MECANIZ. MAG 6780981054</t>
  </si>
  <si>
    <t>43.3 h / 56 avisos</t>
  </si>
  <si>
    <t>Categorías: Calidad / medicion / proceso (26); Otros (14); Mecanica / desgaste / rotura (5)</t>
  </si>
  <si>
    <t>PORTICO CAJAS GROB 8518849001</t>
  </si>
  <si>
    <t>43.2 h / 115 avisos</t>
  </si>
  <si>
    <t>Categorías: Robot / carga / manipulacion (104); Electrico / PLC / PC / comunicacion (7); Neumatica / aire (4)</t>
  </si>
  <si>
    <t>DENTADORA PFAUTER 90086</t>
  </si>
  <si>
    <t>42.7 h / 61 avisos</t>
  </si>
  <si>
    <t>Categorías: Otros (19); Proceso / ciclo / tiempo (12); Mecanica / desgaste / rotura (9)</t>
  </si>
  <si>
    <t>BRUÑIDORA GEHRING 6771815001</t>
  </si>
  <si>
    <t>42.5 h / 36 avisos</t>
  </si>
  <si>
    <t>Categorías: Otros (14); Calidad / medicion / proceso (7); Refrigerante / agua / lavado (4)</t>
  </si>
  <si>
    <t>CENTRO MECANIZ. MAG 6780981045</t>
  </si>
  <si>
    <t>42.5 h / 120 avisos</t>
  </si>
  <si>
    <t>Categorías: Calidad / medicion / proceso (82); Robot / carga / manipulacion (7); Seguridad / puertas / protecciones (7)</t>
  </si>
  <si>
    <t>ISLA 7 INYEC.ITALPRES (6766901009)</t>
  </si>
  <si>
    <t>42.3 h / 66 avisos</t>
  </si>
  <si>
    <t>Categorías: Otros (27); Hidraulica / aceite (16); Seguridad / puertas / protecciones (9)</t>
  </si>
  <si>
    <t>BROCHADORA KARL KLINK 90182(66408)</t>
  </si>
  <si>
    <t>42.1 h / 21 avisos</t>
  </si>
  <si>
    <t>Categorías: Otros (9); Mecanica / desgaste / rotura (6); Proceso / ciclo / tiempo (3)</t>
  </si>
  <si>
    <t>CENTRO MECANIZ. MAG 6780981041</t>
  </si>
  <si>
    <t>41.9 h / 67 avisos</t>
  </si>
  <si>
    <t>Categorías: Calidad / medicion / proceso (48); Otros (10); Robot / carga / manipulacion (2)</t>
  </si>
  <si>
    <t>RECTIFICADORA DANOBAT 90377</t>
  </si>
  <si>
    <t>41.7 h / 50 avisos</t>
  </si>
  <si>
    <t>Categorías: Otros (15); Hidraulica / aceite (8); Electrico / PLC / PC / comunicacion (7)</t>
  </si>
  <si>
    <t>CENTRO MECANIZADO DIMASOL</t>
  </si>
  <si>
    <t>Construcción de Medios (90)</t>
  </si>
  <si>
    <t>41.7 h / 4 avisos</t>
  </si>
  <si>
    <t>Categorías: Calidad / medicion / proceso (3); Electrico / PLC / PC / comunicacion (1)</t>
  </si>
  <si>
    <t>TALLADORA LORENZ 90376 (6781308001)</t>
  </si>
  <si>
    <t>41.5 h / 74 avisos</t>
  </si>
  <si>
    <t>Categorías: Otros (25); Hidraulica / aceite (11); Robot / carga / manipulacion (10)</t>
  </si>
  <si>
    <t>HORNO DE CAMARA IPSEN 90319 "S"</t>
  </si>
  <si>
    <t>Gr. 63505 Trat. Termicos NITRURACION</t>
  </si>
  <si>
    <t>40.4 h / 19 avisos</t>
  </si>
  <si>
    <t>Categorías: Electrico / PLC / PC / comunicacion (18); Hidraulica / aceite (1)</t>
  </si>
  <si>
    <t>DENTADORA FELSOMAT 6786916001</t>
  </si>
  <si>
    <t>40.3 h / 35 avisos</t>
  </si>
  <si>
    <t>Categorías: Otros (15); Electrico / PLC / PC / comunicacion (6); Robot / carga / manipulacion (5)</t>
  </si>
  <si>
    <t>DESPUNTEADORA PRAWEMA 90177(6786625007)</t>
  </si>
  <si>
    <t>39.5 h / 141 avisos</t>
  </si>
  <si>
    <t>Categorías: Otros (78); Robot / carga / manipulacion (15); Hidraulica / aceite (12)</t>
  </si>
  <si>
    <t>RECTIFICADORA REISHAUER 6773940008</t>
  </si>
  <si>
    <t>39.2 h / 53 avisos</t>
  </si>
  <si>
    <t>Categorías: Otros (19); Mecanica / desgaste / rotura (13); Calidad / medicion / proceso (8)</t>
  </si>
  <si>
    <t>ROBOT ABB BROCHADORA EKIN 6781913001</t>
  </si>
  <si>
    <t>38.9 h / 22 avisos</t>
  </si>
  <si>
    <t>Categorías: Robot / carga / manipulacion (18); Electrico / PLC / PC / comunicacion (3); Hidraulica / aceite (1)</t>
  </si>
  <si>
    <t>BRUÑIDORA GEHRING 90495</t>
  </si>
  <si>
    <t>38.8 h / 26 avisos</t>
  </si>
  <si>
    <t>Categorías: Otros (12); Preventivo / TPM (5); Refrigerante / agua / lavado (3)</t>
  </si>
  <si>
    <t>ACHAFLANADORA SAMPUTENSILI 90474</t>
  </si>
  <si>
    <t>38.4 h / 68 avisos</t>
  </si>
  <si>
    <t>Categorías: Otros (47); Proceso / ciclo / tiempo (7); Refrigerante / agua / lavado (7)</t>
  </si>
  <si>
    <t>DESPUNTEADORA WERA 90347</t>
  </si>
  <si>
    <t>37.9 h / 45 avisos</t>
  </si>
  <si>
    <t>Categorías: Otros (22); Robot / carga / manipulacion (6); Electrico / PLC / PC / comunicacion (5)</t>
  </si>
  <si>
    <t>TORNO WEISSER 90209</t>
  </si>
  <si>
    <t>37.8 h / 93 avisos</t>
  </si>
  <si>
    <t>Categorías: Otros (43); Robot / carga / manipulacion (19); Mecanica / desgaste / rotura (12)</t>
  </si>
  <si>
    <t>IS2 INYECTORA ITALPRES 90421(6766901006)</t>
  </si>
  <si>
    <t>37.0 h / 100 avisos</t>
  </si>
  <si>
    <t>Categorías: Otros (54); Seguridad / puertas / protecciones (12); Hidraulica / aceite (10)</t>
  </si>
  <si>
    <t>TORNO MURATEC 6782941012</t>
  </si>
  <si>
    <t>36.2 h / 45 avisos</t>
  </si>
  <si>
    <t>Categorías: Otros (13); Preventivo / TPM (10); Hidraulica / aceite (6)</t>
  </si>
  <si>
    <t>HORNO AICHELIN 6875499001</t>
  </si>
  <si>
    <t>Gr. 63510 T.T AICHELIN</t>
  </si>
  <si>
    <t>35.4 h / 105 avisos</t>
  </si>
  <si>
    <t>Categorías: Horno / temperatura (56); Neumatica / aire (10); Electrico / PLC / PC / comunicacion (8)</t>
  </si>
  <si>
    <t>TORNO MURATEC 6782941011</t>
  </si>
  <si>
    <t>35.0 h / 27 avisos</t>
  </si>
  <si>
    <t>Categorías: Otros (10); Preventivo / TPM (5); Mecanica / desgaste / rotura (5)</t>
  </si>
  <si>
    <t>DESPUNTEADORA PRAWEMA 90178(66408)</t>
  </si>
  <si>
    <t>34.7 h / 116 avisos</t>
  </si>
  <si>
    <t>Categorías: Otros (57); Mecanica / desgaste / rotura (22); Robot / carga / manipulacion (10)</t>
  </si>
  <si>
    <t>PÓRTICO MAG 8536535004</t>
  </si>
  <si>
    <t>34.2 h / 71 avisos</t>
  </si>
  <si>
    <t>Categorías: Robot / carga / manipulacion (62); Neumatica / aire (4); Electrico / PLC / PC / comunicacion (3)</t>
  </si>
  <si>
    <t>HORNO DE CAMARA IPSEN 90321 "C"</t>
  </si>
  <si>
    <t>34.0 h / 17 avisos</t>
  </si>
  <si>
    <t>Categorías: Electrico / PLC / PC / comunicacion (13); Hidraulica / aceite (3); Refrigerante / agua / lavado (1)</t>
  </si>
  <si>
    <t>LAMINADORA Z.F. 90391</t>
  </si>
  <si>
    <t>34.0 h / 79 avisos</t>
  </si>
  <si>
    <t>Categorías: Otros (47); Mecanica / desgaste / rotura (13); Electrico / PLC / PC / comunicacion (4)</t>
  </si>
  <si>
    <t>TORNO MURATEC 6782941023</t>
  </si>
  <si>
    <t>33.9 h / 42 avisos</t>
  </si>
  <si>
    <t>Categorías: Otros (13); Robot / carga / manipulacion (11); Calidad / medicion / proceso (4)</t>
  </si>
  <si>
    <t>ROBOT ABB ATORNILLADO GA</t>
  </si>
  <si>
    <t>33.7 h / 27 avisos</t>
  </si>
  <si>
    <t>Categorías: Robot / carga / manipulacion (26); Electrico / PLC / PC / comunicacion (1)</t>
  </si>
  <si>
    <t>RECTIFICADORA REISHAUER 6773940006</t>
  </si>
  <si>
    <t>33.6 h / 55 avisos</t>
  </si>
  <si>
    <t>Categorías: Otros (15); Calidad / medicion / proceso (11); Electrico / PLC / PC / comunicacion (8)</t>
  </si>
  <si>
    <t>PRENSA ENDEREZ. GALDABINI 6761067001</t>
  </si>
  <si>
    <t>33.5 h / 95 avisos</t>
  </si>
  <si>
    <t>Categorías: Mecanica / desgaste / rotura (47); Robot / carga / manipulacion (36); Calidad / medicion / proceso (4)</t>
  </si>
  <si>
    <t>CORTADORA ATM 6776663001</t>
  </si>
  <si>
    <t>33.3 h / 14 avisos</t>
  </si>
  <si>
    <t>Categorías: Otros (12); Mecanica / desgaste / rotura (1); Robot / carga / manipulacion (1)</t>
  </si>
  <si>
    <t>ESMERILADORA GEHRING 90017(6771622003)</t>
  </si>
  <si>
    <t>33.1 h / 37 avisos</t>
  </si>
  <si>
    <t>Categorías: Otros (16); Refrigerante / agua / lavado (6); Proceso / ciclo / tiempo (4)</t>
  </si>
  <si>
    <t>HORNO IPSEN 90299/2 L2H2 (6875309004)</t>
  </si>
  <si>
    <t>Gr. 63504 Trat.Termicos IPSEN L2(H1-H2)</t>
  </si>
  <si>
    <t>33.0 h / 86 avisos</t>
  </si>
  <si>
    <t>Categorías: Electrico / PLC / PC / comunicacion (80); Hidraulica / aceite (5); Neumatica / aire (1)</t>
  </si>
  <si>
    <t>ESMERILADORA GEHRING 90270(6771622004)</t>
  </si>
  <si>
    <t>32.9 h / 46 avisos</t>
  </si>
  <si>
    <t>Categorías: Otros (22); Refrigerante / agua / lavado (6); Mecanica / desgaste / rotura (5)</t>
  </si>
  <si>
    <t>BRUÑIDORA GEHRING 6771624001</t>
  </si>
  <si>
    <t>32.9 h / 29 avisos</t>
  </si>
  <si>
    <t>Categorías: Otros (13); Hidraulica / aceite (8); Refrigerante / agua / lavado (2)</t>
  </si>
  <si>
    <t>ROBOT KUKA carga WHEELABRATOR 6868222001</t>
  </si>
  <si>
    <t>32.4 h / 37 avisos</t>
  </si>
  <si>
    <t>Categorías: Robot / carga / manipulacion (32); Refrigerante / agua / lavado (3); Hidraulica / aceite (1)</t>
  </si>
  <si>
    <t>BROCHADORA KARL KLINK 90190</t>
  </si>
  <si>
    <t>32.1 h / 70 avisos</t>
  </si>
  <si>
    <t>Categorías: Otros (20); Hidraulica / aceite (20); Refrigerante / agua / lavado (10)</t>
  </si>
  <si>
    <t>HORNO IPSEN 90089/1 L1H1 (6875309001)</t>
  </si>
  <si>
    <t>32.1 h / 107 avisos</t>
  </si>
  <si>
    <t>Categorías: Electrico / PLC / PC / comunicacion (79); Hidraulica / aceite (13); Neumatica / aire (9)</t>
  </si>
  <si>
    <t>IP1INYECTORA ITALPRESS 90312(6766902002)</t>
  </si>
  <si>
    <t>31.9 h / 160 avisos</t>
  </si>
  <si>
    <t>Categorías: Otros (64); Hidraulica / aceite (47); Electrico / PLC / PC / comunicacion (16)</t>
  </si>
  <si>
    <t>TORNO MURATEC 6782941010</t>
  </si>
  <si>
    <t>31.9 h / 32 avisos</t>
  </si>
  <si>
    <t>Categorías: Preventivo / TPM (13); Mecanica / desgaste / rotura (6); Otros (5)</t>
  </si>
  <si>
    <t>LAVADORA BAUTERMIC 6878181008</t>
  </si>
  <si>
    <t>31.7 h / 51 avisos</t>
  </si>
  <si>
    <t>Categorías: Refrigerante / agua / lavado (47); Hidraulica / aceite (3); Neumatica / aire (1)</t>
  </si>
  <si>
    <t>LAVADORA BAUTERMIC 6878181002</t>
  </si>
  <si>
    <t>31.1 h / 45 avisos</t>
  </si>
  <si>
    <t>Categorías: Refrigerante / agua / lavado (43); Hidraulica / aceite (2)</t>
  </si>
  <si>
    <t>TRANSFERIZADO BERNAIS &amp; Co. 80008/08</t>
  </si>
  <si>
    <t>30.9 h / 29 avisos</t>
  </si>
  <si>
    <t>Categorías: Otros (14); Mecanica / desgaste / rotura (8); Refrigerante / agua / lavado (3)</t>
  </si>
  <si>
    <t>ROBOT KUKA CELDA DESCARGA CARCASA MQ281</t>
  </si>
  <si>
    <t>30.6 h / 91 avisos</t>
  </si>
  <si>
    <t>Categorías: Robot / carga / manipulacion (83); Electrico / PLC / PC / comunicacion (6); Hidraulica / aceite (1)</t>
  </si>
  <si>
    <t>DENTADORA FELSOMAT 6786920012</t>
  </si>
  <si>
    <t>30.6 h / 25 avisos</t>
  </si>
  <si>
    <t>Categorías: Otros (15); Mecanica / desgaste / rotura (4); Neumatica / aire (2)</t>
  </si>
  <si>
    <t>MICROFUGOMETRO ELWËMA 8248556017</t>
  </si>
  <si>
    <t>30.4 h / 44 avisos</t>
  </si>
  <si>
    <t>Categorías: Otros (29); Robot / carga / manipulacion (8); Refrigerante / agua / lavado (2)</t>
  </si>
  <si>
    <t>FRESADORA PRAWEMA 90371(6785932001)</t>
  </si>
  <si>
    <t>30.4 h / 46 avisos</t>
  </si>
  <si>
    <t>Categorías: Otros (15); Mecanica / desgaste / rotura (12); Robot / carga / manipulacion (11)</t>
  </si>
  <si>
    <t>PRENSA/TRANSF. PROBEAM 7016420005/1</t>
  </si>
  <si>
    <t>30.0 h / 25 avisos</t>
  </si>
  <si>
    <t>Categorías: Proceso / ciclo / tiempo (7); Robot / carga / manipulacion (6); Otros (5)</t>
  </si>
  <si>
    <t>CORTADORA METKON 6788448001</t>
  </si>
  <si>
    <t>Calidad Laboratorio T.T.</t>
  </si>
  <si>
    <t>29.9 h / 9 avisos</t>
  </si>
  <si>
    <t>Categorías: Calidad / medicion / proceso (5); Seguridad / puertas / protecciones (3); Electrico / PLC / PC / comunicacion (1)</t>
  </si>
  <si>
    <t>AFEITADORA HURTH 90269</t>
  </si>
  <si>
    <t>29.8 h / 18 avisos</t>
  </si>
  <si>
    <t>Categorías: Otros (11); Proceso / ciclo / tiempo (2); Mecanica / desgaste / rotura (2)</t>
  </si>
  <si>
    <t>RODADORA CM DIGIT 90576</t>
  </si>
  <si>
    <t>29.7 h / 21 avisos</t>
  </si>
  <si>
    <t>Categorías: Otros (13); Mecanica / desgaste / rotura (4); Electrico / PLC / PC / comunicacion (2)</t>
  </si>
  <si>
    <t>AFEITADORA HURTH 90104</t>
  </si>
  <si>
    <t>29.7 h / 12 avisos</t>
  </si>
  <si>
    <t>Categorías: Mecanica / desgaste / rotura (7); Robot / carga / manipulacion (5)</t>
  </si>
  <si>
    <t>DENTADORA FELSOMAT 6786326003</t>
  </si>
  <si>
    <t>29.6 h / 31 avisos</t>
  </si>
  <si>
    <t>Categorías: Mecanica / desgaste / rotura (9); Robot / carga / manipulacion (9); Hidraulica / aceite (4)</t>
  </si>
  <si>
    <t>ROBOT ABB CARGADOR WEISSER 90059</t>
  </si>
  <si>
    <t>29.5 h / 23 avisos</t>
  </si>
  <si>
    <t>Categorías: Robot / carga / manipulacion (22); Electrico / PLC / PC / comunicacion (1)</t>
  </si>
  <si>
    <t>SUPERACABADORA SUPFINA 6771817001</t>
  </si>
  <si>
    <t>29.2 h / 42 avisos</t>
  </si>
  <si>
    <t>Categorías: Robot / carga / manipulacion (20); Mecanica / desgaste / rotura (16); Electrico / PLC / PC / comunicacion (2)</t>
  </si>
  <si>
    <t>BROCHADORA KARL KLINK 90205 (6781906001)</t>
  </si>
  <si>
    <t>27.8 h / 46 avisos</t>
  </si>
  <si>
    <t>Categorías: Otros (27); Hidraulica / aceite (5); Proceso / ciclo / tiempo (5)</t>
  </si>
  <si>
    <t>AFILADORA SCHNEEBERGER 6772919001</t>
  </si>
  <si>
    <t>27.7 h / 8 avisos</t>
  </si>
  <si>
    <t>Categorías: Neumatica / aire (3); Mecanica / desgaste / rotura (2); Otros (1)</t>
  </si>
  <si>
    <t>TORNO MURATEC 6782945004</t>
  </si>
  <si>
    <t>27.6 h / 26 avisos</t>
  </si>
  <si>
    <t>Categorías: Calidad / medicion / proceso (7); Otros (6); Robot / carga / manipulacion (5)</t>
  </si>
  <si>
    <t>FRESADORA FIDIA 6780989001</t>
  </si>
  <si>
    <t>27.6 h / 24 avisos</t>
  </si>
  <si>
    <t>Categorías: Otros (13); Hidraulica / aceite (4); Mecanica / desgaste / rotura (2)</t>
  </si>
  <si>
    <t>HORNO IPSEN 90089/2 L1H2 (6875309003)</t>
  </si>
  <si>
    <t>27.2 h / 74 avisos</t>
  </si>
  <si>
    <t>Categorías: Electrico / PLC / PC / comunicacion (60); Hidraulica / aceite (11); Neumatica / aire (2)</t>
  </si>
  <si>
    <t>TORNO MURATEC 6782945003</t>
  </si>
  <si>
    <t>26.9 h / 38 avisos</t>
  </si>
  <si>
    <t>Categorías: Otros (12); Calidad / medicion / proceso (6); Robot / carga / manipulacion (5)</t>
  </si>
  <si>
    <t>COMPROBADORA KRAUTKRAMER 90009/1</t>
  </si>
  <si>
    <t>26.8 h / 35 avisos</t>
  </si>
  <si>
    <t>Categorías: Otros (17); Electrico / PLC / PC / comunicacion (8); Hidraulica / aceite (2)</t>
  </si>
  <si>
    <t>ISLA 1 INYEC.ITALPRES 90422 (6766901007)</t>
  </si>
  <si>
    <t>26.5 h / 75 avisos</t>
  </si>
  <si>
    <t>Categorías: Otros (27); Hidraulica / aceite (19); Seguridad / puertas / protecciones (9)</t>
  </si>
  <si>
    <t>TORNO MURATEC 6782941017</t>
  </si>
  <si>
    <t>26.4 h / 60 avisos</t>
  </si>
  <si>
    <t>Categorías: Otros (12); Refrigerante / agua / lavado (8); Mecanica / desgaste / rotura (8)</t>
  </si>
  <si>
    <t>RECTIFICADORA REISHAUER 6773940001</t>
  </si>
  <si>
    <t>26.3 h / 24 avisos</t>
  </si>
  <si>
    <t>Categorías: Otros (7); Calidad / medicion / proceso (5); Refrigerante / agua / lavado (3)</t>
  </si>
  <si>
    <t>BRUÑIDORA GEHRING 6771815004</t>
  </si>
  <si>
    <t>26.2 h / 46 avisos</t>
  </si>
  <si>
    <t>Categorías: Otros (17); Refrigerante / agua / lavado (10); Electrico / PLC / PC / comunicacion (5)</t>
  </si>
  <si>
    <t>HORNO DE CAMARA IPSEN 90321 C</t>
  </si>
  <si>
    <t>25.5 h / 20 avisos</t>
  </si>
  <si>
    <t>Categorías: Electrico / PLC / PC / comunicacion (15); Hidraulica / aceite (5)</t>
  </si>
  <si>
    <t>LAvadora bautermic 6878314001</t>
  </si>
  <si>
    <t>25.4 h / 23 avisos</t>
  </si>
  <si>
    <t>Categorías: Refrigerante / agua / lavado (21); Neumatica / aire (2)</t>
  </si>
  <si>
    <t>ROBOT CELDA CARGA CARCASA 10B 8536339146</t>
  </si>
  <si>
    <t>25.3 h / 46 avisos</t>
  </si>
  <si>
    <t>Categorías: Robot / carga / manipulacion (43); Electrico / PLC / PC / comunicacion (3)</t>
  </si>
  <si>
    <t>LAVADORA ROSINK 6878199001/1</t>
  </si>
  <si>
    <t>24.8 h / 62 avisos</t>
  </si>
  <si>
    <t>Categorías: Refrigerante / agua / lavado (59); Hidraulica / aceite (3)</t>
  </si>
  <si>
    <t>TORNO MURATEC 6782941005</t>
  </si>
  <si>
    <t>24.7 h / 24 avisos</t>
  </si>
  <si>
    <t>D - Baja/ruta</t>
  </si>
  <si>
    <t>Categorías: Preventivo / TPM (6); Otros (4); Robot / carga / manipulacion (4)</t>
  </si>
  <si>
    <t>ISLA 9 INYEC.ITALPRES 90312 (6766902002)</t>
  </si>
  <si>
    <t>24.5 h / 74 avisos</t>
  </si>
  <si>
    <t>Categorías: Otros (22); Hidraulica / aceite (21); Preventivo / TPM (10)</t>
  </si>
  <si>
    <t>RECTIFICADORA DANOBAT 6773809001</t>
  </si>
  <si>
    <t>24.3 h / 10 avisos</t>
  </si>
  <si>
    <t>Categorías: Otros (4); Hidraulica / aceite (3); Mecanica / desgaste / rotura (2)</t>
  </si>
  <si>
    <t>CELDA CARGA CAJA 10B 6625400001</t>
  </si>
  <si>
    <t>24.2 h / 48 avisos</t>
  </si>
  <si>
    <t>Categorías: Robot / carga / manipulacion (46); Neumatica / aire (1); Electrico / PLC / PC / comunicacion (1)</t>
  </si>
  <si>
    <t>ROBOT ABB GRANALLADO 8536390005</t>
  </si>
  <si>
    <t>24.0 h / 7 avisos</t>
  </si>
  <si>
    <t>Categorías: Robot / carga / manipulacion (6); Electrico / PLC / PC / comunicacion (1)</t>
  </si>
  <si>
    <t>RODADORA LINNENBRINK 90396</t>
  </si>
  <si>
    <t>24.0 h / 43 avisos</t>
  </si>
  <si>
    <t>Categorías: Otros (29); Calidad / medicion / proceso (5); Electrico / PLC / PC / comunicacion (3)</t>
  </si>
  <si>
    <t>TRONZADORA NEURTEK</t>
  </si>
  <si>
    <t>23.9 h / 2 avisos</t>
  </si>
  <si>
    <t>Categorías: Calidad / medicion / proceso (2)</t>
  </si>
  <si>
    <t>MICROFUGÓMETRO BAYER 8248564005</t>
  </si>
  <si>
    <t>23.6 h / 46 avisos</t>
  </si>
  <si>
    <t>Categorías: Calidad / medicion / proceso (33); Robot / carga / manipulacion (6); Electrico / PLC / PC / comunicacion (3)</t>
  </si>
  <si>
    <t>IS4 ENGRASADOR M. ACHESON 90446</t>
  </si>
  <si>
    <t>23.5 h / 42 avisos</t>
  </si>
  <si>
    <t>Categorías: Otros (30); Mecanica / desgaste / rotura (7); Neumatica / aire (3)</t>
  </si>
  <si>
    <t>PORTICO CARCASAS GROB 8518848002</t>
  </si>
  <si>
    <t>23.4 h / 54 avisos</t>
  </si>
  <si>
    <t>Categorías: Robot / carga / manipulacion (48); Hidraulica / aceite (3); Electrico / PLC / PC / comunicacion (2)</t>
  </si>
  <si>
    <t>TORNO VERT.PITTLER 6782926002(90457)</t>
  </si>
  <si>
    <t>23.3 h / 20 avisos</t>
  </si>
  <si>
    <t>Categorías: Otros (4); Seguridad / puertas / protecciones (4); Mecanica / desgaste / rotura (4)</t>
  </si>
  <si>
    <t>TRANSFERIZADO BERNAIS &amp; Co. 80008/12</t>
  </si>
  <si>
    <t>23.1 h / 28 avisos</t>
  </si>
  <si>
    <t>Categorías: Otros (16); Mecanica / desgaste / rotura (6); Proceso / ciclo / tiempo (3)</t>
  </si>
  <si>
    <t>TALLADORA LORENZ 90375</t>
  </si>
  <si>
    <t>22.9 h / 10 avisos</t>
  </si>
  <si>
    <t>Categorías: Otros (7); Robot / carga / manipulacion (2); Mecanica / desgaste / rotura (1)</t>
  </si>
  <si>
    <t>COMBINADA PRÄWEMA 6786918001</t>
  </si>
  <si>
    <t>22.3 h / 80 avisos</t>
  </si>
  <si>
    <t>Categorías: Otros (35); Mecanica / desgaste / rotura (12); Proceso / ciclo / tiempo (7)</t>
  </si>
  <si>
    <t>ROBOT KUKA 6781915001/1</t>
  </si>
  <si>
    <t>22.2 h / 8 avisos</t>
  </si>
  <si>
    <t>Categorías: Robot / carga / manipulacion (8)</t>
  </si>
  <si>
    <t>BRUÑIDORA NAGEL 6771820001</t>
  </si>
  <si>
    <t>22.1 h / 18 avisos</t>
  </si>
  <si>
    <t>Categorías: Otros (9); Robot / carga / manipulacion (2); Mecanica / desgaste / rotura (2)</t>
  </si>
  <si>
    <t>TALLADORA PRAWEMA 90145</t>
  </si>
  <si>
    <t>21.8 h / 13 avisos</t>
  </si>
  <si>
    <t>Categorías: Mecanica / desgaste / rotura (11); Robot / carga / manipulacion (1); Electrico / PLC / PC / comunicacion (1)</t>
  </si>
  <si>
    <t>TORNO VERTICAL FAMAR 90324</t>
  </si>
  <si>
    <t>21.7 h / 24 avisos</t>
  </si>
  <si>
    <t>Categorías: Otros (8); Mecanica / desgaste / rotura (5); Neumatica / aire (4)</t>
  </si>
  <si>
    <t>TORNO MURATEC 6782941008</t>
  </si>
  <si>
    <t>21.5 h / 39 avisos</t>
  </si>
  <si>
    <t>Categorías: Otros (18); Robot / carga / manipulacion (7); Preventivo / TPM (4)</t>
  </si>
  <si>
    <t>PÓRTICO MAG 8536535009</t>
  </si>
  <si>
    <t>21.2 h / 41 avisos</t>
  </si>
  <si>
    <t>Categorías: Robot / carga / manipulacion (35); Electrico / PLC / PC / comunicacion (4); Neumatica / aire (2)</t>
  </si>
  <si>
    <t>PULIDORA STRUERS ABRAMIN 6771806002</t>
  </si>
  <si>
    <t>21.2 h / 9 avisos</t>
  </si>
  <si>
    <t>Categorías: Electrico / PLC / PC / comunicacion (9)</t>
  </si>
  <si>
    <t>ROBOT ABB Carga/Desc.Tapa 8536325004</t>
  </si>
  <si>
    <t>21.1 h / 34 avisos</t>
  </si>
  <si>
    <t>Categorías: Robot / carga / manipulacion (32); Electrico / PLC / PC / comunicacion (2)</t>
  </si>
  <si>
    <t>MICROFUGÓMETRO BAYER 8248564006</t>
  </si>
  <si>
    <t>21.1 h / 30 avisos</t>
  </si>
  <si>
    <t>Categorías: Calidad / medicion / proceso (22); Robot / carga / manipulacion (4); Hidraulica / aceite (1)</t>
  </si>
  <si>
    <t>ROBOT ABB RECTIF.REISHAUER 6773932007</t>
  </si>
  <si>
    <t>21.1 h / 10 avisos</t>
  </si>
  <si>
    <t>Categorías: Robot / carga / manipulacion (8); Neumatica / aire (1); Electrico / PLC / PC / comunicacion (1)</t>
  </si>
  <si>
    <t>TORNO VERTICAL FAMAR 90415</t>
  </si>
  <si>
    <t>20.9 h / 74 avisos</t>
  </si>
  <si>
    <t>Categorías: Otros (30); Mecanica / desgaste / rotura (15); Seguridad / puertas / protecciones (11)</t>
  </si>
  <si>
    <t>RECTIFICADORA LIDKOPING 90387</t>
  </si>
  <si>
    <t>20.7 h / 41 avisos</t>
  </si>
  <si>
    <t>Categorías: Mecanica / desgaste / rotura (11); Calidad / medicion / proceso (8); Hidraulica / aceite (6)</t>
  </si>
  <si>
    <t>PRENSA CL. MAE 90280(6761093001)</t>
  </si>
  <si>
    <t>20.7 h / 27 avisos</t>
  </si>
  <si>
    <t>Categorías: Otros (17); Robot / carga / manipulacion (7); Calidad / medicion / proceso (1)</t>
  </si>
  <si>
    <t>HORNO IPSEN 90299/1L2H1 (6875309002)</t>
  </si>
  <si>
    <t>20.6 h / 84 avisos</t>
  </si>
  <si>
    <t>Categorías: Electrico / PLC / PC / comunicacion (74); Hidraulica / aceite (6); Refrigerante / agua / lavado (2)</t>
  </si>
  <si>
    <t>TORNO MURATEC 6782945001</t>
  </si>
  <si>
    <t>20.5 h / 26 avisos</t>
  </si>
  <si>
    <t>Categorías: Otros (9); Robot / carga / manipulacion (6); Calidad / medicion / proceso (5)</t>
  </si>
  <si>
    <t>ID10 HORNO WESTOFEN 6875411001</t>
  </si>
  <si>
    <t>20.3 h / 21 avisos</t>
  </si>
  <si>
    <t>Categorías: Horno / temperatura (13); Mecanica / desgaste / rotura (4); Neumatica / aire (2)</t>
  </si>
  <si>
    <t>COMPROBADORA KRAUTKRAMER 90364</t>
  </si>
  <si>
    <t>20.3 h / 6 avisos</t>
  </si>
  <si>
    <t>Categorías: Otros (4); Calidad / medicion / proceso (1); Refrigerante / agua / lavado (1)</t>
  </si>
  <si>
    <t>RECTIFICADORA REISHAUER 6773940012</t>
  </si>
  <si>
    <t>20.2 h / 39 avisos</t>
  </si>
  <si>
    <t>Categorías: Otros (10); Calidad / medicion / proceso (9); Electrico / PLC / PC / comunicacion (6)</t>
  </si>
  <si>
    <t>REBABADORA SAMPUTENSILI 90079</t>
  </si>
  <si>
    <t>20.1 h / 48 avisos</t>
  </si>
  <si>
    <t>Categorías: Otros (28); Mecanica / desgaste / rotura (8); Proceso / ciclo / tiempo (5)</t>
  </si>
  <si>
    <t>REBABADORA SAMPUTENSILI 90326</t>
  </si>
  <si>
    <t>20.0 h / 48 avisos</t>
  </si>
  <si>
    <t>Categorías: Otros (30); Refrigerante / agua / lavado (7); Robot / carga / manipulacion (5)</t>
  </si>
  <si>
    <t>TORNO PINACHO 6782153003</t>
  </si>
  <si>
    <t>19.9 h / 9 avisos</t>
  </si>
  <si>
    <t>Categorías: Otros (5); Mecanica / desgaste / rotura (3); Electrico / PLC / PC / comunicacion (1)</t>
  </si>
  <si>
    <t>LAVADORA BAUTERMIC 6878181017</t>
  </si>
  <si>
    <t>19.9 h / 47 avisos</t>
  </si>
  <si>
    <t>Categorías: Refrigerante / agua / lavado (46); Neumatica / aire (1)</t>
  </si>
  <si>
    <t>TRANSFERIZADO BERNAIS FISCHER 80008/13</t>
  </si>
  <si>
    <t>19.6 h / 17 avisos</t>
  </si>
  <si>
    <t>Categorías: Otros (12); Refrigerante / agua / lavado (2); Hidraulica / aceite (2)</t>
  </si>
  <si>
    <t>TORNO MURATEC 6782941021</t>
  </si>
  <si>
    <t>19.5 h / 38 avisos</t>
  </si>
  <si>
    <t>Categorías: Otros (12); Refrigerante / agua / lavado (6); Calidad / medicion / proceso (5)</t>
  </si>
  <si>
    <t>TRANSFERIZADO MASA 90763/4</t>
  </si>
  <si>
    <t>19.4 h / 8 avisos</t>
  </si>
  <si>
    <t>Categorías: Otros (6); Mecanica / desgaste / rotura (1); Robot / carga / manipulacion (1)</t>
  </si>
  <si>
    <t>IS7 PRENSA ITALPRESS 6761070001</t>
  </si>
  <si>
    <t>19.3 h / 35 avisos</t>
  </si>
  <si>
    <t>Categorías: Hidraulica / aceite (9); Otros (9); Seguridad / puertas / protecciones (8)</t>
  </si>
  <si>
    <t>DESPUNTEADORA WERA 90346</t>
  </si>
  <si>
    <t>19.2 h / 39 avisos</t>
  </si>
  <si>
    <t>Categorías: Otros (15); Robot / carga / manipulacion (10); Hidraulica / aceite (4)</t>
  </si>
  <si>
    <t>RODADORA LINNENBRINK 6897412002</t>
  </si>
  <si>
    <t>19.1 h / 32 avisos</t>
  </si>
  <si>
    <t>Categorías: Otros (11); Robot / carga / manipulacion (9); Electrico / PLC / PC / comunicacion (3)</t>
  </si>
  <si>
    <t>ISLA 3 INYEC.ITALPRES 90423 (6766901008)</t>
  </si>
  <si>
    <t>19.0 h / 65 avisos</t>
  </si>
  <si>
    <t>Categorías: Otros (24); Seguridad / puertas / protecciones (13); Hidraulica / aceite (12)</t>
  </si>
  <si>
    <t>CELDA CARGA CAJA 10A 6625400002</t>
  </si>
  <si>
    <t>18.9 h / 45 avisos</t>
  </si>
  <si>
    <t>Categorías: Robot / carga / manipulacion (44); Neumatica / aire (1)</t>
  </si>
  <si>
    <t>REBABADORA SAMPUTENSILI 90327</t>
  </si>
  <si>
    <t>18.7 h / 63 avisos</t>
  </si>
  <si>
    <t>Categorías: Otros (38); Robot / carga / manipulacion (17); Proceso / ciclo / tiempo (3)</t>
  </si>
  <si>
    <t>ESTACIÓN RECUPERACION ORBITA 7016420009</t>
  </si>
  <si>
    <t>18.7 h / 30 avisos</t>
  </si>
  <si>
    <t>Categorías: Otros (11); Mecanica / desgaste / rotura (8); Robot / carga / manipulacion (4)</t>
  </si>
  <si>
    <t>ROBOT ABB despunt. PRAWEMA 6786629002</t>
  </si>
  <si>
    <t>18.7 h / 20 avisos</t>
  </si>
  <si>
    <t>Categorías: Robot / carga / manipulacion (17); Electrico / PLC / PC / comunicacion (1); Hidraulica / aceite (1)</t>
  </si>
  <si>
    <t>GRANALLADORA ALJU 6868221003</t>
  </si>
  <si>
    <t>18.4 h / 44 avisos</t>
  </si>
  <si>
    <t>Categorías: Robot / carga / manipulacion (27); Granalla (13); Mecanica / desgaste / rotura (2)</t>
  </si>
  <si>
    <t>ROBOT ABB Taladro TBT 6780245002</t>
  </si>
  <si>
    <t>18.4 h / 21 avisos</t>
  </si>
  <si>
    <t>Categorías: Robot / carga / manipulacion (17); Neumatica / aire (3); Electrico / PLC / PC / comunicacion (1)</t>
  </si>
  <si>
    <t>RECTIFICADORA LIDKOPING 90389</t>
  </si>
  <si>
    <t>18.2 h / 17 avisos</t>
  </si>
  <si>
    <t>Categorías: Mecanica / desgaste / rotura (8); Electrico / PLC / PC / comunicacion (3); Robot / carga / manipulacion (3)</t>
  </si>
  <si>
    <t>HORNO DE CAMARA IPSEN 90319 S</t>
  </si>
  <si>
    <t>18.2 h / 9 avisos</t>
  </si>
  <si>
    <t>GRANALLADORA PANGBORN 90419</t>
  </si>
  <si>
    <t>18.0 h / 14 avisos</t>
  </si>
  <si>
    <t>Categorías: Electrico / PLC / PC / comunicacion (13); Hidraulica / aceite (1)</t>
  </si>
  <si>
    <t>CINTA TRANSPORTE MAG-EWAB 8536535010</t>
  </si>
  <si>
    <t>17.8 h / 29 avisos</t>
  </si>
  <si>
    <t>Categorías: Calidad / medicion / proceso (11); Robot / carga / manipulacion (8); Refrigerante / agua / lavado (5)</t>
  </si>
  <si>
    <t>LAMINADORA EX-CELL-O 90308(6776909002)</t>
  </si>
  <si>
    <t>17.7 h / 8 avisos</t>
  </si>
  <si>
    <t>Categorías: Mecanica / desgaste / rotura (4); Hidraulica / aceite (2); Neumatica / aire (1)</t>
  </si>
  <si>
    <t>ROBOT UNIVERSAL CARGA 8536401001</t>
  </si>
  <si>
    <t>17.6 h / 38 avisos</t>
  </si>
  <si>
    <t>Categorías: Robot / carga / manipulacion (33); Refrigerante / agua / lavado (3); Electrico / PLC / PC / comunicacion (1)</t>
  </si>
  <si>
    <t>TORNO MURATEC 6782941007</t>
  </si>
  <si>
    <t>17.6 h / 41 avisos</t>
  </si>
  <si>
    <t>Categorías: Otros (18); Robot / carga / manipulacion (10); Mecanica / desgaste / rotura (4)</t>
  </si>
  <si>
    <t>IP2 PRENSA ITALPRESSE 90485</t>
  </si>
  <si>
    <t>17.6 h / 30 avisos</t>
  </si>
  <si>
    <t>Categorías: Otros (12); Hidraulica / aceite (11); Seguridad / puertas / protecciones (4)</t>
  </si>
  <si>
    <t>AFILADORA SAMPUTENSILI 90349</t>
  </si>
  <si>
    <t>17.6 h / 7 avisos</t>
  </si>
  <si>
    <t>Categorías: Electrico / PLC / PC / comunicacion (3); Preventivo / TPM (1); Seguridad / puertas / protecciones (1)</t>
  </si>
  <si>
    <t>TRANSFERIZADO EWAB 8536414001</t>
  </si>
  <si>
    <t>17.5 h / 60 avisos</t>
  </si>
  <si>
    <t>Categorías: Neumatica / aire (33); Robot / carga / manipulacion (12); Otros (10)</t>
  </si>
  <si>
    <t>PRENSA ENDEREZ.MAE 90335 (6761066002)</t>
  </si>
  <si>
    <t>17.5 h / 11 avisos</t>
  </si>
  <si>
    <t>Categorías: Mecanica / desgaste / rotura (8); Calidad / medicion / proceso (1); Robot / carga / manipulacion (1)</t>
  </si>
  <si>
    <t>IS4 PRENSA ITALPRESS 90445</t>
  </si>
  <si>
    <t>17.3 h / 32 avisos</t>
  </si>
  <si>
    <t>Categorías: Otros (15); Hidraulica / aceite (7); Electrico / PLC / PC / comunicacion (4)</t>
  </si>
  <si>
    <t>IS3 ROBOT A.B.B. 90426</t>
  </si>
  <si>
    <t>17.1 h / 44 avisos</t>
  </si>
  <si>
    <t>Categorías: Robot / carga / manipulacion (40); Neumatica / aire (3); Hidraulica / aceite (1)</t>
  </si>
  <si>
    <t>ROBOT CELDA CARGA CARCASA 10A 8536339145</t>
  </si>
  <si>
    <t>17.0 h / 43 avisos</t>
  </si>
  <si>
    <t>Categorías: Robot / carga / manipulacion (41); Hidraulica / aceite (1); Neumatica / aire (1)</t>
  </si>
  <si>
    <t>ID10 LUBRICADOR BÖHMER 6877113001</t>
  </si>
  <si>
    <t>17.0 h / 35 avisos</t>
  </si>
  <si>
    <t>Categorías: Otros (18); Mecanica / desgaste / rotura (6); Hidraulica / aceite (5)</t>
  </si>
  <si>
    <t>GRANALLADORA ALJU 6868221004</t>
  </si>
  <si>
    <t>16.7 h / 24 avisos</t>
  </si>
  <si>
    <t>Categorías: Robot / carga / manipulacion (16); Granalla (6); Electrico / PLC / PC / comunicacion (1)</t>
  </si>
  <si>
    <t>AFILADORA REINEKER 90240</t>
  </si>
  <si>
    <t>16.4 h / 25 avisos</t>
  </si>
  <si>
    <t>Categorías: Mecanica / desgaste / rotura (7); Electrico / PLC / PC / comunicacion (5); Otros (4)</t>
  </si>
  <si>
    <t>IS3 PRENSA ITALPRESSE 90432</t>
  </si>
  <si>
    <t>16.3 h / 52 avisos</t>
  </si>
  <si>
    <t>Categorías: Otros (26); Hidraulica / aceite (11); Electrico / PLC / PC / comunicacion (7)</t>
  </si>
  <si>
    <t>ISLA 10 INYECTORA IDRA (6766903001)</t>
  </si>
  <si>
    <t>16.1 h / 71 avisos</t>
  </si>
  <si>
    <t>Categorías: Otros (31); Hidraulica / aceite (16); Electrico / PLC / PC / comunicacion (8)</t>
  </si>
  <si>
    <t>MICROFUGOMETRO MAG-BAYER 8248571001</t>
  </si>
  <si>
    <t>16.0 h / 50 avisos</t>
  </si>
  <si>
    <t>Categorías: Calidad / medicion / proceso (37); Robot / carga / manipulacion (10); Seguridad / puertas / protecciones (2)</t>
  </si>
  <si>
    <t>ID1 HORNO WESTOFEN 90554</t>
  </si>
  <si>
    <t>16.0 h / 12 avisos</t>
  </si>
  <si>
    <t>Categorías: Horno / temperatura (8); Neumatica / aire (3); Seguridad / puertas / protecciones (1)</t>
  </si>
  <si>
    <t>ROBOT UNIVERSAL 8536602048</t>
  </si>
  <si>
    <t>16.0 h / 1 avisos</t>
  </si>
  <si>
    <t>Categorías: Robot / carga / manipulacion (1)</t>
  </si>
  <si>
    <t>TRANSFERIZADO BERNAIS FISCHER 80008/05</t>
  </si>
  <si>
    <t>15.8 h / 28 avisos</t>
  </si>
  <si>
    <t>Categorías: Otros (13); Refrigerante / agua / lavado (8); Electrico / PLC / PC / comunicacion (3)</t>
  </si>
  <si>
    <t>TRANSF.ROTZINGER 90758/45 MAQUINA(90015)</t>
  </si>
  <si>
    <t>15.8 h / 9 avisos</t>
  </si>
  <si>
    <t>Categorías: Mecanica / desgaste / rotura (8); Refrigerante / agua / lavado (1)</t>
  </si>
  <si>
    <t>TRANSFERIZADO EWAB 90768/2.2</t>
  </si>
  <si>
    <t>15.7 h / 8 avisos</t>
  </si>
  <si>
    <t>Categorías: Mecanica / desgaste / rotura (7); Robot / carga / manipulacion (1)</t>
  </si>
  <si>
    <t>RODADORA CM DIGIT 90573</t>
  </si>
  <si>
    <t>15.5 h / 13 avisos</t>
  </si>
  <si>
    <t>Categorías: Otros (9); Neumatica / aire (1); Mecanica / desgaste / rotura (1)</t>
  </si>
  <si>
    <t>ROB.KUKA CELDA CARGA CAJA 10B 8536339143</t>
  </si>
  <si>
    <t>15.3 h / 69 avisos</t>
  </si>
  <si>
    <t>Categorías: Robot / carga / manipulacion (67); Electrico / PLC / PC / comunicacion (2)</t>
  </si>
  <si>
    <t>TRANSFERIZADO ARTEMAIN 8536415004</t>
  </si>
  <si>
    <t>15.3 h / 19 avisos</t>
  </si>
  <si>
    <t>Categorías: Otros (13); Robot / carga / manipulacion (3); Proceso / ciclo / tiempo (1)</t>
  </si>
  <si>
    <t>TRANSFERIZADO MASA 90766/4(90390)</t>
  </si>
  <si>
    <t>15.3 h / 3 avisos</t>
  </si>
  <si>
    <t>Categorías: Proceso / ciclo / tiempo (1); Refrigerante / agua / lavado (1); Otros (1)</t>
  </si>
  <si>
    <t>IS1 HORNO WESTOFEN 90586</t>
  </si>
  <si>
    <t>15.0 h / 20 avisos</t>
  </si>
  <si>
    <t>Categorías: Horno / temperatura (11); Mecanica / desgaste / rotura (3); Electrico / PLC / PC / comunicacion (2)</t>
  </si>
  <si>
    <t>TORNO VERTICAL FAMAR 90137</t>
  </si>
  <si>
    <t>14.9 h / 18 avisos</t>
  </si>
  <si>
    <t>Categorías: Otros (10); Hidraulica / aceite (2); Neumatica / aire (1)</t>
  </si>
  <si>
    <t>ROBOT ABB RECTIF.REISHAUER 6773936002</t>
  </si>
  <si>
    <t>14.9 h / 3 avisos</t>
  </si>
  <si>
    <t>Categorías: Electrico / PLC / PC / comunicacion (1); Neumatica / aire (1); Robot / carga / manipulacion (1)</t>
  </si>
  <si>
    <t>REBABADORA RECMAN 6781917001</t>
  </si>
  <si>
    <t>14.7 h / 59 avisos</t>
  </si>
  <si>
    <t>Categorías: Otros (41); Mecanica / desgaste / rotura (4); Robot / carga / manipulacion (4)</t>
  </si>
  <si>
    <t>TRANSFERIZADO BERNAIS &amp; Co. 80008/11</t>
  </si>
  <si>
    <t>14.7 h / 30 avisos</t>
  </si>
  <si>
    <t>Categorías: Otros (18); Mecanica / desgaste / rotura (9); Refrigerante / agua / lavado (1)</t>
  </si>
  <si>
    <t>DENTADORA FELSOMAT 6786326001</t>
  </si>
  <si>
    <t>14.6 h / 7 avisos</t>
  </si>
  <si>
    <t>Categorías: Mecanica / desgaste / rotura (5); Electrico / PLC / PC / comunicacion (1); Hidraulica / aceite (1)</t>
  </si>
  <si>
    <t>ROB.KUKA CELDA CARGA CAJA 10A 8536339144</t>
  </si>
  <si>
    <t>14.6 h / 41 avisos</t>
  </si>
  <si>
    <t>Categorías: Robot / carga / manipulacion (39); Electrico / PLC / PC / comunicacion (1); Neumatica / aire (1)</t>
  </si>
  <si>
    <t>ISLA 4 PRENSA ITALPRESS 90445</t>
  </si>
  <si>
    <t>14.5 h / 5 avisos</t>
  </si>
  <si>
    <t>Categorías: Electrico / PLC / PC / comunicacion (1); Proceso / ciclo / tiempo (1); Seguridad / puertas / protecciones (1)</t>
  </si>
  <si>
    <t>LAVADORA BAUTERMIC 6878181018</t>
  </si>
  <si>
    <t>14.4 h / 45 avisos</t>
  </si>
  <si>
    <t>Categorías: Refrigerante / agua / lavado (41); Hidraulica / aceite (2); Neumatica / aire (2)</t>
  </si>
  <si>
    <t>ROBOT KUKA 90281/1</t>
  </si>
  <si>
    <t>14.4 h / 8 avisos</t>
  </si>
  <si>
    <t>Categorías: Robot / carga / manipulacion (7); Electrico / PLC / PC / comunicacion (1)</t>
  </si>
  <si>
    <t>REBABADORA SAMPUTENSILI 90046</t>
  </si>
  <si>
    <t>14.3 h / 43 avisos</t>
  </si>
  <si>
    <t>Categorías: Otros (27); Proceso / ciclo / tiempo (5); Robot / carga / manipulacion (3)</t>
  </si>
  <si>
    <t>CENTRO MECANIZ. GROB 6780981037</t>
  </si>
  <si>
    <t>14.2 h / 36 avisos</t>
  </si>
  <si>
    <t>Categorías: Calidad / medicion / proceso (30); Hidraulica / aceite (4); Neumatica / aire (1)</t>
  </si>
  <si>
    <t>RECTIFICADORA REISHAUER 6773940010</t>
  </si>
  <si>
    <t>14.2 h / 23 avisos</t>
  </si>
  <si>
    <t>Categorías: Otros (11); Neumatica / aire (5); Calidad / medicion / proceso (3)</t>
  </si>
  <si>
    <t>DOSIFICADOR MULTIMIX 6873505001</t>
  </si>
  <si>
    <t>14.0 h / 9 avisos</t>
  </si>
  <si>
    <t>Categorías: Otros (5); Seguridad / puertas / protecciones (2); Electrico / PLC / PC / comunicacion (2)</t>
  </si>
  <si>
    <t>LAvadora bautermic 6878198001</t>
  </si>
  <si>
    <t>Gr. 63507 Trat. Termicos BEDA/BAUTERMIC</t>
  </si>
  <si>
    <t>13.8 h / 31 avisos</t>
  </si>
  <si>
    <t>Categorías: Refrigerante / agua / lavado (28); Neumatica / aire (3)</t>
  </si>
  <si>
    <t>ROBOT ABB CAJAS 8536312002</t>
  </si>
  <si>
    <t>13.7 h / 16 avisos</t>
  </si>
  <si>
    <t>Categorías: Robot / carga / manipulacion (16)</t>
  </si>
  <si>
    <t>ROBOT UNIVERSAL 8536602045</t>
  </si>
  <si>
    <t>13.3 h / 5 avisos</t>
  </si>
  <si>
    <t>Categorías: Robot / carga / manipulacion (5)</t>
  </si>
  <si>
    <t>IS6 IDRA-1 PRENSA L.B.M</t>
  </si>
  <si>
    <t>13.2 h / 34 avisos</t>
  </si>
  <si>
    <t>Categorías: Otros (16); Hidraulica / aceite (8); Electrico / PLC / PC / comunicacion (4)</t>
  </si>
  <si>
    <t>SATÉLITE EWAB 8536414001/2.1</t>
  </si>
  <si>
    <t>13.1 h / 7 avisos</t>
  </si>
  <si>
    <t>Categorías: Neumatica / aire (4); Otros (2); Robot / carga / manipulacion (1)</t>
  </si>
  <si>
    <t>ISLA 6 PRENSA L.B.M. 6761953002</t>
  </si>
  <si>
    <t>13.0 h / 34 avisos</t>
  </si>
  <si>
    <t>Categorías: Hidraulica / aceite (14); Otros (12); Neumatica / aire (2)</t>
  </si>
  <si>
    <t>IS1 PRENSA ITALPRESSE 90431</t>
  </si>
  <si>
    <t>13.0 h / 30 avisos</t>
  </si>
  <si>
    <t>Categorías: Otros (14); Hidraulica / aceite (8); Seguridad / puertas / protecciones (3)</t>
  </si>
  <si>
    <t>TORNO VERTICAL FAMAR 90414</t>
  </si>
  <si>
    <t>12.8 h / 16 avisos</t>
  </si>
  <si>
    <t>Categorías: Otros (9); Seguridad / puertas / protecciones (3); Hidraulica / aceite (1)</t>
  </si>
  <si>
    <t>RODADORA LINNENBRINK 6793528001</t>
  </si>
  <si>
    <t>12.7 h / 15 avisos</t>
  </si>
  <si>
    <t>Categorías: Mecanica / desgaste / rotura (10); Robot / carga / manipulacion (2); Calidad / medicion / proceso (2)</t>
  </si>
  <si>
    <t>TRANSFERIZADO BERNAIS FISCHER 80008/02</t>
  </si>
  <si>
    <t>12.5 h / 21 avisos</t>
  </si>
  <si>
    <t>Categorías: Otros (13); Refrigerante / agua / lavado (6); Hidraulica / aceite (2)</t>
  </si>
  <si>
    <t>LAVADORA BAUTERMIC 6878181009</t>
  </si>
  <si>
    <t>12.3 h / 28 avisos</t>
  </si>
  <si>
    <t>Categorías: Refrigerante / agua / lavado (28)</t>
  </si>
  <si>
    <t>ID2 LUBRICADOR AED AUTOMATION 6877115001</t>
  </si>
  <si>
    <t>12.2 h / 18 avisos</t>
  </si>
  <si>
    <t>Categorías: Otros (16); Neumatica / aire (1); Electrico / PLC / PC / comunicacion (1)</t>
  </si>
  <si>
    <t>CELDA CARGA CARCASA 10B 6625400004</t>
  </si>
  <si>
    <t>12.2 h / 37 avisos</t>
  </si>
  <si>
    <t>Categorías: Robot / carga / manipulacion (37)</t>
  </si>
  <si>
    <t>LAVADORA BAUTERMIC 6878181007</t>
  </si>
  <si>
    <t>12.0 h / 32 avisos</t>
  </si>
  <si>
    <t>Categorías: Refrigerante / agua / lavado (29); Neumatica / aire (2); Hidraulica / aceite (1)</t>
  </si>
  <si>
    <t>HORNO REVENIDO L1 IPSEN 90089/4</t>
  </si>
  <si>
    <t>12.0 h / 4 avisos</t>
  </si>
  <si>
    <t>Categorías: Electrico / PLC / PC / comunicacion (4)</t>
  </si>
  <si>
    <t>ISLA 6 LUBRIFICADOR ACHESON 90519</t>
  </si>
  <si>
    <t>11.7 h / 17 avisos</t>
  </si>
  <si>
    <t>Categorías: Otros (12); Neumatica / aire (3); Refrigerante / agua / lavado (1)</t>
  </si>
  <si>
    <t>ROBOT ABB gran.sisohn lehman 6868213002</t>
  </si>
  <si>
    <t>11.7 h / 9 avisos</t>
  </si>
  <si>
    <t>Categorías: Robot / carga / manipulacion (8); Electrico / PLC / PC / comunicacion (1)</t>
  </si>
  <si>
    <t>ROBOT ABB BAYER 8248571001/1</t>
  </si>
  <si>
    <t>11.6 h / 16 avisos</t>
  </si>
  <si>
    <t>Categorías: Robot / carga / manipulacion (13); Electrico / PLC / PC / comunicacion (2); Neumatica / aire (1)</t>
  </si>
  <si>
    <t>LAVADORA TRANSF EWAB BAUTERMIC 90776/L1</t>
  </si>
  <si>
    <t>11.6 h / 19 avisos</t>
  </si>
  <si>
    <t>Categorías: Refrigerante / agua / lavado (19)</t>
  </si>
  <si>
    <t>ROBOT ABB 8536422001/1 BAUTER 6878181002</t>
  </si>
  <si>
    <t>11.5 h / 12 avisos</t>
  </si>
  <si>
    <t>Categorías: Robot / carga / manipulacion (12)</t>
  </si>
  <si>
    <t>RECTIFICADORA DANOBAT 6773806003</t>
  </si>
  <si>
    <t>11.3 h / 1 avisos</t>
  </si>
  <si>
    <t>Categorías: Otros (1)</t>
  </si>
  <si>
    <t>TRANSFERIZADO EWAB 90768/1.1</t>
  </si>
  <si>
    <t>11.2 h / 14 avisos</t>
  </si>
  <si>
    <t>Categorías: Mecanica / desgaste / rotura (8); Robot / carga / manipulacion (6)</t>
  </si>
  <si>
    <t>CELULA CARGA EJES ATT(MQ-281) 7016420010</t>
  </si>
  <si>
    <t>11.2 h / 31 avisos</t>
  </si>
  <si>
    <t>Categorías: Robot / carga / manipulacion (29); Electrico / PLC / PC / comunicacion (2)</t>
  </si>
  <si>
    <t>CINTA TRANSPORTE MAG-EWAB 8536535005</t>
  </si>
  <si>
    <t>11.1 h / 22 avisos</t>
  </si>
  <si>
    <t>Categorías: Robot / carga / manipulacion (10); Calidad / medicion / proceso (9); Electrico / PLC / PC / comunicacion (1)</t>
  </si>
  <si>
    <t>IS7 LUBRICADOR ACHESON 6877111010</t>
  </si>
  <si>
    <t>11.0 h / 37 avisos</t>
  </si>
  <si>
    <t>Categorías: Otros (28); Neumatica / aire (5); Mecanica / desgaste / rotura (2)</t>
  </si>
  <si>
    <t>SOLDADORA MANUMATIC 90007/1</t>
  </si>
  <si>
    <t>10.8 h / 8 avisos</t>
  </si>
  <si>
    <t>Categorías: Robot / carga / manipulacion (4); Otros (2); Proceso / ciclo / tiempo (2)</t>
  </si>
  <si>
    <t>TRANSFERIZADO BERNAIS &amp; Co. 90760/10</t>
  </si>
  <si>
    <t>10.8 h / 11 avisos</t>
  </si>
  <si>
    <t>Categorías: Proceso / ciclo / tiempo (4); Mecanica / desgaste / rotura (3); Otros (3)</t>
  </si>
  <si>
    <t>DENTADORA MIKRON 90125(6786911003)</t>
  </si>
  <si>
    <t>10.8 h / 4 avisos</t>
  </si>
  <si>
    <t>Categorías: Mecanica / desgaste / rotura (2); Electrico / PLC / PC / comunicacion (1); Robot / carga / manipulacion (1)</t>
  </si>
  <si>
    <t>LAVADORA BAUTERMIC 6878197002</t>
  </si>
  <si>
    <t>10.5 h / 20 avisos</t>
  </si>
  <si>
    <t>Categorías: Refrigerante / agua / lavado (17); Hidraulica / aceite (3)</t>
  </si>
  <si>
    <t>TRANSFERIZADO BERNAIS &amp; Co. 80008/10</t>
  </si>
  <si>
    <t>10.5 h / 14 avisos</t>
  </si>
  <si>
    <t>Categorías: Otros (5); Mecanica / desgaste / rotura (3); Proceso / ciclo / tiempo (2)</t>
  </si>
  <si>
    <t>ROBOT ABB GROB 6780981039</t>
  </si>
  <si>
    <t>10.5 h / 7 avisos</t>
  </si>
  <si>
    <t>Categorías: Robot / carga / manipulacion (7)</t>
  </si>
  <si>
    <t>ROBOT ABB BAYER 8536324007</t>
  </si>
  <si>
    <t>10.4 h / 8 avisos</t>
  </si>
  <si>
    <t>Categorías: Robot / carga / manipulacion (7); Hidraulica / aceite (1)</t>
  </si>
  <si>
    <t>CENTR MED.ENGRA.KLINGELNBERG (898473/21)</t>
  </si>
  <si>
    <t>Calidad Sala Medición y Metrologia</t>
  </si>
  <si>
    <t>10.3 h / 6 avisos</t>
  </si>
  <si>
    <t>Categorías: Calidad / medicion / proceso (5); Electrico / PLC / PC / comunicacion (1)</t>
  </si>
  <si>
    <t>TRANSFERIZADO FLEX LINK 8536423001</t>
  </si>
  <si>
    <t>10.2 h / 22 avisos</t>
  </si>
  <si>
    <t>Categorías: Otros (13); Electrico / PLC / PC / comunicacion (3); Mecanica / desgaste / rotura (2)</t>
  </si>
  <si>
    <t>TORNO VERTICAL FAMAR 90384</t>
  </si>
  <si>
    <t>10.0 h / 26 avisos</t>
  </si>
  <si>
    <t>Categorías: Otros (9); Mecanica / desgaste / rotura (5); Electrico / PLC / PC / comunicacion (4)</t>
  </si>
  <si>
    <t>ISLA 3 LUBRIFICADOR ACHESON 90435</t>
  </si>
  <si>
    <t>10.0 h / 24 avisos</t>
  </si>
  <si>
    <t>Categorías: Otros (14); Proceso / ciclo / tiempo (3); Mecanica / desgaste / rotura (3)</t>
  </si>
  <si>
    <t>CORTADORA METKON 6776921002</t>
  </si>
  <si>
    <t>10.0 h / 17 avisos</t>
  </si>
  <si>
    <t>Categorías: Mecanica / desgaste / rotura (7); Otros (6); Robot / carga / manipulacion (2)</t>
  </si>
  <si>
    <t>REMACHADORA NOUTEME 6776911001</t>
  </si>
  <si>
    <t>10.0 h / 3 avisos</t>
  </si>
  <si>
    <t>Categorías: Preventivo / TPM (2); Seguridad / puertas / protecciones (1)</t>
  </si>
  <si>
    <t>LAVADORA BAUTERMIC 90807/4</t>
  </si>
  <si>
    <t>9.8 h / 19 avisos</t>
  </si>
  <si>
    <t>Categorías: Refrigerante / agua / lavado (13); Hidraulica / aceite (5); Neumatica / aire (1)</t>
  </si>
  <si>
    <t>LAVADORA BAUTERMIC 6878149001</t>
  </si>
  <si>
    <t>9.7 h / 20 avisos</t>
  </si>
  <si>
    <t>Categorías: Refrigerante / agua / lavado (17); Neumatica / aire (3)</t>
  </si>
  <si>
    <t>IS1 LUBRICADOR ACHESON 90434</t>
  </si>
  <si>
    <t>9.7 h / 40 avisos</t>
  </si>
  <si>
    <t>Categorías: Otros (27); Mecanica / desgaste / rotura (12); Horno / temperatura (1)</t>
  </si>
  <si>
    <t>ID1 ROBOT A.B.B. 90828</t>
  </si>
  <si>
    <t>9.7 h / 23 avisos</t>
  </si>
  <si>
    <t>Categorías: Robot / carga / manipulacion (19); Neumatica / aire (2); Refrigerante / agua / lavado (1)</t>
  </si>
  <si>
    <t>TRANSFER.BERNAIS &amp; Co. 90774/03(90340)</t>
  </si>
  <si>
    <t>9.6 h / 7 avisos</t>
  </si>
  <si>
    <t>Categorías: Otros (6); Refrigerante / agua / lavado (1)</t>
  </si>
  <si>
    <t>LAVADORA TRANSF EWAB BAUTERMIC 90751/L4</t>
  </si>
  <si>
    <t>9.5 h / 24 avisos</t>
  </si>
  <si>
    <t>Categorías: Refrigerante / agua / lavado (20); Hidraulica / aceite (4)</t>
  </si>
  <si>
    <t>LAVADORA MESLOH 90720(6878197001)</t>
  </si>
  <si>
    <t>9.3 h / 31 avisos</t>
  </si>
  <si>
    <t>Categorías: Refrigerante / agua / lavado (29); Neumatica / aire (2)</t>
  </si>
  <si>
    <t>IP1 HORNO WESTOFEN WESTOFEN 90315</t>
  </si>
  <si>
    <t>9.3 h / 30 avisos</t>
  </si>
  <si>
    <t>Categorías: Horno / temperatura (19); Seguridad / puertas / protecciones (3); Mecanica / desgaste / rotura (3)</t>
  </si>
  <si>
    <t>TRANSFERIZADO FLEX LINK 8536424001</t>
  </si>
  <si>
    <t>9.2 h / 28 avisos</t>
  </si>
  <si>
    <t>Categorías: Otros (18); Mecanica / desgaste / rotura (4); Preventivo / TPM (1)</t>
  </si>
  <si>
    <t>HORNO NITRURADO IPSEN 90082/4 "N"</t>
  </si>
  <si>
    <t>9.2 h / 13 avisos</t>
  </si>
  <si>
    <t>Categorías: Electrico / PLC / PC / comunicacion (12); Neumatica / aire (1)</t>
  </si>
  <si>
    <t>ISLA 1 PRENSA ITALPRESSE 90431</t>
  </si>
  <si>
    <t>9.1 h / 20 avisos</t>
  </si>
  <si>
    <t>Categorías: Otros (12); Preventivo / TPM (3); Seguridad / puertas / protecciones (2)</t>
  </si>
  <si>
    <t>ROBOT ABB rectif REISHAUER 6773932010</t>
  </si>
  <si>
    <t>9.0 h / 9 avisos</t>
  </si>
  <si>
    <t>Categorías: Robot / carga / manipulacion (7); Neumatica / aire (2)</t>
  </si>
  <si>
    <t>DENTADORA LIEBHERR 90473</t>
  </si>
  <si>
    <t>8.9 h / 41 avisos</t>
  </si>
  <si>
    <t>Categorías: Otros (19); Robot / carga / manipulacion (6); Hidraulica / aceite (4)</t>
  </si>
  <si>
    <t>MICROFUGOMETRO ELWËMA 8248556016</t>
  </si>
  <si>
    <t>8.7 h / 34 avisos</t>
  </si>
  <si>
    <t>Categorías: Robot / carga / manipulacion (15); Otros (14); Mecanica / desgaste / rotura (3)</t>
  </si>
  <si>
    <t>ROBOT ABB REBABADORA RECMAN 6781917001</t>
  </si>
  <si>
    <t>8.7 h / 15 avisos</t>
  </si>
  <si>
    <t>Categorías: Robot / carga / manipulacion (13); Electrico / PLC / PC / comunicacion (2)</t>
  </si>
  <si>
    <t>CUBA ACLARADO IPSEN L1/2 6878150001</t>
  </si>
  <si>
    <t>8.4 h / 4 avisos</t>
  </si>
  <si>
    <t>Categorías: Hidraulica / aceite (2); Electrico / PLC / PC / comunicacion (1); Refrigerante / agua / lavado (1)</t>
  </si>
  <si>
    <t>CELDA DESCARGA CAJA 6625400005</t>
  </si>
  <si>
    <t>8.3 h / 33 avisos</t>
  </si>
  <si>
    <t>Categorías: Robot / carga / manipulacion (30); Hidraulica / aceite (1); Neumatica / aire (1)</t>
  </si>
  <si>
    <t>LAVADORA BAUTERMIC 8536415001/L2</t>
  </si>
  <si>
    <t>8.3 h / 22 avisos</t>
  </si>
  <si>
    <t>Categorías: Refrigerante / agua / lavado (17); Neumatica / aire (5)</t>
  </si>
  <si>
    <t>CARRO CARGA NITRURADO IPSEN 90082/1</t>
  </si>
  <si>
    <t>8.3 h / 5 avisos</t>
  </si>
  <si>
    <t>Categorías: Electrico / PLC / PC / comunicacion (5)</t>
  </si>
  <si>
    <t>TRANSFERIZADO EWAB 8536420001</t>
  </si>
  <si>
    <t>8.3 h / 72 avisos</t>
  </si>
  <si>
    <t>Categorías: Calidad / medicion / proceso (32); Robot / carga / manipulacion (22); Neumatica / aire (9)</t>
  </si>
  <si>
    <t>TRANSFERIZADO EWAB 90776/1.8</t>
  </si>
  <si>
    <t>Categorías: Mecanica / desgaste / rotura (3); Electrico / PLC / PC / comunicacion (1); Refrigerante / agua / lavado (1)</t>
  </si>
  <si>
    <t>CELDA CARGA CARCASA 10A 6625400003</t>
  </si>
  <si>
    <t>8.2 h / 41 avisos</t>
  </si>
  <si>
    <t>Categorías: Robot / carga / manipulacion (41)</t>
  </si>
  <si>
    <t>ID10 PRENSA MECCANICA PI 6761202001</t>
  </si>
  <si>
    <t>8.0 h / 16 avisos</t>
  </si>
  <si>
    <t>Categorías: Otros (9); Electrico / PLC / PC / comunicacion (3); Hidraulica / aceite (2)</t>
  </si>
  <si>
    <t>ISLA 10 LUBRIFICADOR BÖHMER 6877113001</t>
  </si>
  <si>
    <t>8.0 h / 15 avisos</t>
  </si>
  <si>
    <t>Categorías: Otros (10); Hidraulica / aceite (4); Neumatica / aire (1)</t>
  </si>
  <si>
    <t>CARGADOR FELSOMAT 6773930003/1</t>
  </si>
  <si>
    <t>8.0 h / 3 avisos</t>
  </si>
  <si>
    <t>Categorías: Robot / carga / manipulacion (3)</t>
  </si>
  <si>
    <t>TRANSFERIZADO WEKAL 90763/N</t>
  </si>
  <si>
    <t>Categorías: Proceso / ciclo / tiempo (2); Refrigerante / agua / lavado (1)</t>
  </si>
  <si>
    <t>ISLA 8 ROBOT ABB 8536324020</t>
  </si>
  <si>
    <t>Categorías: Neumatica / aire (1); Electrico / PLC / PC / comunicacion (1); Robot / carga / manipulacion (1)</t>
  </si>
  <si>
    <t>FRESADORA WERA 90344</t>
  </si>
  <si>
    <t>7.8 h / 23 avisos</t>
  </si>
  <si>
    <t>Categorías: Otros (11); Refrigerante / agua / lavado (3); Mecanica / desgaste / rotura (3)</t>
  </si>
  <si>
    <t>PERFILADORA BURRI 6771722001</t>
  </si>
  <si>
    <t>7.8 h / 11 avisos</t>
  </si>
  <si>
    <t>Categorías: Calidad / medicion / proceso (5); Refrigerante / agua / lavado (5); Robot / carga / manipulacion (1)</t>
  </si>
  <si>
    <t>LAVADORA BAUTERMIC 6878181004</t>
  </si>
  <si>
    <t>7.7 h / 26 avisos</t>
  </si>
  <si>
    <t>Categorías: Refrigerante / agua / lavado (26)</t>
  </si>
  <si>
    <t>CORTADORA NEURTEK 6788448002</t>
  </si>
  <si>
    <t>7.7 h / 3 avisos</t>
  </si>
  <si>
    <t>Categorías: Calidad / medicion / proceso (3)</t>
  </si>
  <si>
    <t>ROBOT KUKA 8536339081</t>
  </si>
  <si>
    <t>7.6 h / 13 avisos</t>
  </si>
  <si>
    <t>Categorías: Robot / carga / manipulacion (9); Hidraulica / aceite (2); Neumatica / aire (2)</t>
  </si>
  <si>
    <t>TRANSFERIZADO EWAB 8536415001</t>
  </si>
  <si>
    <t>7.5 h / 30 avisos</t>
  </si>
  <si>
    <t>Categorías: Robot / carga / manipulacion (10); Otros (8); Neumatica / aire (8)</t>
  </si>
  <si>
    <t>ROBOT KUKA 6868223002/1</t>
  </si>
  <si>
    <t>7.5 h / 9 avisos</t>
  </si>
  <si>
    <t>Categorías: Robot / carga / manipulacion (9)</t>
  </si>
  <si>
    <t>TRANSFERIZADO ORBITA 8536415012</t>
  </si>
  <si>
    <t>7.5 h / 6 avisos</t>
  </si>
  <si>
    <t>Categorías: Otros (4); Robot / carga / manipulacion (1); Electrico / PLC / PC / comunicacion (1)</t>
  </si>
  <si>
    <t>MICROFUGOMETRO MAG-BAYER 8248571002</t>
  </si>
  <si>
    <t>7.4 h / 32 avisos</t>
  </si>
  <si>
    <t>Categorías: Calidad / medicion / proceso (26); Robot / carga / manipulacion (2); Neumatica / aire (1)</t>
  </si>
  <si>
    <t>LAVADORA BAUTERMIC 6878317002</t>
  </si>
  <si>
    <t>7.3 h / 18 avisos</t>
  </si>
  <si>
    <t>Categorías: Refrigerante / agua / lavado (17); Neumatica / aire (1)</t>
  </si>
  <si>
    <t>TRANSFERIZADO EWAB 90776/2.1</t>
  </si>
  <si>
    <t>7.3 h / 7 avisos</t>
  </si>
  <si>
    <t>Categorías: Mecanica / desgaste / rotura (4); Robot / carga / manipulacion (2); Neumatica / aire (1)</t>
  </si>
  <si>
    <t>CELULA CARGA ORBITA 6868222001/1</t>
  </si>
  <si>
    <t>7.2 h / 33 avisos</t>
  </si>
  <si>
    <t>Categorías: Robot / carga / manipulacion (29); Hidraulica / aceite (2); Refrigerante / agua / lavado (1)</t>
  </si>
  <si>
    <t>AFILADORA MICO COLLETTE 6772611002</t>
  </si>
  <si>
    <t>7.2 h / 4 avisos</t>
  </si>
  <si>
    <t>Categorías: Hidraulica / aceite (1); Preventivo / TPM (1); Seguridad / puertas / protecciones (1)</t>
  </si>
  <si>
    <t>LAVADORA BAUTERMIC 6878181006</t>
  </si>
  <si>
    <t>7.1 h / 53 avisos</t>
  </si>
  <si>
    <t>Categorías: Refrigerante / agua / lavado (49); Hidraulica / aceite (2); Neumatica / aire (2)</t>
  </si>
  <si>
    <t>ROBOT ABB gran.sisohn lehman 6868213003</t>
  </si>
  <si>
    <t>7.0 h / 6 avisos</t>
  </si>
  <si>
    <t>Categorías: Robot / carga / manipulacion (5); Electrico / PLC / PC / comunicacion (1)</t>
  </si>
  <si>
    <t>IS4 HORNO WESTOFEN 90556</t>
  </si>
  <si>
    <t>7.0 h / 17 avisos</t>
  </si>
  <si>
    <t>Categorías: Horno / temperatura (14); Electrico / PLC / PC / comunicacion (1); Mecanica / desgaste / rotura (1)</t>
  </si>
  <si>
    <t>ROBOT FANUC REISHAUER 6773939005</t>
  </si>
  <si>
    <t>Categorías: Robot / carga / manipulacion (5); Neumatica / aire (1)</t>
  </si>
  <si>
    <t>DIOFRACTÓMETRO SEIFERT 8222241001</t>
  </si>
  <si>
    <t>6.8 h / 20 avisos</t>
  </si>
  <si>
    <t>Categorías: Electrico / PLC / PC / comunicacion (10); Calidad / medicion / proceso (9); Refrigerante / agua / lavado (1)</t>
  </si>
  <si>
    <t>AFILADORA ARTUR KLINK 90238</t>
  </si>
  <si>
    <t>Categorías: Otros (9); Electrico / PLC / PC / comunicacion (8); Hidraulica / aceite (1)</t>
  </si>
  <si>
    <t>GRANALLADORA WHEELABRATOR 6868213004</t>
  </si>
  <si>
    <t>6.8 h / 13 avisos</t>
  </si>
  <si>
    <t>Categorías: Granalla (7); Mecanica / desgaste / rotura (4); Seguridad / puertas / protecciones (1)</t>
  </si>
  <si>
    <t>ROBOT KUKA 8536339084</t>
  </si>
  <si>
    <t>6.7 h / 6 avisos</t>
  </si>
  <si>
    <t>IP2 LUBRICADOR AED AUTOMATION 6877117001</t>
  </si>
  <si>
    <t>6.7 h / 29 avisos</t>
  </si>
  <si>
    <t>Categorías: Otros (18); Neumatica / aire (6); Preventivo / TPM (2)</t>
  </si>
  <si>
    <t>FRESADORA UNIVERSAL LAGUN 6785156004</t>
  </si>
  <si>
    <t>6.7 h / 4 avisos</t>
  </si>
  <si>
    <t>Categorías: Otros (2); Mecanica / desgaste / rotura (1); Proceso / ciclo / tiempo (1)</t>
  </si>
  <si>
    <t>IS2 HORNO WESTOFEN 90490</t>
  </si>
  <si>
    <t>6.5 h / 11 avisos</t>
  </si>
  <si>
    <t>Categorías: Horno / temperatura (8); Neumatica / aire (2); Seguridad / puertas / protecciones (1)</t>
  </si>
  <si>
    <t>TRANSFERIZADO DFK 6878199001/2</t>
  </si>
  <si>
    <t>6.5 h / 7 avisos</t>
  </si>
  <si>
    <t>Categorías: Otros (4); Mecanica / desgaste / rotura (1); Electrico / PLC / PC / comunicacion (1)</t>
  </si>
  <si>
    <t>TORNO VERTICAL PITTLER 90831</t>
  </si>
  <si>
    <t>6.5 h / 9 avisos</t>
  </si>
  <si>
    <t>Categorías: Hidraulica / aceite (4); Otros (3); Neumatica / aire (1)</t>
  </si>
  <si>
    <t>LAVADORA BAUTERMIC 6878181011</t>
  </si>
  <si>
    <t>6.3 h / 20 avisos</t>
  </si>
  <si>
    <t>Categorías: Refrigerante / agua / lavado (18); Hidraulica / aceite (1); Neumatica / aire (1)</t>
  </si>
  <si>
    <t>PÓRTICO MAG 8536525032</t>
  </si>
  <si>
    <t>6.3 h / 16 avisos</t>
  </si>
  <si>
    <t>Categorías: Robot / carga / manipulacion (14); Electrico / PLC / PC / comunicacion (2)</t>
  </si>
  <si>
    <t>IP2 HORNO WESTOFEN 90488</t>
  </si>
  <si>
    <t>6.3 h / 14 avisos</t>
  </si>
  <si>
    <t>Categorías: Horno / temperatura (12); Mecanica / desgaste / rotura (2)</t>
  </si>
  <si>
    <t>ROBOT ABB LIEBHERR 90405</t>
  </si>
  <si>
    <t>6.3 h / 4 avisos</t>
  </si>
  <si>
    <t>Categorías: Robot / carga / manipulacion (4)</t>
  </si>
  <si>
    <t>(Sin maquina) desague atascado</t>
  </si>
  <si>
    <t>6.3 h / 1 avisos</t>
  </si>
  <si>
    <t>BANCO MEDICION INDEST 99942</t>
  </si>
  <si>
    <t>Categorías: Calidad / medicion / proceso (1)</t>
  </si>
  <si>
    <t>CAMPANA ISLA 8 ENERCON 6657735001</t>
  </si>
  <si>
    <t>6.2 h / 16 avisos</t>
  </si>
  <si>
    <t>Categorías: Otros (10); Proceso / ciclo / tiempo (1); Robot / carga / manipulacion (1)</t>
  </si>
  <si>
    <t>CENTRO MEDICION KELCH 1065296</t>
  </si>
  <si>
    <t>6.2 h / 3 avisos</t>
  </si>
  <si>
    <t>Categorías: Calidad / medicion / proceso (2); Electrico / PLC / PC / comunicacion (1)</t>
  </si>
  <si>
    <t>CENTRO MECANIZ. MAG 6780981057</t>
  </si>
  <si>
    <t>6.1 h / 7 avisos</t>
  </si>
  <si>
    <t>Categorías: Otros (3); Electrico / PLC / PC / comunicacion (2); Robot / carga / manipulacion (1)</t>
  </si>
  <si>
    <t>LAMINADORA Z.F. 90392</t>
  </si>
  <si>
    <t>6.0 h / 31 avisos</t>
  </si>
  <si>
    <t>Categorías: Otros (13); Mecanica / desgaste / rotura (7); Hidraulica / aceite (5)</t>
  </si>
  <si>
    <t>ISLA 4 INYEC.ITALPRES 90442 (6766901002)</t>
  </si>
  <si>
    <t>6.0 h / 21 avisos</t>
  </si>
  <si>
    <t>Categorías: Otros (10); Seguridad / puertas / protecciones (5); Electrico / PLC / PC / comunicacion (3)</t>
  </si>
  <si>
    <t>SATÉLITE EWAB 8536414001/1.4</t>
  </si>
  <si>
    <t>6.0 h / 13 avisos</t>
  </si>
  <si>
    <t>Categorías: Otros (5); Neumatica / aire (5); Electrico / PLC / PC / comunicacion (1)</t>
  </si>
  <si>
    <t>DENTADORA FELSOMAT 6786326009</t>
  </si>
  <si>
    <t>6.0 h / 10 avisos</t>
  </si>
  <si>
    <t>Categorías: Mecanica / desgaste / rotura (6); Hidraulica / aceite (2); Robot / carga / manipulacion (1)</t>
  </si>
  <si>
    <t>SATÉLITE EWAB 8536414001/2.4</t>
  </si>
  <si>
    <t>6.0 h / 5 avisos</t>
  </si>
  <si>
    <t>Categorías: Neumatica / aire (3); Otros (2)</t>
  </si>
  <si>
    <t>TRANSFERIZADO EWAB 90776/1.18 (90776/L4)</t>
  </si>
  <si>
    <t>Categorías: Mecanica / desgaste / rotura (3); Robot / carga / manipulacion (1); Refrigerante / agua / lavado (1)</t>
  </si>
  <si>
    <t>SATÉLITE EWAB 8536415002/1.5</t>
  </si>
  <si>
    <t>6.0 h / 4 avisos</t>
  </si>
  <si>
    <t>Categorías: Neumatica / aire (2); Electrico / PLC / PC / comunicacion (1); Otros (1)</t>
  </si>
  <si>
    <t>BRUÑIDORA GEHRING 90339</t>
  </si>
  <si>
    <t>5.9 h / 11 avisos</t>
  </si>
  <si>
    <t>Categorías: Otros (3); Hidraulica / aceite (3); Refrigerante / agua / lavado (2)</t>
  </si>
  <si>
    <t>LAVADORA PERO 90362</t>
  </si>
  <si>
    <t>5.8 h / 26 avisos</t>
  </si>
  <si>
    <t>Categorías: Refrigerante / agua / lavado (24); Hidraulica / aceite (1); Neumatica / aire (1)</t>
  </si>
  <si>
    <t>TRANSFERIZADO BERNAIS FISCHER 80008/01</t>
  </si>
  <si>
    <t>5.8 h / 27 avisos</t>
  </si>
  <si>
    <t>Categorías: Otros (15); Mecanica / desgaste / rotura (5); Refrigerante / agua / lavado (5)</t>
  </si>
  <si>
    <t>ROBOT ABB 8536325404 PTR 90281</t>
  </si>
  <si>
    <t>5.7 h / 6 avisos</t>
  </si>
  <si>
    <t>PÓRTICO MAG 8536535008</t>
  </si>
  <si>
    <t>5.5 h / 15 avisos</t>
  </si>
  <si>
    <t>Categorías: Robot / carga / manipulacion (13); Neumatica / aire (1); Electrico / PLC / PC / comunicacion (1)</t>
  </si>
  <si>
    <t>LAVADORA BAUTERMIC 8536416001/L1</t>
  </si>
  <si>
    <t>5.5 h / 24 avisos</t>
  </si>
  <si>
    <t>Categorías: Refrigerante / agua / lavado (22); Hidraulica / aceite (2)</t>
  </si>
  <si>
    <t>TRANSFERIZADO EWAB 8536415002</t>
  </si>
  <si>
    <t>5.5 h / 18 avisos</t>
  </si>
  <si>
    <t>Categorías: Otros (9); Neumatica / aire (4); Mecanica / desgaste / rotura (3)</t>
  </si>
  <si>
    <t>LAVADORA BAUTERMIC 6878181014</t>
  </si>
  <si>
    <t>5.5 h / 17 avisos</t>
  </si>
  <si>
    <t>Categorías: Refrigerante / agua / lavado (17)</t>
  </si>
  <si>
    <t>ROBOT ABB CARGADOR WEISSER 90209</t>
  </si>
  <si>
    <t>5.5 h / 12 avisos</t>
  </si>
  <si>
    <t>RECTIFICADORA JARBE RUA 6773821001</t>
  </si>
  <si>
    <t>5.5 h / 4 avisos</t>
  </si>
  <si>
    <t>Categorías: Preventivo / TPM (2); Otros (1); Mecanica / desgaste / rotura (1)</t>
  </si>
  <si>
    <t>ROBOT ABB CARCASAS 8536312001</t>
  </si>
  <si>
    <t>5.5 h / 10 avisos</t>
  </si>
  <si>
    <t>Categorías: Robot / carga / manipulacion (9); Electrico / PLC / PC / comunicacion (1)</t>
  </si>
  <si>
    <t>TRANSFERIZADO EWAB 8536529017</t>
  </si>
  <si>
    <t>5.3 h / 3 avisos</t>
  </si>
  <si>
    <t>Categorías: Otros (2); Preventivo / TPM (1)</t>
  </si>
  <si>
    <t>TRANSFERIZADO MASA 90762/08</t>
  </si>
  <si>
    <t>5.3 h / 14 avisos</t>
  </si>
  <si>
    <t>Categorías: Otros (10); Mecanica / desgaste / rotura (2); Electrico / PLC / PC / comunicacion (1)</t>
  </si>
  <si>
    <t>SATÉLITE EWAB 8536582002/1.2</t>
  </si>
  <si>
    <t>5.2 h / 2 avisos</t>
  </si>
  <si>
    <t>Categorías: Robot / carga / manipulacion (1); Mecanica / desgaste / rotura (1)</t>
  </si>
  <si>
    <t>FRESADORA DECKEL 6785115001</t>
  </si>
  <si>
    <t>5.2 h / 6 avisos</t>
  </si>
  <si>
    <t>Categorías: Otros (3); Mecanica / desgaste / rotura (3)</t>
  </si>
  <si>
    <t>IS4 ROBOT A.B.B. 90443</t>
  </si>
  <si>
    <t>5.1 h / 26 avisos</t>
  </si>
  <si>
    <t>Categorías: Robot / carga / manipulacion (24); Neumatica / aire (2)</t>
  </si>
  <si>
    <t>ROBOT KUKA 8536339082</t>
  </si>
  <si>
    <t>5.0 h / 11 avisos</t>
  </si>
  <si>
    <t>Categorías: Robot / carga / manipulacion (11)</t>
  </si>
  <si>
    <t>ROBOT KUKA 8536339080</t>
  </si>
  <si>
    <t>5.0 h / 9 avisos</t>
  </si>
  <si>
    <t>HORNO REVENIDO AICHELIN</t>
  </si>
  <si>
    <t>5.0 h / 5 avisos</t>
  </si>
  <si>
    <t>Categorías: Horno / temperatura (5)</t>
  </si>
  <si>
    <t>TRANSFERIZADO EWAB 90751/4.3(8536529012)</t>
  </si>
  <si>
    <t>5.0 h / 3 avisos</t>
  </si>
  <si>
    <t>Categorías: Mecanica / desgaste / rotura (3)</t>
  </si>
  <si>
    <t>MORTAJADORA LIEBHERR 90477</t>
  </si>
  <si>
    <t>5.0 h / 2 avisos</t>
  </si>
  <si>
    <t>Categorías: Mecanica / desgaste / rotura (1); Robot / carga / manipulacion (1)</t>
  </si>
  <si>
    <t>LAVADORA BAUTERMIC 8536415002/L1</t>
  </si>
  <si>
    <t>4.9 h / 9 avisos</t>
  </si>
  <si>
    <t>Categorías: Refrigerante / agua / lavado (7); Neumatica / aire (2)</t>
  </si>
  <si>
    <t>(Sin maquina) Puesto recupera sevice point no actua</t>
  </si>
  <si>
    <t>4.9 h / 1 avisos</t>
  </si>
  <si>
    <t>BANCO MONT. INDEST 90413 (7016211005)</t>
  </si>
  <si>
    <t>4.9 h / 14 avisos</t>
  </si>
  <si>
    <t>Categorías: Otros (6); Neumatica / aire (3); Hidraulica / aceite (3)</t>
  </si>
  <si>
    <t>LAVADORA TRANSF EWAB BAUTERMIC 90776/L2</t>
  </si>
  <si>
    <t>4.8 h / 19 avisos</t>
  </si>
  <si>
    <t>Categorías: Refrigerante / agua / lavado (16); Neumatica / aire (2); Hidraulica / aceite (1)</t>
  </si>
  <si>
    <t>TRIDI RENISHAW CARCASAS 8228190005</t>
  </si>
  <si>
    <t>4.8 h / 31 avisos</t>
  </si>
  <si>
    <t>Categorías: Calidad / medicion / proceso (27); Neumatica / aire (2); Robot / carga / manipulacion (1)</t>
  </si>
  <si>
    <t>LAVADORA BAUTERMIC 6878181010</t>
  </si>
  <si>
    <t>4.5 h / 14 avisos</t>
  </si>
  <si>
    <t>Categorías: Refrigerante / agua / lavado (11); Hidraulica / aceite (3)</t>
  </si>
  <si>
    <t>HIGHWAY EWAB 8536582002</t>
  </si>
  <si>
    <t>4.5 h / 11 avisos</t>
  </si>
  <si>
    <t>Categorías: Mecanica / desgaste / rotura (6); Robot / carga / manipulacion (5)</t>
  </si>
  <si>
    <t>PRENSA AUTOM. MAE 90060 (6761063001)</t>
  </si>
  <si>
    <t>4.5 h / 7 avisos</t>
  </si>
  <si>
    <t>Categorías: Robot / carga / manipulacion (3); Otros (2); Mecanica / desgaste / rotura (2)</t>
  </si>
  <si>
    <t>ROBOT ABB BAYER 8536324008</t>
  </si>
  <si>
    <t>4.5 h / 5 avisos</t>
  </si>
  <si>
    <t>MAQ. TRACCIÓN ZWICK 90632</t>
  </si>
  <si>
    <t>4.3 h / 5 avisos</t>
  </si>
  <si>
    <t>Categorías: Calidad / medicion / proceso (5)</t>
  </si>
  <si>
    <t>TRANSFERIZADO BERNAIS FISCHER 90759/53</t>
  </si>
  <si>
    <t>4.3 h / 21 avisos</t>
  </si>
  <si>
    <t>Categorías: Otros (16); Mecanica / desgaste / rotura (3); Electrico / PLC / PC / comunicacion (1)</t>
  </si>
  <si>
    <t>REFRENT. PUNTEA NAGEL (TBT) 90567</t>
  </si>
  <si>
    <t>4.3 h / 4 avisos</t>
  </si>
  <si>
    <t>Categorías: Mecanica / desgaste / rotura (1); Hidraulica / aceite (1); Preventivo / TPM (1)</t>
  </si>
  <si>
    <t>DESPUNTEADORA PRAWEMA 90066</t>
  </si>
  <si>
    <t>4.2 h / 7 avisos</t>
  </si>
  <si>
    <t>Categorías: Otros (3); Electrico / PLC / PC / comunicacion (1); Mecanica / desgaste / rotura (1)</t>
  </si>
  <si>
    <t>TRANSFERIZADO EWAB 90751/2.2</t>
  </si>
  <si>
    <t>4.2 h / 4 avisos</t>
  </si>
  <si>
    <t>Categorías: Mecanica / desgaste / rotura (3); Robot / carga / manipulacion (1)</t>
  </si>
  <si>
    <t>ROBOT ABB RECTIF.REISHAUER 6773936001</t>
  </si>
  <si>
    <t>Categorías: Robot / carga / manipulacion (6); Neumatica / aire (1)</t>
  </si>
  <si>
    <t>IS3 HORNO Mant y D. WESTOFEN 90491</t>
  </si>
  <si>
    <t>4.1 h / 37 avisos</t>
  </si>
  <si>
    <t>Categorías: Horno / temperatura (24); Neumatica / aire (5); Mecanica / desgaste / rotura (4)</t>
  </si>
  <si>
    <t>LAVADORA GREEN TECHNOLOGIES</t>
  </si>
  <si>
    <t>4.1 h / 5 avisos</t>
  </si>
  <si>
    <t>Categorías: Refrigerante / agua / lavado (5)</t>
  </si>
  <si>
    <t>ISLA 7HORNO DE COLADA WESTOFEN 90311</t>
  </si>
  <si>
    <t>4.0 h / 34 avisos</t>
  </si>
  <si>
    <t>Categorías: Horno / temperatura (26); Mecanica / desgaste / rotura (3); Electrico / PLC / PC / comunicacion (2)</t>
  </si>
  <si>
    <t>SATÉLITE EWAB 8536414001/1.1</t>
  </si>
  <si>
    <t>4.0 h / 11 avisos</t>
  </si>
  <si>
    <t>Categorías: Otros (7); Neumatica / aire (4)</t>
  </si>
  <si>
    <t>LAVADORA BAUTERMIC 6878181013</t>
  </si>
  <si>
    <t>4.0 h / 7 avisos</t>
  </si>
  <si>
    <t>TRANSFERIZ.SALIDA GEHRING 6771624001</t>
  </si>
  <si>
    <t>4.0 h / 4 avisos</t>
  </si>
  <si>
    <t>Categorías: Otros (2); Mecanica / desgaste / rotura (1); Electrico / PLC / PC / comunicacion (1)</t>
  </si>
  <si>
    <t>HORNO IPSEN DE REVENIDO 90322</t>
  </si>
  <si>
    <t>Categorías: Electrico / PLC / PC / comunicacion (3); Neumatica / aire (1)</t>
  </si>
  <si>
    <t>RECTIFICADORA JAS PERFECT 6773528001</t>
  </si>
  <si>
    <t>4.0 h / 3 avisos</t>
  </si>
  <si>
    <t>Categorías: Refrigerante / agua / lavado (1); Otros (1); Proceso / ciclo / tiempo (1)</t>
  </si>
  <si>
    <t>MEDIDOR ZOLLER 8228155002</t>
  </si>
  <si>
    <t>Sala Medición</t>
  </si>
  <si>
    <t>4.0 h / 2 avisos</t>
  </si>
  <si>
    <t>Categorías: Calidad / medicion / proceso (1); Refrigerante / agua / lavado (1)</t>
  </si>
  <si>
    <t>MICROFUGÓMETRO I.C.D. 90436(8248556003)</t>
  </si>
  <si>
    <t>Máquinas inactivas temporalmente</t>
  </si>
  <si>
    <t>4.0 h / 1 avisos</t>
  </si>
  <si>
    <t>ATEMPERADOR THERMOBIEHL 6766111001/3</t>
  </si>
  <si>
    <t>LAVADORA BAUTERMIC 6878181005</t>
  </si>
  <si>
    <t>3.8 h / 22 avisos</t>
  </si>
  <si>
    <t>Categorías: Refrigerante / agua / lavado (20); Neumatica / aire (2)</t>
  </si>
  <si>
    <t>ROBOT ABB CARGADOR WEISSER 6782931013</t>
  </si>
  <si>
    <t>3.8 h / 7 avisos</t>
  </si>
  <si>
    <t>PUNTEADORA H.KOL 6789103001</t>
  </si>
  <si>
    <t>3.7 h / 14 avisos</t>
  </si>
  <si>
    <t>Categorías: Hidraulica / aceite (4); Otros (4); Mecanica / desgaste / rotura (3)</t>
  </si>
  <si>
    <t>SATÉLITE EWAB 8536415001/5.1</t>
  </si>
  <si>
    <t>3.7 h / 13 avisos</t>
  </si>
  <si>
    <t>Categorías: Neumatica / aire (7); Otros (3); Robot / carga / manipulacion (2)</t>
  </si>
  <si>
    <t>BANCO MONTAJE INDEST 90412</t>
  </si>
  <si>
    <t>3.7 h / 7 avisos</t>
  </si>
  <si>
    <t>Categorías: Otros (5); Neumatica / aire (1); Hidraulica / aceite (1)</t>
  </si>
  <si>
    <t>IS3 DOSIFICADOR ACEITE ALROTEC</t>
  </si>
  <si>
    <t>3.6 h / 2 avisos</t>
  </si>
  <si>
    <t>Categorías: Hidraulica / aceite (2)</t>
  </si>
  <si>
    <t>ID1 ENGRASADOR ACHESON 90519</t>
  </si>
  <si>
    <t>3.6 h / 29 avisos</t>
  </si>
  <si>
    <t>Categorías: Otros (25); Refrigerante / agua / lavado (1); Neumatica / aire (1)</t>
  </si>
  <si>
    <t>SATÉLITE EWAB 8536414001/1.3</t>
  </si>
  <si>
    <t>3.5 h / 8 avisos</t>
  </si>
  <si>
    <t>Categorías: Otros (3); Robot / carga / manipulacion (3); Neumatica / aire (2)</t>
  </si>
  <si>
    <t>POLIPASTO V.W. 90850 Y LAVADORA WEKAL</t>
  </si>
  <si>
    <t>3.5 h / 4 avisos</t>
  </si>
  <si>
    <t>Categorías: Refrigerante / agua / lavado (4)</t>
  </si>
  <si>
    <t>RODADORA LINNENBRINK 6897411001</t>
  </si>
  <si>
    <t>3.3 h / 27 avisos</t>
  </si>
  <si>
    <t>Categorías: Mecanica / desgaste / rotura (15); Robot / carga / manipulacion (7); Electrico / PLC / PC / comunicacion (3)</t>
  </si>
  <si>
    <t>CUBA LAVADO IPSEN L1/2 88798(6878152001)</t>
  </si>
  <si>
    <t>3.3 h / 5 avisos</t>
  </si>
  <si>
    <t>Categorías: Refrigerante / agua / lavado (4); Hidraulica / aceite (1)</t>
  </si>
  <si>
    <t>ISLA 8 LUBRIFICADOR AED AUTOMATION 68771</t>
  </si>
  <si>
    <t>Categorías: Otros (4); Hidraulica / aceite (1)</t>
  </si>
  <si>
    <t>TRANSFERIZADO REIS 90772</t>
  </si>
  <si>
    <t>3.3 h / 4 avisos</t>
  </si>
  <si>
    <t>Categorías: Electrico / PLC / PC / comunicacion (2); Robot / carga / manipulacion (2)</t>
  </si>
  <si>
    <t>PULIDORA STRUERS 6771708001</t>
  </si>
  <si>
    <t>3.3 h / 3 avisos</t>
  </si>
  <si>
    <t>BRUÑIDORA BKW 90458/1</t>
  </si>
  <si>
    <t>Categorías: Mecanica / desgaste / rotura (2); Proceso / ciclo / tiempo (1)</t>
  </si>
  <si>
    <t>Cortadora de precisión STRUERS</t>
  </si>
  <si>
    <t>3.3 h / 1 avisos</t>
  </si>
  <si>
    <t>ROBOT KUKA PRUEB ESTANQUEIDAD 8536339178</t>
  </si>
  <si>
    <t>Categorías: Electrico / PLC / PC / comunicacion (1)</t>
  </si>
  <si>
    <t>LAVADORA BAUTERMIC 90776/L4</t>
  </si>
  <si>
    <t>3.1 h / 17 avisos</t>
  </si>
  <si>
    <t>Categorías: Refrigerante / agua / lavado (16); Hidraulica / aceite (1)</t>
  </si>
  <si>
    <t>LAVADORA RÖSLER 6878160001</t>
  </si>
  <si>
    <t>3.0 h / 9 avisos</t>
  </si>
  <si>
    <t>Categorías: Refrigerante / agua / lavado (9)</t>
  </si>
  <si>
    <t>TRANSFERIZADO EWAB 90751/4.10</t>
  </si>
  <si>
    <t>3.0 h / 10 avisos</t>
  </si>
  <si>
    <t>Categorías: Mecanica / desgaste / rotura (9); Robot / carga / manipulacion (1)</t>
  </si>
  <si>
    <t>IS7 ROBOT A.B.B. 8536323001</t>
  </si>
  <si>
    <t>3.0 h / 33 avisos</t>
  </si>
  <si>
    <t>Categorías: Robot / carga / manipulacion (32); Neumatica / aire (1)</t>
  </si>
  <si>
    <t>DESBARBADORA SAMPUTENSILI 90152</t>
  </si>
  <si>
    <t>3.0 h / 27 avisos</t>
  </si>
  <si>
    <t>Categorías: Otros (21); Proceso / ciclo / tiempo (3); Mecanica / desgaste / rotura (2)</t>
  </si>
  <si>
    <t>RECTIFICADORA DANOBAT 90239</t>
  </si>
  <si>
    <t>3.0 h / 12 avisos</t>
  </si>
  <si>
    <t>Categorías: Hidraulica / aceite (3); Electrico / PLC / PC / comunicacion (3); Refrigerante / agua / lavado (2)</t>
  </si>
  <si>
    <t>CUBA DE LAVADO Nº 46</t>
  </si>
  <si>
    <t>3.0 h / 8 avisos</t>
  </si>
  <si>
    <t>Categorías: Refrigerante / agua / lavado (8)</t>
  </si>
  <si>
    <t>ID10 ROBOT A.B.B. 8536324022</t>
  </si>
  <si>
    <t>SATÉLITE EWAB 8536414001/3.1</t>
  </si>
  <si>
    <t>3.0 h / 7 avisos</t>
  </si>
  <si>
    <t>Categorías: Otros (4); Neumatica / aire (2); Mecanica / desgaste / rotura (1)</t>
  </si>
  <si>
    <t>ROBOT KUKA 8536339083</t>
  </si>
  <si>
    <t>Categorías: Robot / carga / manipulacion (6); Hidraulica / aceite (1)</t>
  </si>
  <si>
    <t>TRIDIMEN D.E.A. 99847(CALIDAD)</t>
  </si>
  <si>
    <t>3.0 h / 6 avisos</t>
  </si>
  <si>
    <t>Categorías: Calidad / medicion / proceso (3); Electrico / PLC / PC / comunicacion (2); Neumatica / aire (1)</t>
  </si>
  <si>
    <t>SATÉLITE EWAB 8536415001/5.3</t>
  </si>
  <si>
    <t>Categorías: Robot / carga / manipulacion (2); Otros (2); Neumatica / aire (2)</t>
  </si>
  <si>
    <t>LAVADORA EUROTEC L1-H2</t>
  </si>
  <si>
    <t>3.0 h / 5 avisos</t>
  </si>
  <si>
    <t>ISLA 4 HORNO WESTOFEN 90556</t>
  </si>
  <si>
    <t>CENTRO MECANIZ. MAG 6780981056</t>
  </si>
  <si>
    <t>Categorías: Mecanica / desgaste / rotura (3); Otros (2)</t>
  </si>
  <si>
    <t>TRANSFERIZADOEWAB 90776/1.13(6773930003)</t>
  </si>
  <si>
    <t>3.0 h / 3 avisos</t>
  </si>
  <si>
    <t>Categorías: Neumatica / aire (2); Mecanica / desgaste / rotura (1)</t>
  </si>
  <si>
    <t>AFEITADORA HURTH 90146</t>
  </si>
  <si>
    <t>3.0 h / 1 avisos</t>
  </si>
  <si>
    <t>Categorías: Mecanica / desgaste / rotura (1)</t>
  </si>
  <si>
    <t>TRANSFERIZADO AUTOLINE 8535815001</t>
  </si>
  <si>
    <t>2.8 h / 14 avisos</t>
  </si>
  <si>
    <t>Categorías: Robot / carga / manipulacion (8); Calidad / medicion / proceso (5); Hidraulica / aceite (1)</t>
  </si>
  <si>
    <t>TEMPLE AICHELIN</t>
  </si>
  <si>
    <t>2.8 h / 8 avisos</t>
  </si>
  <si>
    <t>Categorías: Hidraulica / aceite (3); Otros (2); Horno / temperatura (1)</t>
  </si>
  <si>
    <t>ROBOT UNIVERSAL 8536602050</t>
  </si>
  <si>
    <t>2.8 h / 6 avisos</t>
  </si>
  <si>
    <t>Categorías: Robot / carga / manipulacion (6)</t>
  </si>
  <si>
    <t>TRANSFERIZADO EWAB 90751/4.8</t>
  </si>
  <si>
    <t>2.8 h / 5 avisos</t>
  </si>
  <si>
    <t>Categorías: Mecanica / desgaste / rotura (3); Robot / carga / manipulacion (2)</t>
  </si>
  <si>
    <t>ISLA 3 PRENSA ITALPRESSE 90432</t>
  </si>
  <si>
    <t>2.7 h / 13 avisos</t>
  </si>
  <si>
    <t>Categorías: Otros (7); Hidraulica / aceite (3); Preventivo / TPM (1)</t>
  </si>
  <si>
    <t>CELDA DESCARGA CARCASA 6625400006</t>
  </si>
  <si>
    <t>2.6 h / 27 avisos</t>
  </si>
  <si>
    <t>Categorías: Robot / carga / manipulacion (25); Electrico / PLC / PC / comunicacion (2)</t>
  </si>
  <si>
    <t>AFEITADORA HURTH 90151</t>
  </si>
  <si>
    <t>2.5 h / 12 avisos</t>
  </si>
  <si>
    <t>Categorías: Otros (5); Refrigerante / agua / lavado (5); Electrico / PLC / PC / comunicacion (1)</t>
  </si>
  <si>
    <t>ROBOT UNIVERSAL 8536602052</t>
  </si>
  <si>
    <t>2.5 h / 6 avisos</t>
  </si>
  <si>
    <t>LAVADORA BAUTERMIC 6878181012</t>
  </si>
  <si>
    <t>2.5 h / 5 avisos</t>
  </si>
  <si>
    <t>LAVADORA BAUTERMIC 90807/5</t>
  </si>
  <si>
    <t>2.5 h / 3 avisos</t>
  </si>
  <si>
    <t>Categorías: Refrigerante / agua / lavado (3)</t>
  </si>
  <si>
    <t>TRANSF.ROTZINGER 90758/40 MAQUINA(90267)</t>
  </si>
  <si>
    <t>Categorías: Mecanica / desgaste / rotura (2); Refrigerante / agua / lavado (1)</t>
  </si>
  <si>
    <t>TRANSFER.BERNAIS &amp; Co. 90774/06(90495)</t>
  </si>
  <si>
    <t>2.5 h / 2 avisos</t>
  </si>
  <si>
    <t>Categorías: Otros (1); Refrigerante / agua / lavado (1)</t>
  </si>
  <si>
    <t>ROBOT ABB GRAN.. SIS. LEHMANN 6868213004</t>
  </si>
  <si>
    <t>2.4 h / 2 avisos</t>
  </si>
  <si>
    <t>Categorías: Robot / carga / manipulacion (1); Electrico / PLC / PC / comunicacion (1)</t>
  </si>
  <si>
    <t>HORNO TEMPLE L1H2 90089/6</t>
  </si>
  <si>
    <t>2.3 h / 7 avisos</t>
  </si>
  <si>
    <t>Categorías: Hidraulica / aceite (5); Electrico / PLC / PC / comunicacion (2)</t>
  </si>
  <si>
    <t>SATELITE EWAB 8536324014/1</t>
  </si>
  <si>
    <t>2.2 h / 2 avisos</t>
  </si>
  <si>
    <t>Categorías: Mecanica / desgaste / rotura (2)</t>
  </si>
  <si>
    <t>PULIDORA METKON 6771720002</t>
  </si>
  <si>
    <t>2.2 h / 1 avisos</t>
  </si>
  <si>
    <t>ROBOT UNIVERSAL 8536602042</t>
  </si>
  <si>
    <t>2.2 h / 8 avisos</t>
  </si>
  <si>
    <t>TRANSFERIZADO EWAB 90751/4.11</t>
  </si>
  <si>
    <t>2.2 h / 4 avisos</t>
  </si>
  <si>
    <t>Categorías: Mecanica / desgaste / rotura (4)</t>
  </si>
  <si>
    <t>SATÉLITE EWAB 8536529005</t>
  </si>
  <si>
    <t>2.1 h / 2 avisos</t>
  </si>
  <si>
    <t>TRANSFERIZ.SALIDA FAMAR 90137 y 90324</t>
  </si>
  <si>
    <t>2.0 h / 6 avisos</t>
  </si>
  <si>
    <t>Categorías: Otros (4); Refrigerante / agua / lavado (2)</t>
  </si>
  <si>
    <t>ROBOT UNIVERSAL 8536602049</t>
  </si>
  <si>
    <t>2.0 h / 11 avisos</t>
  </si>
  <si>
    <t>TRIDI RENISHAW CAJAS 8228190004</t>
  </si>
  <si>
    <t>2.0 h / 28 avisos</t>
  </si>
  <si>
    <t>Categorías: Calidad / medicion / proceso (21); Neumatica / aire (3); Electrico / PLC / PC / comunicacion (3)</t>
  </si>
  <si>
    <t>ISLA 2 INYEC.ITALPRES 90421 (6766901006)</t>
  </si>
  <si>
    <t>2.0 h / 24 avisos</t>
  </si>
  <si>
    <t>Categorías: Otros (8); Hidraulica / aceite (8); Seguridad / puertas / protecciones (5)</t>
  </si>
  <si>
    <t>ISLA 8 INYEC.ITALPRES 90484 (6766902001)</t>
  </si>
  <si>
    <t>2.0 h / 18 avisos</t>
  </si>
  <si>
    <t>Categorías: Otros (7); Seguridad / puertas / protecciones (7); Robot / carga / manipulacion (2)</t>
  </si>
  <si>
    <t>EQUIPO RAYOS X BOSELLO 8222244001</t>
  </si>
  <si>
    <t>2.0 h / 16 avisos</t>
  </si>
  <si>
    <t>Categorías: Otros (9); Electrico / PLC / PC / comunicacion (5); Seguridad / puertas / protecciones (1)</t>
  </si>
  <si>
    <t>CONTROL ÓPTICO JENOPTIK 818475/02</t>
  </si>
  <si>
    <t>2.0 h / 15 avisos</t>
  </si>
  <si>
    <t>Categorías: Otros (8); Electrico / PLC / PC / comunicacion (4); Refrigerante / agua / lavado (1)</t>
  </si>
  <si>
    <t>CAMPANA ISLA 9 ENERCON 6657735002</t>
  </si>
  <si>
    <t>Categorías: Otros (7); Electrico / PLC / PC / comunicacion (3); Hidraulica / aceite (1)</t>
  </si>
  <si>
    <t>DOSIFICADOR MULTIMIX 6873505004</t>
  </si>
  <si>
    <t>2.0 h / 8 avisos</t>
  </si>
  <si>
    <t>Categorías: Otros (5); Robot / carga / manipulacion (1); Seguridad / puertas / protecciones (1)</t>
  </si>
  <si>
    <t>TRANSFERIZADO MASA 90773/06 (34001)</t>
  </si>
  <si>
    <t>Categorías: Otros (3); Refrigerante / agua / lavado (2); Mecanica / desgaste / rotura (1)</t>
  </si>
  <si>
    <t>SIERRA DE CINTA DANOBAT 90134</t>
  </si>
  <si>
    <t>2.0 h / 5 avisos</t>
  </si>
  <si>
    <t>Categorías: Otros (2); Seguridad / puertas / protecciones (1); Refrigerante / agua / lavado (1)</t>
  </si>
  <si>
    <t>CADENA VIRUTA KNOLL 8536535009/2</t>
  </si>
  <si>
    <t>ISLA 7 LUBRIFICADOR ACHESON 6877111010</t>
  </si>
  <si>
    <t>Categorías: Otros (5)</t>
  </si>
  <si>
    <t>TRANS.BERNAIS FISCHER 90807/02 (90457)</t>
  </si>
  <si>
    <t>2.0 h / 4 avisos</t>
  </si>
  <si>
    <t>Categorías: Otros (3); Refrigerante / agua / lavado (1)</t>
  </si>
  <si>
    <t>HORNO TEMPLE L1H1 90089/5</t>
  </si>
  <si>
    <t>Categorías: Electrico / PLC / PC / comunicacion (2); Hidraulica / aceite (2)</t>
  </si>
  <si>
    <t>ROBOT KUKA PRUEB ESTANQUEIDAD 8536339177</t>
  </si>
  <si>
    <t>VOLTEADOR RECMAN 8536584003/1</t>
  </si>
  <si>
    <t>2.0 h / 3 avisos</t>
  </si>
  <si>
    <t>Categorías: Seguridad / puertas / protecciones (1); Otros (1); Hidraulica / aceite (1)</t>
  </si>
  <si>
    <t>CINTA TRANSPORTE MAG-EWAB 8536535006</t>
  </si>
  <si>
    <t>Categorías: Calidad / medicion / proceso (2); Robot / carga / manipulacion (1)</t>
  </si>
  <si>
    <t>FILTRO IPSUM 90417 LINEA 1</t>
  </si>
  <si>
    <t>SATÉLITE EWAB 8536415001/2.2</t>
  </si>
  <si>
    <t>Categorías: Neumatica / aire (3)</t>
  </si>
  <si>
    <t>HORNO INDUCCION E.F.D. 90418/1</t>
  </si>
  <si>
    <t>Gr. 63506 Trat. Termicos E.F.D. HYNGASA</t>
  </si>
  <si>
    <t>2.0 h / 2 avisos</t>
  </si>
  <si>
    <t>Categorías: Electrico / PLC / PC / comunicacion (2)</t>
  </si>
  <si>
    <t>LAMINADORA EX-CELL-O 90309 (6776909001)</t>
  </si>
  <si>
    <t>IS1 DOSIFICADOR ACEITE ALROTEC</t>
  </si>
  <si>
    <t>ISLA 2 HORNO WESTOFEN 90490</t>
  </si>
  <si>
    <t>Categorías: Horno / temperatura (2)</t>
  </si>
  <si>
    <t>HORNO REVENIDO L2H1 90299/3</t>
  </si>
  <si>
    <t>Categorías: Refrigerante / agua / lavado (1); Electrico / PLC / PC / comunicacion (1)</t>
  </si>
  <si>
    <t>TRANSFERIZADO WEKAL 90763/W</t>
  </si>
  <si>
    <t>2.0 h / 1 avisos</t>
  </si>
  <si>
    <t>Categorías: Hidraulica / aceite (1)</t>
  </si>
  <si>
    <t>CarcasaMQ281 0C9.301.107.L roh Molde nº2</t>
  </si>
  <si>
    <t>ROBOT ABB CARGADOR WEISSER 90179</t>
  </si>
  <si>
    <t>1.9 h / 7 avisos</t>
  </si>
  <si>
    <t>TRANSFERIZADO EWAB 90768/2.5</t>
  </si>
  <si>
    <t>Categorías: Mecanica / desgaste / rotura (4); Electrico / PLC / PC / comunicacion (2); Robot / carga / manipulacion (1)</t>
  </si>
  <si>
    <t>BRUÑIDORA GEHRING 90342</t>
  </si>
  <si>
    <t>1.8 h / 13 avisos</t>
  </si>
  <si>
    <t>Categorías: Otros (6); Refrigerante / agua / lavado (3); Preventivo / TPM (2)</t>
  </si>
  <si>
    <t>TRANSFERIZADOEWAB 90776/1.16(6868213002)</t>
  </si>
  <si>
    <t>1.8 h / 4 avisos</t>
  </si>
  <si>
    <t>Categorías: Mecanica / desgaste / rotura (3); Electrico / PLC / PC / comunicacion (1)</t>
  </si>
  <si>
    <t>ROBOT ABB RECTIF.REISHAUER 6773932006</t>
  </si>
  <si>
    <t>1.7 h / 3 avisos</t>
  </si>
  <si>
    <t>Categorías: Robot / carga / manipulacion (2); Electrico / PLC / PC / comunicacion (1)</t>
  </si>
  <si>
    <t>IS2 PRENSA ITALPRESSE 90430</t>
  </si>
  <si>
    <t>1.7 h / 29 avisos</t>
  </si>
  <si>
    <t>Categorías: Otros (15); Electrico / PLC / PC / comunicacion (5); Hidraulica / aceite (4)</t>
  </si>
  <si>
    <t>LAVADORA EUROTEC L2-H2</t>
  </si>
  <si>
    <t>1.7 h / 9 avisos</t>
  </si>
  <si>
    <t>ROBOT KUKA 6868223001/1</t>
  </si>
  <si>
    <t>1.7 h / 2 avisos</t>
  </si>
  <si>
    <t>Categorías: Robot / carga / manipulacion (2)</t>
  </si>
  <si>
    <t>ESTACIÓN TRASV. HOFFMANN 6773932010/1</t>
  </si>
  <si>
    <t>1.7 h / 1 avisos</t>
  </si>
  <si>
    <t>HORNO PREOXIDACIÓN AICHELIN</t>
  </si>
  <si>
    <t>Categorías: Horno / temperatura (1)</t>
  </si>
  <si>
    <t>ROBOT UNIVERSAL 8536602043</t>
  </si>
  <si>
    <t>1.5 h / 7 avisos</t>
  </si>
  <si>
    <t>AFEITADORA HURTH 90070</t>
  </si>
  <si>
    <t>1.5 h / 20 avisos</t>
  </si>
  <si>
    <t>Categorías: Otros (8); Refrigerante / agua / lavado (5); Mecanica / desgaste / rotura (4)</t>
  </si>
  <si>
    <t>LAVADORA BAUTERMIC 8536415002/L2</t>
  </si>
  <si>
    <t>1.5 h / 18 avisos</t>
  </si>
  <si>
    <t>Categorías: Refrigerante / agua / lavado (15); Neumatica / aire (3)</t>
  </si>
  <si>
    <t>TORNO WEISSER 90561</t>
  </si>
  <si>
    <t>1.5 h / 5 avisos</t>
  </si>
  <si>
    <t>Categorías: Electrico / PLC / PC / comunicacion (2); Otros (1); Hidraulica / aceite (1)</t>
  </si>
  <si>
    <t>HIGHWAY EWAB 90776</t>
  </si>
  <si>
    <t>Categorías: Mecanica / desgaste / rotura (2); Robot / carga / manipulacion (2); Neumatica / aire (1)</t>
  </si>
  <si>
    <t>TRANSFERIZADO EWAB 90776/1.3</t>
  </si>
  <si>
    <t>1.5 h / 2 avisos</t>
  </si>
  <si>
    <t>ROBOT UNIVERSAL 8536602041</t>
  </si>
  <si>
    <t>1.5 h / 1 avisos</t>
  </si>
  <si>
    <t>(Sin maquina) Realizar instalaciòn electrica</t>
  </si>
  <si>
    <t>CONTROL ÓPTICO JENOPTIK 818475/01</t>
  </si>
  <si>
    <t>1.5 h / 22 avisos</t>
  </si>
  <si>
    <t>Categorías: Otros (13); Calidad / medicion / proceso (4); Electrico / PLC / PC / comunicacion (2)</t>
  </si>
  <si>
    <t>LAVADORA BAUTERMIC 8536529016/1</t>
  </si>
  <si>
    <t>1.4 h / 8 avisos</t>
  </si>
  <si>
    <t>TRANSFERIZADO MASA 90773/07</t>
  </si>
  <si>
    <t>1.4 h / 3 avisos</t>
  </si>
  <si>
    <t>Categorías: Proceso / ciclo / tiempo (2); Otros (1)</t>
  </si>
  <si>
    <t>(Sin maquina) ALINEAR TORRETA OP 10</t>
  </si>
  <si>
    <t>1.4 h / 1 avisos</t>
  </si>
  <si>
    <t>TRANSF MASA 90758/50</t>
  </si>
  <si>
    <t>1.3 h / 14 avisos</t>
  </si>
  <si>
    <t>Categorías: Otros (10); Mecanica / desgaste / rotura (3); Refrigerante / agua / lavado (1)</t>
  </si>
  <si>
    <t>ROBOT KUKA 8536339085</t>
  </si>
  <si>
    <t>1.3 h / 5 avisos</t>
  </si>
  <si>
    <t>Categorías: Robot / carga / manipulacion (4); Electrico / PLC / PC / comunicacion (1)</t>
  </si>
  <si>
    <t>TRANSFERIZADO EWAB 90776/1.4</t>
  </si>
  <si>
    <t>1.3 h / 1 avisos</t>
  </si>
  <si>
    <t>Categorías: Neumatica / aire (1)</t>
  </si>
  <si>
    <t>AFEITADORA HURTH 90331</t>
  </si>
  <si>
    <t>1.2 h / 15 avisos</t>
  </si>
  <si>
    <t>Categorías: Refrigerante / agua / lavado (9); Otros (3); Hidraulica / aceite (1)</t>
  </si>
  <si>
    <t>TRANSFERIZADO 90774/01 (90341)</t>
  </si>
  <si>
    <t>1.2 h / 3 avisos</t>
  </si>
  <si>
    <t>Categorías: Otros (2); Robot / carga / manipulacion (1)</t>
  </si>
  <si>
    <t>ID2 PRENSA MECCANICA PI 6761202002</t>
  </si>
  <si>
    <t>1.2 h / 25 avisos</t>
  </si>
  <si>
    <t>Categorías: Otros (12); Seguridad / puertas / protecciones (3); Neumatica / aire (3)</t>
  </si>
  <si>
    <t>TRANSFERIZADO EWAB 90776/2.0</t>
  </si>
  <si>
    <t>1.2 h / 8 avisos</t>
  </si>
  <si>
    <t>Categorías: Mecanica / desgaste / rotura (5); Robot / carga / manipulacion (3)</t>
  </si>
  <si>
    <t>PUESTO CONTROL N26-048</t>
  </si>
  <si>
    <t>1.1 h / 1 avisos</t>
  </si>
  <si>
    <t>TORNO PINACHO 6782153001</t>
  </si>
  <si>
    <t>1.0 h / 12 avisos</t>
  </si>
  <si>
    <t>Categorías: Otros (6); Mecanica / desgaste / rotura (4); Seguridad / puertas / protecciones (1)</t>
  </si>
  <si>
    <t>LAVADORA BAUTERMIC 90776/L3</t>
  </si>
  <si>
    <t>1.0 h / 22 avisos</t>
  </si>
  <si>
    <t>Categorías: Refrigerante / agua / lavado (14); Neumatica / aire (8)</t>
  </si>
  <si>
    <t>FOTOGRAMETRIA GOM 8228230002</t>
  </si>
  <si>
    <t>1.0 h / 14 avisos</t>
  </si>
  <si>
    <t>Categorías: Seguridad / puertas / protecciones (6); Calidad / medicion / proceso (6); Otros (2)</t>
  </si>
  <si>
    <t>LAVADORA TRANSF EWAB BAUTERMIC 90751/L1</t>
  </si>
  <si>
    <t>1.0 h / 13 avisos</t>
  </si>
  <si>
    <t>Categorías: Refrigerante / agua / lavado (12); Hidraulica / aceite (1)</t>
  </si>
  <si>
    <t>ISLA 7 HORNO WESTOFEN 90311</t>
  </si>
  <si>
    <t>Categorías: Horno / temperatura (9); Mecanica / desgaste / rotura (2); Electrico / PLC / PC / comunicacion (1)</t>
  </si>
  <si>
    <t>TRANSF.ROTZINGER 90758/39 MAQUINA(90084)</t>
  </si>
  <si>
    <t>Categorías: Mecanica / desgaste / rotura (7); Refrigerante / agua / lavado (3); Electrico / PLC / PC / comunicacion (2)</t>
  </si>
  <si>
    <t>IP1 LUBRICADOR AED AUTOMATION 6766902002</t>
  </si>
  <si>
    <t>Categorías: Otros (6); Electrico / PLC / PC / comunicacion (2); Neumatica / aire (2)</t>
  </si>
  <si>
    <t>ISLA 5 HORNO WESTOFEN 90555</t>
  </si>
  <si>
    <t>Categorías: Horno / temperatura (6); Mecanica / desgaste / rotura (4); Hidraulica / aceite (1)</t>
  </si>
  <si>
    <t>TRANSFERIZADO MASA 90773/12</t>
  </si>
  <si>
    <t>1.0 h / 11 avisos</t>
  </si>
  <si>
    <t>Categorías: Otros (8); Mecanica / desgaste / rotura (2); Proceso / ciclo / tiempo (1)</t>
  </si>
  <si>
    <t>TRANSPORTADOR EWAB 8536533001</t>
  </si>
  <si>
    <t>1.0 h / 10 avisos</t>
  </si>
  <si>
    <t>Categorías: Robot / carga / manipulacion (5); Calidad / medicion / proceso (5)</t>
  </si>
  <si>
    <t>SATÉLITE EWAB 8536414001/1.5</t>
  </si>
  <si>
    <t>1.0 h / 8 avisos</t>
  </si>
  <si>
    <t>Categorías: Mecanica / desgaste / rotura (3); Otros (2); Robot / carga / manipulacion (2)</t>
  </si>
  <si>
    <t>SATÉLITE EWAB 8536415002/1</t>
  </si>
  <si>
    <t>Categorías: Otros (5); Robot / carga / manipulacion (2); Electrico / PLC / PC / comunicacion (1)</t>
  </si>
  <si>
    <t>ROBOT ABB RECTIF.REISHAUER 6773932008</t>
  </si>
  <si>
    <t>1.0 h / 7 avisos</t>
  </si>
  <si>
    <t>TRANSFERIZADO ORBITA 8536415011</t>
  </si>
  <si>
    <t>Categorías: Otros (3); Robot / carga / manipulacion (1); Refrigerante / agua / lavado (1)</t>
  </si>
  <si>
    <t>ISLA 5 ROBOT ABB 8536390007</t>
  </si>
  <si>
    <t>TRANSPORTADOR CARGA EWAB 8535823001/3</t>
  </si>
  <si>
    <t>1.0 h / 6 avisos</t>
  </si>
  <si>
    <t>INGRÁVIDO GORBEL CARCASA 8536578024</t>
  </si>
  <si>
    <t>Categorías: Calidad / medicion / proceso (4); Robot / carga / manipulacion (2)</t>
  </si>
  <si>
    <t>SATÉLITE EWAB 8536414001/1.2</t>
  </si>
  <si>
    <t>Categorías: Robot / carga / manipulacion (2); Neumatica / aire (2); Otros (1)</t>
  </si>
  <si>
    <t>TRANSFERIZADO MASA 90773/10 (90343)</t>
  </si>
  <si>
    <t>Categorías: Otros (4); Hidraulica / aceite (1); Refrigerante / agua / lavado (1)</t>
  </si>
  <si>
    <t>SATÉLITE EWAB 8536415001/6.1</t>
  </si>
  <si>
    <t>Categorías: Neumatica / aire (3); Otros (2); Mecanica / desgaste / rotura (1)</t>
  </si>
  <si>
    <t>TRANSPORTADOR CARGA EWAB 8535823001/1</t>
  </si>
  <si>
    <t>1.0 h / 5 avisos</t>
  </si>
  <si>
    <t>LAVADORA BAUTERMIC 6878181015</t>
  </si>
  <si>
    <t>TRANSFERIZADOEWAB 90776/1.14(6773932005)</t>
  </si>
  <si>
    <t>Categorías: Neumatica / aire (4); Mecanica / desgaste / rotura (1)</t>
  </si>
  <si>
    <t>IP1 ROBOT A.B.B. 8536324021</t>
  </si>
  <si>
    <t>1.0 h / 4 avisos</t>
  </si>
  <si>
    <t>PRENSA ALFAMATIC 6761992001</t>
  </si>
  <si>
    <t>Categorías: Otros (2); Hidraulica / aceite (1); Seguridad / puertas / protecciones (1)</t>
  </si>
  <si>
    <t>CENTRO MECANIZ. MAG 6780981055</t>
  </si>
  <si>
    <t>Categorías: Mecanica / desgaste / rotura (2); Proceso / ciclo / tiempo (1); Otros (1)</t>
  </si>
  <si>
    <t>TRANSFERIZADO WEISSER - ZF 1/2</t>
  </si>
  <si>
    <t>1.0 h / 3 avisos</t>
  </si>
  <si>
    <t>Categorías: Otros (2); Electrico / PLC / PC / comunicacion (1)</t>
  </si>
  <si>
    <t>TRANSFERIZADO EWAB 90776/1.2</t>
  </si>
  <si>
    <t>Categorías: Mecanica / desgaste / rotura (1); Robot / carga / manipulacion (1); Neumatica / aire (1)</t>
  </si>
  <si>
    <t>ROBOT UNIVERSAL 8536602046</t>
  </si>
  <si>
    <t>TRANSFERIZADO EWAB 90782/3.7</t>
  </si>
  <si>
    <t>Categorías: Robot / carga / manipulacion (2); Mecanica / desgaste / rotura (1)</t>
  </si>
  <si>
    <t>SATÉLITE EWAB 8536415001/3.1</t>
  </si>
  <si>
    <t>Categorías: Neumatica / aire (2); Otros (1)</t>
  </si>
  <si>
    <t>TRANSFERIZADO EWAB 8536529016</t>
  </si>
  <si>
    <t>Categorías: Otros (2); Mecanica / desgaste / rotura (1)</t>
  </si>
  <si>
    <t>SATÉLITE EWAB 8536415001/5.2</t>
  </si>
  <si>
    <t>MANIPULADOR PARRILLAS AICHELIN</t>
  </si>
  <si>
    <t>CUBA DE LAVADO Nº 50</t>
  </si>
  <si>
    <t>1.0 h / 2 avisos</t>
  </si>
  <si>
    <t>Categorías: Refrigerante / agua / lavado (2)</t>
  </si>
  <si>
    <t>TRANSFERIZADO EWAB 8536415014</t>
  </si>
  <si>
    <t>Categorías: Otros (2)</t>
  </si>
  <si>
    <t>LAVADORA TRANSF EWAB BAUTERMIC 90751/L3</t>
  </si>
  <si>
    <t>CINTA TRANSPORTE MAG-EWAB 8536535002</t>
  </si>
  <si>
    <t>Categorías: Calidad / medicion / proceso (1); Robot / carga / manipulacion (1)</t>
  </si>
  <si>
    <t>CINTA TRANSPORTE MAG-EWAB 8536535001</t>
  </si>
  <si>
    <t>Categorías: Electrico / PLC / PC / comunicacion (1); Refrigerante / agua / lavado (1)</t>
  </si>
  <si>
    <t>ISLA 8 DOSIFICADOR ACEITE ALROTEC</t>
  </si>
  <si>
    <t>LAVADORA EWAB-BAUTECH 90807/04</t>
  </si>
  <si>
    <t>1.0 h / 1 avisos</t>
  </si>
  <si>
    <t>Categorías: Refrigerante / agua / lavado (1)</t>
  </si>
  <si>
    <t>ROBOT ABB RECTIF.REISHAUER 6773932004</t>
  </si>
  <si>
    <t>HIGHWAY EWAB 8536415001/1.0</t>
  </si>
  <si>
    <t>TRANSFERIZADO EWAB 90768/2.3</t>
  </si>
  <si>
    <t>TRANSFERIZADO EWAB 90776/1.19</t>
  </si>
  <si>
    <t>(Sin maquina) TPM-R 219340 Pintado soportes platot</t>
  </si>
  <si>
    <t>Secc. 602 Torneado</t>
  </si>
  <si>
    <t>Categorías: Preventivo / TPM (1)</t>
  </si>
  <si>
    <t>CADENA VIRUTA KNOLL 8536525034</t>
  </si>
  <si>
    <t>TRANSF.BERNAIS FISCHER 90758/56</t>
  </si>
  <si>
    <t>Categorías: Otros (2); Proceso / ciclo / tiempo (1); Mecanica / desgaste / rotura (1)</t>
  </si>
  <si>
    <t>AFEITADORA HURTH 90147</t>
  </si>
  <si>
    <t>0.8 h / 1 avisos</t>
  </si>
  <si>
    <t>TRANSFERIZADO EWAB 90751/1.4</t>
  </si>
  <si>
    <t>TRANSFERIZADO EWAB 90776/1.9</t>
  </si>
  <si>
    <t>Carcasa MQ200EVO 0AJ.301.107.G roh MoNº7</t>
  </si>
  <si>
    <t>LAVADORA EUROTEC L2-H1</t>
  </si>
  <si>
    <t>0.7 h / 14 avisos</t>
  </si>
  <si>
    <t>TRANSFERIZADO EWAB 90751/4.4</t>
  </si>
  <si>
    <t>0.7 h / 1 avisos</t>
  </si>
  <si>
    <t>Categorías: Seguridad / puertas / protecciones (1)</t>
  </si>
  <si>
    <t>SATÉLITE EWAB 8536582002/2.2</t>
  </si>
  <si>
    <t>(Sin maquina) TPM-R 219319 Soporte AKILUX desmontado.</t>
  </si>
  <si>
    <t>Rugosimetro 8223562401</t>
  </si>
  <si>
    <t>0.5 h / 17 avisos</t>
  </si>
  <si>
    <t>Categorías: Calidad / medicion / proceso (16); Electrico / PLC / PC / comunicacion (1)</t>
  </si>
  <si>
    <t>ISLA 5 PRENSA MECCANICA PI 6761202002</t>
  </si>
  <si>
    <t>0.5 h / 14 avisos</t>
  </si>
  <si>
    <t>Categorías: Otros (10); Electrico / PLC / PC / comunicacion (1); Neumatica / aire (1)</t>
  </si>
  <si>
    <t>LAVADORA EWAB 8536415001/L1</t>
  </si>
  <si>
    <t>0.5 h / 11 avisos</t>
  </si>
  <si>
    <t>Categorías: Refrigerante / agua / lavado (6); Neumatica / aire (5)</t>
  </si>
  <si>
    <t>VERIFICADOR ENGR.KLINGELNBERG 6793313002</t>
  </si>
  <si>
    <t>Categorías: Calidad / medicion / proceso (8); Electrico / PLC / PC / comunicacion (2); Robot / carga / manipulacion (1)</t>
  </si>
  <si>
    <t>TRANSFERIZADO ORBITA 8536415013</t>
  </si>
  <si>
    <t>0.5 h / 8 avisos</t>
  </si>
  <si>
    <t>Categorías: Otros (5); Robot / carga / manipulacion (2); Neumatica / aire (1)</t>
  </si>
  <si>
    <t>MARCADORA LASER SOLUTION</t>
  </si>
  <si>
    <t>0.5 h / 4 avisos</t>
  </si>
  <si>
    <t>Categorías: Calidad / medicion / proceso (3); Seguridad / puertas / protecciones (1)</t>
  </si>
  <si>
    <t>LAVADORA BAUTERMIC 6878181016</t>
  </si>
  <si>
    <t>HIGHWAY EWAB 90776/1</t>
  </si>
  <si>
    <t>CUBA DE LAVADO Nº 43</t>
  </si>
  <si>
    <t>0.5 h / 3 avisos</t>
  </si>
  <si>
    <t>TRANSFERIZADO EWAB 90751/5.1</t>
  </si>
  <si>
    <t>Categorías: Neumatica / aire (2); Robot / carga / manipulacion (1)</t>
  </si>
  <si>
    <t>Carcasa 02T.301.107 T molde nº1</t>
  </si>
  <si>
    <t>Estacion trasvase Kenfilt 6773932004/ET</t>
  </si>
  <si>
    <t>0.5 h / 2 avisos</t>
  </si>
  <si>
    <t>CENTRO MECANIZ. MAG 6780981052</t>
  </si>
  <si>
    <t>Categorías: Refrigerante / agua / lavado (1); Calidad / medicion / proceso (1)</t>
  </si>
  <si>
    <t>(Sin maquina) cambio insertos</t>
  </si>
  <si>
    <t>0.5 h / 1 avisos</t>
  </si>
  <si>
    <t>HORNO INDUCCION E.F.D. 90557/2</t>
  </si>
  <si>
    <t>ROBOT KUKA 6781914001/1</t>
  </si>
  <si>
    <t>REFRIGERADOR BAUTERMIC 6867134003/1</t>
  </si>
  <si>
    <t>(Sin maquina) TPM-R 213086 Anomalia amarre cargador</t>
  </si>
  <si>
    <t>SISTEMA MEDICION JENOPTIK 8228199003</t>
  </si>
  <si>
    <t>0.3 h / 19 avisos</t>
  </si>
  <si>
    <t>Categorías: Calidad / medicion / proceso (14); Electrico / PLC / PC / comunicacion (5)</t>
  </si>
  <si>
    <t>ISLA 7 PRENSA ITALPRESS 6761070001</t>
  </si>
  <si>
    <t>0.3 h / 6 avisos</t>
  </si>
  <si>
    <t>Categorías: Hidraulica / aceite (2); Otros (2); Seguridad / puertas / protecciones (1)</t>
  </si>
  <si>
    <t>(Sin maquina) PINZA</t>
  </si>
  <si>
    <t>0.3 h / 1 avisos</t>
  </si>
  <si>
    <t>Caja MQ200 0AJ.301.103.H roh Molde nº37</t>
  </si>
  <si>
    <t>ESTACION TRASVASE HOFFMANN 6773940008/1</t>
  </si>
  <si>
    <t>0.3 h / 2 avisos</t>
  </si>
  <si>
    <t>Categorías: Otros (1); Robot / carga / manipulacion (1)</t>
  </si>
  <si>
    <t>PRENSA TEPSA 6761932001</t>
  </si>
  <si>
    <t>0.2 h / 7 avisos</t>
  </si>
  <si>
    <t>Categorías: Hidraulica / aceite (3); Mecanica / desgaste / rotura (2); Seguridad / puertas / protecciones (1)</t>
  </si>
  <si>
    <t>(Sin maquina) Reparar capto</t>
  </si>
  <si>
    <t>0.2 h / 1 avisos</t>
  </si>
  <si>
    <t>ROBOT ABB BAYER 8248571002/1</t>
  </si>
  <si>
    <t>0.2 h / 2 avisos</t>
  </si>
  <si>
    <t>(Sin maquina) Fuga aire en tope previo entrada carc L6</t>
  </si>
  <si>
    <t>ASPIRADOR HUMOS OPTIFLO 7013112001</t>
  </si>
  <si>
    <t>0.1 h / 1 avisos</t>
  </si>
  <si>
    <t>Categorías: Proceso / ciclo / tiempo (1)</t>
  </si>
  <si>
    <t>ROBOT KUKA DESCARGA 8536339180</t>
  </si>
  <si>
    <t>0.1 h / 3 avisos</t>
  </si>
  <si>
    <t>TRANSFERIZADO BERNAIS &amp; Co. 80008/09</t>
  </si>
  <si>
    <t>0.1 h / 2 avisos</t>
  </si>
  <si>
    <t>Categorías: Otros (1); Proceso / ciclo / tiempo (1)</t>
  </si>
  <si>
    <t>ROBOT KUKA 8536349005</t>
  </si>
  <si>
    <t>TORNO GILDEMEISTER 90056 (6782925016)</t>
  </si>
  <si>
    <t>ELEMENTOS ELIMINADOS</t>
  </si>
  <si>
    <t>ROBOT KUKA DESCARGA 8536339181</t>
  </si>
  <si>
    <t>MÁQ.PUESTA PUNTO HTAS. ZOLLER 8228155001</t>
  </si>
  <si>
    <t>0.0 h / 11 avisos</t>
  </si>
  <si>
    <t>Categorías: Calidad / medicion / proceso (6); Electrico / PLC / PC / comunicacion (3); Neumatica / aire (2)</t>
  </si>
  <si>
    <t>COMPROBADORA KLINGELNBERG P40 8228142001</t>
  </si>
  <si>
    <t>0.0 h / 7 avisos</t>
  </si>
  <si>
    <t>Categorías: Otros (6); Proceso / ciclo / tiempo (1)</t>
  </si>
  <si>
    <t>HORNO HOLCROFT 1 6875448003</t>
  </si>
  <si>
    <t>Gr.63502 Trat. Termicos. HORNOS HOLCROFT</t>
  </si>
  <si>
    <t>0.0 h / 3 avisos</t>
  </si>
  <si>
    <t>Categorías: Electrico / PLC / PC / comunicacion (3)</t>
  </si>
  <si>
    <t>RECTIFICADORA HARO 6773814002</t>
  </si>
  <si>
    <t>0.0 h / 2 avisos</t>
  </si>
  <si>
    <t>Categorías: Mecanica / desgaste / rotura (1); Seguridad / puertas / protecciones (1)</t>
  </si>
  <si>
    <t>TALADRO IRSASA 6783318002</t>
  </si>
  <si>
    <t>Categorías: Seguridad / puertas / protecciones (2)</t>
  </si>
  <si>
    <t>Carcasa MQ200EVO 0AJ.301.107.G roh MoNº5</t>
  </si>
  <si>
    <t>0.0 h / 1 avisos</t>
  </si>
  <si>
    <t>CARRO Nº1</t>
  </si>
  <si>
    <t>0.0 h / 17 avisos</t>
  </si>
  <si>
    <t>Categorías: Electrico / PLC / PC / comunicacion (17)</t>
  </si>
  <si>
    <t>TRANSFERIZADO MASA 90773/14</t>
  </si>
  <si>
    <t>0.0 h / 16 avisos</t>
  </si>
  <si>
    <t>Categorías: Otros (16)</t>
  </si>
  <si>
    <t>TRIDIMENSIONAL D.E.A. 899473.06</t>
  </si>
  <si>
    <t>0.0 h / 15 avisos</t>
  </si>
  <si>
    <t>Categorías: Calidad / medicion / proceso (13); Electrico / PLC / PC / comunicacion (2)</t>
  </si>
  <si>
    <t>TORNO PINACHO 6782153002</t>
  </si>
  <si>
    <t>0.0 h / 14 avisos</t>
  </si>
  <si>
    <t>Categorías: Mecanica / desgaste / rotura (7); Otros (4); Hidraulica / aceite (2)</t>
  </si>
  <si>
    <t>ISLA 1 HORNO WESTOFEN 90586</t>
  </si>
  <si>
    <t>Categorías: Horno / temperatura (9); Mecanica / desgaste / rotura (3); Electrico / PLC / PC / comunicacion (2)</t>
  </si>
  <si>
    <t>TRIDIMENSIONAL D.E.A. 818478/01</t>
  </si>
  <si>
    <t>0.0 h / 13 avisos</t>
  </si>
  <si>
    <t>Categorías: Calidad / medicion / proceso (9); Electrico / PLC / PC / comunicacion (3); Seguridad / puertas / protecciones (1)</t>
  </si>
  <si>
    <t>ID2 HORNO WESTOFEN 90555</t>
  </si>
  <si>
    <t>0.0 h / 12 avisos</t>
  </si>
  <si>
    <t>Categorías: Horno / temperatura (9); Mecanica / desgaste / rotura (3)</t>
  </si>
  <si>
    <t>LAVADORA BAUTERMIC 6781915001/2</t>
  </si>
  <si>
    <t>Categorías: Refrigerante / agua / lavado (12)</t>
  </si>
  <si>
    <t>TRANSFERIZADO WEKAL 90762/B2</t>
  </si>
  <si>
    <t>Categorías: Refrigerante / agua / lavado (5); Otros (5); Hidraulica / aceite (1)</t>
  </si>
  <si>
    <t>MEDIOS TRYLOGIC</t>
  </si>
  <si>
    <t>Categorías: Otros (5); Electrico / PLC / PC / comunicacion (5); Seguridad / puertas / protecciones (1)</t>
  </si>
  <si>
    <t>TRANSF.BERNAIS FISCHER 90757/17(90268)</t>
  </si>
  <si>
    <t>Categorías: Otros (9); Mecanica / desgaste / rotura (1); Robot / carga / manipulacion (1)</t>
  </si>
  <si>
    <t>TRANSFERIZADO WEKAL 90762/N2 (90348)</t>
  </si>
  <si>
    <t>Categorías: Otros (7); Proceso / ciclo / tiempo (3); Mecanica / desgaste / rotura (1)</t>
  </si>
  <si>
    <t>DOSIFICADOR MULTIMIX 6873505003</t>
  </si>
  <si>
    <t>0.0 h / 10 avisos</t>
  </si>
  <si>
    <t>Categorías: Otros (8); Electrico / PLC / PC / comunicacion (1); Neumatica / aire (1)</t>
  </si>
  <si>
    <t>LAVADORA BAUTERMIC 8536414001/L1</t>
  </si>
  <si>
    <t>Categorías: Refrigerante / agua / lavado (9); Hidraulica / aceite (1)</t>
  </si>
  <si>
    <t>TRIDIMENSIONAL.WENZEL 8222480003</t>
  </si>
  <si>
    <t>Categorías: Calidad / medicion / proceso (10)</t>
  </si>
  <si>
    <t>ISLA 10 HORNO WESTOFEN 6875411001</t>
  </si>
  <si>
    <t>Categorías: Horno / temperatura (8); Neumatica / aire (2)</t>
  </si>
  <si>
    <t>ISLA 9 PRENSA ITALPRES 90313</t>
  </si>
  <si>
    <t>Categorías: Otros (4); Hidraulica / aceite (2); Electrico / PLC / PC / comunicacion (2)</t>
  </si>
  <si>
    <t>IS7 INGRÁVIDO GORBEL 8536578013</t>
  </si>
  <si>
    <t>0.0 h / 9 avisos</t>
  </si>
  <si>
    <t>Categorías: Otros (9)</t>
  </si>
  <si>
    <t>TRANSFERIZADO MASA 90763/09</t>
  </si>
  <si>
    <t>Categorías: Otros (4); Robot / carga / manipulacion (2); Electrico / PLC / PC / comunicacion (1)</t>
  </si>
  <si>
    <t>SATÉLITE EWAB 8536415001/1.1</t>
  </si>
  <si>
    <t>Categorías: Neumatica / aire (7); Otros (2)</t>
  </si>
  <si>
    <t>ISLA 8 PRENSA ITALPRESSE 90485</t>
  </si>
  <si>
    <t>Categorías: Otros (6); Hidraulica / aceite (2); Seguridad / puertas / protecciones (1)</t>
  </si>
  <si>
    <t>CARRO Nº5</t>
  </si>
  <si>
    <t>CAMPANA ISLA 6 ENERCON 6657734006</t>
  </si>
  <si>
    <t>0.0 h / 8 avisos</t>
  </si>
  <si>
    <t>Categorías: Otros (4); Preventivo / TPM (2); Horno / temperatura (1)</t>
  </si>
  <si>
    <t>IS1 ROBOT A.B.B. 8536390006</t>
  </si>
  <si>
    <t>Categorías: Robot / carga / manipulacion (6); Neumatica / aire (1); Electrico / PLC / PC / comunicacion (1)</t>
  </si>
  <si>
    <t>Microscopio óptico LEICA DM 8222327001</t>
  </si>
  <si>
    <t>Categorías: Calidad / medicion / proceso (6); Electrico / PLC / PC / comunicacion (2)</t>
  </si>
  <si>
    <t>TRIDIMENSIONAL ZEISS 8228190001</t>
  </si>
  <si>
    <t>Categorías: Calidad / medicion / proceso (7); Refrigerante / agua / lavado (1)</t>
  </si>
  <si>
    <t>IP2 INGRÁVIDO GORBEL 8536578021</t>
  </si>
  <si>
    <t>Categorías: Otros (8)</t>
  </si>
  <si>
    <t>TRANSFERIZADO MASA 90773/11</t>
  </si>
  <si>
    <t>Categorías: Otros (5); Neumatica / aire (1); Electrico / PLC / PC / comunicacion (1)</t>
  </si>
  <si>
    <t>ISLA 9 HORNO WESTOFEN 90315</t>
  </si>
  <si>
    <t>Categorías: Mecanica / desgaste / rotura (4); Horno / temperatura (4)</t>
  </si>
  <si>
    <t>CAMPANA ISLA 10 ENERCON 6657770001</t>
  </si>
  <si>
    <t>Categorías: Preventivo / TPM (2); Refrigerante / agua / lavado (2); Seguridad / puertas / protecciones (1)</t>
  </si>
  <si>
    <t>CAMPANA ISLA 5 ENERCON 6657734005</t>
  </si>
  <si>
    <t>Categorías: Otros (5); Preventivo / TPM (1); Mecanica / desgaste / rotura (1)</t>
  </si>
  <si>
    <t>GRABADORA GRAVOGRAPH 90368/00</t>
  </si>
  <si>
    <t>Categorías: Otros (3); Electrico / PLC / PC / comunicacion (2); Neumatica / aire (1)</t>
  </si>
  <si>
    <t>ISLA 6 HORNO WESTOFEN 90554</t>
  </si>
  <si>
    <t>Categorías: Horno / temperatura (5); Electrico / PLC / PC / comunicacion (1); Mecanica / desgaste / rotura (1)</t>
  </si>
  <si>
    <t>MEDIOS TRYLOGIC ZONA DESCARGA LAVADORA G</t>
  </si>
  <si>
    <t>TRANSFERIZADO ROTZINGER 90759/18</t>
  </si>
  <si>
    <t>Categorías: Mecanica / desgaste / rotura (4); Hidraulica / aceite (2); Refrigerante / agua / lavado (1)</t>
  </si>
  <si>
    <t>TRIDIMENSIONAL D.E.A. 99834</t>
  </si>
  <si>
    <t>Categorías: Calidad / medicion / proceso (4); Seguridad / puertas / protecciones (1); Electrico / PLC / PC / comunicacion (1)</t>
  </si>
  <si>
    <t>CAMPANA ISLA 4 ENERCON 6657734004</t>
  </si>
  <si>
    <t>Categorías: Hidraulica / aceite (2); Refrigerante / agua / lavado (2); Otros (2)</t>
  </si>
  <si>
    <t>TRANSFERIZADO BERNAIS FISCHER 90763/07</t>
  </si>
  <si>
    <t>Categorías: Otros (4); Neumatica / aire (1); Mecanica / desgaste / rotura (1)</t>
  </si>
  <si>
    <t>HORNO NITRURADO IPSEN 90082/4 N</t>
  </si>
  <si>
    <t>Categorías: Electrico / PLC / PC / comunicacion (7)</t>
  </si>
  <si>
    <t>LAVADORA AICHELIN</t>
  </si>
  <si>
    <t>Categorías: Refrigerante / agua / lavado (5); Hidraulica / aceite (2)</t>
  </si>
  <si>
    <t>VERIFICADOR KLINGELNBERG 8228142003</t>
  </si>
  <si>
    <t>0.0 h / 6 avisos</t>
  </si>
  <si>
    <t>Categorías: Preventivo / TPM (2); Otros (2); Mecanica / desgaste / rotura (1)</t>
  </si>
  <si>
    <t>MEDICION DE FORMAS MAHR 8222485003</t>
  </si>
  <si>
    <t>Categorías: Calidad / medicion / proceso (6)</t>
  </si>
  <si>
    <t>IP2 ROBOT A.B.B. 8536324020</t>
  </si>
  <si>
    <t>TORNO VERTICAL FAMAR 6782935001</t>
  </si>
  <si>
    <t>Categorías: Neumatica / aire (3); Otros (3)</t>
  </si>
  <si>
    <t>CENTR MED.ENGRA.KLINGELNBERG 6793313001</t>
  </si>
  <si>
    <t>Categorías: Mecanica / desgaste / rotura (3); Otros (2); Neumatica / aire (1)</t>
  </si>
  <si>
    <t>DENTADORA PFAUTER 90033</t>
  </si>
  <si>
    <t>Categorías: Mecanica / desgaste / rotura (2); Otros (2); Refrigerante / agua / lavado (1)</t>
  </si>
  <si>
    <t>DOSIFICADOR MULTIMIX 6873505005</t>
  </si>
  <si>
    <t>Categorías: Otros (5); Hidraulica / aceite (1)</t>
  </si>
  <si>
    <t>MEDIDOR FORMAS TAYLOR HOBSON 6793314001</t>
  </si>
  <si>
    <t>Categorías: Otros (4); Mecanica / desgaste / rotura (2)</t>
  </si>
  <si>
    <t>Aspiradora para líquido sección 66407</t>
  </si>
  <si>
    <t>Categorías: Mecanica / desgaste / rotura (3); Otros (2); Preventivo / TPM (1)</t>
  </si>
  <si>
    <t>TRANSF. MASA 90758/51</t>
  </si>
  <si>
    <t>Categorías: Refrigerante / agua / lavado (3); Otros (3)</t>
  </si>
  <si>
    <t>ISLA 5 LUBRIFICADOR AED AUTOMATION 68771</t>
  </si>
  <si>
    <t>Categorías: Otros (4); Hidraulica / aceite (1); Neumatica / aire (1)</t>
  </si>
  <si>
    <t>ISLA 3 HORNO WESTOFEN 90491</t>
  </si>
  <si>
    <t>Categorías: Horno / temperatura (4); Mecanica / desgaste / rotura (1); Neumatica / aire (1)</t>
  </si>
  <si>
    <t>HORNO TEMPLE L2H1 90299/5</t>
  </si>
  <si>
    <t>Categorías: Electrico / PLC / PC / comunicacion (6)</t>
  </si>
  <si>
    <t>MANIPULADOR TINTORÉ 8516814001</t>
  </si>
  <si>
    <t>0.0 h / 5 avisos</t>
  </si>
  <si>
    <t>Categorías: Robot / carga / manipulacion (4); Hidraulica / aceite (1)</t>
  </si>
  <si>
    <t>PERFILOMETRO/RUGOSÍMETRO MAHR 802474/01</t>
  </si>
  <si>
    <t>Categorías: Calidad / medicion / proceso (4); Robot / carga / manipulacion (1)</t>
  </si>
  <si>
    <t>PRENSA STRUERS 6761119001</t>
  </si>
  <si>
    <t>Categorías: Calidad / medicion / proceso (3); Hidraulica / aceite (2)</t>
  </si>
  <si>
    <t>ROBOT UNIVERSAL 8536602047</t>
  </si>
  <si>
    <t>TRANSFERIZADO ROTZINGER 90759/20</t>
  </si>
  <si>
    <t>Categorías: Mecanica / desgaste / rotura (4); Refrigerante / agua / lavado (1)</t>
  </si>
  <si>
    <t>VERIFICADOR KLINGELNBERG 8228142004</t>
  </si>
  <si>
    <t>TRANSFERIZADO MASA 90761/13 (13001)</t>
  </si>
  <si>
    <t>Categorías: Otros (2); Hidraulica / aceite (1); Mecanica / desgaste / rotura (1)</t>
  </si>
  <si>
    <t>MALETA FIELD PG M4</t>
  </si>
  <si>
    <t>Maletas de Programación</t>
  </si>
  <si>
    <t>Categorías: Otros (4); Electrico / PLC / PC / comunicacion (1)</t>
  </si>
  <si>
    <t>CAMPANA ISLA 2 ENERCON 6657734002</t>
  </si>
  <si>
    <t>Categorías: Otros (3); Electrico / PLC / PC / comunicacion (1); Preventivo / TPM (1)</t>
  </si>
  <si>
    <t>TRANSF.ROTZINGER 90758/38 MAQUINA(90085)</t>
  </si>
  <si>
    <t>Categorías: Mecanica / desgaste / rotura (2); Refrigerante / agua / lavado (2); Hidraulica / aceite (1)</t>
  </si>
  <si>
    <t>SATÉLITE EWAB 8536582001/1.2</t>
  </si>
  <si>
    <t>TRANSFERIZADO MASA 90773/09</t>
  </si>
  <si>
    <t>Categorías: Otros (4); Refrigerante / agua / lavado (1)</t>
  </si>
  <si>
    <t>ISLA 4 CAMPANA ENERCON 6657734004</t>
  </si>
  <si>
    <t>Categorías: Electrico / PLC / PC / comunicacion (2); Otros (2); Seguridad / puertas / protecciones (1)</t>
  </si>
  <si>
    <t>HORNO REVENIDO L2H2 IPSEN 90299/4</t>
  </si>
  <si>
    <t>Categorías: Electrico / PLC / PC / comunicacion (4); Hidraulica / aceite (1)</t>
  </si>
  <si>
    <t>CAMPANA ISLA 3 ENERCON 6657734003</t>
  </si>
  <si>
    <t>0.0 h / 4 avisos</t>
  </si>
  <si>
    <t>Categorías: Refrigerante / agua / lavado (2); Preventivo / TPM (1); Otros (1)</t>
  </si>
  <si>
    <t>IP2 MEZCLADOR MULTIMIX 6873505008</t>
  </si>
  <si>
    <t>Categorías: Otros (4)</t>
  </si>
  <si>
    <t>PERFILOMETRO MAHR 8223580002</t>
  </si>
  <si>
    <t>Categorías: Calidad / medicion / proceso (4)</t>
  </si>
  <si>
    <t>ROBOT ABB RECTIF.REISHAUER 6773937001</t>
  </si>
  <si>
    <t>ID2 MEZCLADOR MULTIMIX 6873505007</t>
  </si>
  <si>
    <t>Categorías: Otros (3); Electrico / PLC / PC / comunicacion (1)</t>
  </si>
  <si>
    <t>AFEITADORA HURTH 90150</t>
  </si>
  <si>
    <t>Categorías: Mecanica / desgaste / rotura (2); Otros (1); Hidraulica / aceite (1)</t>
  </si>
  <si>
    <t>PUESTO CONTROL N27-145</t>
  </si>
  <si>
    <t>Categorías: Preventivo / TPM (2); Mecanica / desgaste / rotura (1); Otros (1)</t>
  </si>
  <si>
    <t>TRANSFERIZADO WEKAL 90763/F</t>
  </si>
  <si>
    <t>Categorías: Otros (3); Hidraulica / aceite (1)</t>
  </si>
  <si>
    <t>ELECTROPULIDORA STRUERS 8223572001</t>
  </si>
  <si>
    <t>CÁMARA COGNEX</t>
  </si>
  <si>
    <t>SATÉLITE EWAB 8536415001/9.1</t>
  </si>
  <si>
    <t>Categorías: Otros (2); Mecanica / desgaste / rotura (1); Neumatica / aire (1)</t>
  </si>
  <si>
    <t>INGRÁVIDO GORBEL CAJA 8536578023</t>
  </si>
  <si>
    <t>TRANSFERIZADO WEKAL 90762/D1 (90205)</t>
  </si>
  <si>
    <t>Categorías: Proceso / ciclo / tiempo (2); Otros (1); Refrigerante / agua / lavado (1)</t>
  </si>
  <si>
    <t>CAMPANA ISLA 1 ENERCON 6657734001</t>
  </si>
  <si>
    <t>Categorías: Otros (3); Seguridad / puertas / protecciones (1)</t>
  </si>
  <si>
    <t>TRANSFERIZADO MASA 90763/2</t>
  </si>
  <si>
    <t>SATÉLITE EWAB 8536415002/1.3</t>
  </si>
  <si>
    <t>Categorías: Robot / carga / manipulacion (3); Otros (1)</t>
  </si>
  <si>
    <t>TRANSFERIZADO MASA 90773/04 (90379)</t>
  </si>
  <si>
    <t>IP1 DOSIFICADOR ACEITE ALROTEC</t>
  </si>
  <si>
    <t>Categorías: Hidraulica / aceite (4)</t>
  </si>
  <si>
    <t>AMOLADORA DE AJUSTE 6771151004</t>
  </si>
  <si>
    <t>ISLA 9 CAMPANA ENERCON 6657735002</t>
  </si>
  <si>
    <t>Categorías: Otros (2); Refrigerante / agua / lavado (1); Electrico / PLC / PC / comunicacion (1)</t>
  </si>
  <si>
    <t>ISLA 3 CAMPANA ENERCON 6657734003</t>
  </si>
  <si>
    <t>Categorías: Refrigerante / agua / lavado (2); Otros (2)</t>
  </si>
  <si>
    <t>ISLA 2 CAMPANA ENERCON 6657734002</t>
  </si>
  <si>
    <t>Categorías: Preventivo / TPM (2); Otros (2)</t>
  </si>
  <si>
    <t>HORNO REVENIDO L1H2 IPSEN 90089/4</t>
  </si>
  <si>
    <t>Categorías: Electrico / PLC / PC / comunicacion (3); Refrigerante / agua / lavado (1)</t>
  </si>
  <si>
    <t>POTRO Nº31</t>
  </si>
  <si>
    <t>HORNO TEMPLE L2H2 90299/6</t>
  </si>
  <si>
    <t>Categorías: Electrico / PLC / PC / comunicacion (3); Hidraulica / aceite (1)</t>
  </si>
  <si>
    <t>Carcasa 0AJ.301.107 A Molde nº11</t>
  </si>
  <si>
    <t>Categorías: Otros (3)</t>
  </si>
  <si>
    <t>ESPECTRÓMETRO VARIAN 8222158002</t>
  </si>
  <si>
    <t>FRESADORA UNIVE DECKEL 6785114003</t>
  </si>
  <si>
    <t>HORNO DE CAMARA IPSEN 90320 "R"</t>
  </si>
  <si>
    <t>LAVADOR GASES AICHELIN</t>
  </si>
  <si>
    <t>Categorías: Refrigerante / agua / lavado (2); Hidraulica / aceite (1)</t>
  </si>
  <si>
    <t>MEDICIÓN ESTANQ I.C.D. 90496(8248564001)</t>
  </si>
  <si>
    <t>TRANSFERIZADO BERNAIS FISCHER 90759/55</t>
  </si>
  <si>
    <t>Categorías: Refrigerante / agua / lavado (1); Otros (1); Electrico / PLC / PC / comunicacion (1)</t>
  </si>
  <si>
    <t>LAMINADORA Z.F. 90203</t>
  </si>
  <si>
    <t>Categorías: Mecanica / desgaste / rotura (2); Otros (1)</t>
  </si>
  <si>
    <t>AFILADORA LABHER 6772113001</t>
  </si>
  <si>
    <t>ESTEREOSCOPIO MOTIC 8229122001</t>
  </si>
  <si>
    <t>ROBOT UNIVERSAL 8536602051</t>
  </si>
  <si>
    <t>TALADRO TAGO 6783313001</t>
  </si>
  <si>
    <t>Categorías: Otros (2); Seguridad / puertas / protecciones (1)</t>
  </si>
  <si>
    <t>TRANSFERIZADO MASA 90756/20(90047)</t>
  </si>
  <si>
    <t>IS2 ROBOT A.B.B. 90424</t>
  </si>
  <si>
    <t>IS2 LUBRICADOR ACHESON 90433</t>
  </si>
  <si>
    <t>Categorías: Otros (2); Neumatica / aire (1)</t>
  </si>
  <si>
    <t>TRANSFERIZADOEWAB 90776/1.17 (90776/L3)</t>
  </si>
  <si>
    <t>Categorías: Robot / carga / manipulacion (1); Neumatica / aire (1); Mecanica / desgaste / rotura (1)</t>
  </si>
  <si>
    <t>CAMPANA ISLA 7 ENERCON 6657734007</t>
  </si>
  <si>
    <t>Categorías: Preventivo / TPM (1); Electrico / PLC / PC / comunicacion (1); Horno / temperatura (1)</t>
  </si>
  <si>
    <t>IP1 INGRÁVIDO GORBEL 8536578022</t>
  </si>
  <si>
    <t>SATÉLITE EWAB 8536415001/4.1</t>
  </si>
  <si>
    <t>TRANSFERIZ.BERNAIS &amp; Co. 90774/02(90342)</t>
  </si>
  <si>
    <t>Categorías: Refrigerante / agua / lavado (2); Proceso / ciclo / tiempo (1)</t>
  </si>
  <si>
    <t>TRANSFER.BERN.FISCHER 90807/01(90831)</t>
  </si>
  <si>
    <t>Categorías: Otros (1); Mecanica / desgaste / rotura (1); Hidraulica / aceite (1)</t>
  </si>
  <si>
    <t>DOSIFICADOR MULTIMIX 6873505002</t>
  </si>
  <si>
    <t>TRANSFERIZADO MASA 90766/7(90151)</t>
  </si>
  <si>
    <t>Categorías: Otros (1); Refrigerante / agua / lavado (1); Mecanica / desgaste / rotura (1)</t>
  </si>
  <si>
    <t>ESTACION TRASVASE HOFFMANN 6773939006/1</t>
  </si>
  <si>
    <t>Categorías: Otros (2); Hidraulica / aceite (1)</t>
  </si>
  <si>
    <t>SATÉLITE EWAB 8536582002/1.1</t>
  </si>
  <si>
    <t>Categorías: Mecanica / desgaste / rotura (1); Robot / carga / manipulacion (1); Electrico / PLC / PC / comunicacion (1)</t>
  </si>
  <si>
    <t>TRANSFERIZADO MASA 90766/5(90153)</t>
  </si>
  <si>
    <t>ID2 ROBOT A.B.B. 8536390007</t>
  </si>
  <si>
    <t>IP2 DOSIFICADOR ACEITE ALROTEC</t>
  </si>
  <si>
    <t>Categorías: Hidraulica / aceite (3)</t>
  </si>
  <si>
    <t>Aspiradora para líquido sección 66408</t>
  </si>
  <si>
    <t>SATÉLITE EWAB 8536415002/1.4</t>
  </si>
  <si>
    <t>TRANSFERIZADO MASA 90763/3</t>
  </si>
  <si>
    <t>TRANSFERIZADO MASA 90773/02 (90379)</t>
  </si>
  <si>
    <t>ATEMPERADOR THERMOBIEHL 6766111001/4</t>
  </si>
  <si>
    <t>Categorías: Otros (2); Refrigerante / agua / lavado (1)</t>
  </si>
  <si>
    <t>IS7 DOSIFICADOR ACEITE ALROTEC</t>
  </si>
  <si>
    <t>TRANSFERIZADO MASA 90773/08</t>
  </si>
  <si>
    <t>ISLA 2 PRENSA ITALPRESSE 90430</t>
  </si>
  <si>
    <t>ISLA 10 PRENSA MECCANICA PI 6761202001</t>
  </si>
  <si>
    <t>ISLA 1 LUBRIFICADOR ACHESON 90434</t>
  </si>
  <si>
    <t>Categorías: Otros (2); Horno / temperatura (1)</t>
  </si>
  <si>
    <t>TRANSFERIZADO WEKAL 90762/K1 (90175)</t>
  </si>
  <si>
    <t>Categorías: Otros (2); Proceso / ciclo / tiempo (1)</t>
  </si>
  <si>
    <t>(Sin maquina) Cargador lámpara de UV</t>
  </si>
  <si>
    <t>(Sin maquina) CONSTRUIR PROTECTOR METALICO</t>
  </si>
  <si>
    <t>Caja MQ200 0AJ.301.103.H roh Molde nº34</t>
  </si>
  <si>
    <t>Categorías: Otros (1); Electrico / PLC / PC / comunicacion (1)</t>
  </si>
  <si>
    <t>ESTACIÓN TRASV. HOFFMANN 6773940001/1</t>
  </si>
  <si>
    <t>Categorías: Hidraulica / aceite (1); Otros (1)</t>
  </si>
  <si>
    <t>INYECTORA 90442/5</t>
  </si>
  <si>
    <t>ISLA 7 CAMPANA ENERCON 6657734007</t>
  </si>
  <si>
    <t>Categorías: Refrigerante / agua / lavado (1); Otros (1)</t>
  </si>
  <si>
    <t>MALETA FIELD PG M</t>
  </si>
  <si>
    <t>Categorías: Electrico / PLC / PC / comunicacion (1); Robot / carga / manipulacion (1)</t>
  </si>
  <si>
    <t>PERFILOMETRO MAHR 8223580001</t>
  </si>
  <si>
    <t>ROSCADORA CMA 6787911001</t>
  </si>
  <si>
    <t>TRANSFERIZADO EWAB 8536584008</t>
  </si>
  <si>
    <t>AUTOMATIZ.CARGA/DESCA.EJES 6777112001/1</t>
  </si>
  <si>
    <t>Categorías: Robot / carga / manipulacion (1); Neumatica / aire (1)</t>
  </si>
  <si>
    <t>TORCÓMETRO CRANE TORQUESTAR 805473/01</t>
  </si>
  <si>
    <t>TRANSPORTADOR DESCARGA EWAB 8535823001/4</t>
  </si>
  <si>
    <t>TRANSFERIZADO EWAB 8536581002</t>
  </si>
  <si>
    <t>Caja 0AJ.301.103.H Molde nº31</t>
  </si>
  <si>
    <t>Categorías: Electrico / PLC / PC / comunicacion (1); Otros (1)</t>
  </si>
  <si>
    <t>PUESTO CONTROL D15-400</t>
  </si>
  <si>
    <t>HORNO REVENIDO L2 IPSEN 90299/4</t>
  </si>
  <si>
    <t>CONJUNTO PALETS GRUPO</t>
  </si>
  <si>
    <t>MORTAJADORA LORENZ 90338</t>
  </si>
  <si>
    <t>Carcasa 0C9.301.107.H Molde nº1 MQ-281</t>
  </si>
  <si>
    <t>BANCO MONTAJE INDEST 90411</t>
  </si>
  <si>
    <t>Aspiradora para líquido sección 66417</t>
  </si>
  <si>
    <t>Categorías: Mecanica / desgaste / rotura (1); Otros (1)</t>
  </si>
  <si>
    <t>TRANSFERIZADO MASA 90758/44</t>
  </si>
  <si>
    <t>Categorías: Proceso / ciclo / tiempo (1); Otros (1)</t>
  </si>
  <si>
    <t>TRANSFERIZADO MASA 90773/15 (90346)</t>
  </si>
  <si>
    <t>Categorías: Electrico / PLC / PC / comunicacion (1); Hidraulica / aceite (1)</t>
  </si>
  <si>
    <t>SATÉLITE EWAB 8536415001/8.1</t>
  </si>
  <si>
    <t>Categorías: Neumatica / aire (2)</t>
  </si>
  <si>
    <t>Caja 0C9.301.103.G Molde nº3 MQ-281</t>
  </si>
  <si>
    <t>ID10 INGRÁVIDO GORBEL 8536578014</t>
  </si>
  <si>
    <t>Categorías: Otros (1); Seguridad / puertas / protecciones (1)</t>
  </si>
  <si>
    <t>CADENA VIRUTA KNOLL CARCASA 8536525032/1</t>
  </si>
  <si>
    <t>Categorías: Neumatica / aire (1); Calidad / medicion / proceso (1)</t>
  </si>
  <si>
    <t>PATERNOSTER KARDEX 7099123007</t>
  </si>
  <si>
    <t>HORNO INDUCCION E.F.D. 90557</t>
  </si>
  <si>
    <t>Categorías: Electrico / PLC / PC / comunicacion (1); Neumatica / aire (1)</t>
  </si>
  <si>
    <t>AFEITADORA HURTH 90148</t>
  </si>
  <si>
    <t>MANIPULADOR TINTORÉ PARRILLA EJE CORTO</t>
  </si>
  <si>
    <t>SATÉLITE EWAB 8536415002/2</t>
  </si>
  <si>
    <t>Categorías: Otros (1); Neumatica / aire (1)</t>
  </si>
  <si>
    <t>ESTACION TRASVASE HOFFMANN 6773939007/1</t>
  </si>
  <si>
    <t>DURÓMETRO IDENTEC 8225145001</t>
  </si>
  <si>
    <t>Categorías: Calidad / medicion / proceso (1); Neumatica / aire (1)</t>
  </si>
  <si>
    <t>INTEGRACION RECMAN CARCASA 8536312001/1</t>
  </si>
  <si>
    <t>SATÉLITE EWAB 8536415001/1.2</t>
  </si>
  <si>
    <t>TRANSFERIZADO EWAB 90776/1.0</t>
  </si>
  <si>
    <t>Categorías: Neumatica / aire (1); Mecanica / desgaste / rotura (1)</t>
  </si>
  <si>
    <t>ESPECTROFOTÓMET SHIMADZU 99978</t>
  </si>
  <si>
    <t>ROBOT FANUC 8536348001</t>
  </si>
  <si>
    <t>PUESTO CONTROL J23-804</t>
  </si>
  <si>
    <t>ID1 DOSIFICADOR ACEITE ALROTEC</t>
  </si>
  <si>
    <t>LAVADORA BAUTERMIC 8536529017/1</t>
  </si>
  <si>
    <t>(Sin maquina) Falta una iluminación en puesto medición</t>
  </si>
  <si>
    <t>TRANSFERIZADO EWAB 90776/1.1</t>
  </si>
  <si>
    <t>PUESTO CONTROL J26-007</t>
  </si>
  <si>
    <t>Categorías: Calidad / medicion / proceso (1); Otros (1)</t>
  </si>
  <si>
    <t>SATÉLITE EWAB 8536415001/3.3</t>
  </si>
  <si>
    <t>TRANSFERIZADO EWAB 90751/6.1</t>
  </si>
  <si>
    <t>TRANSFERIZADO WEKAL 90763/Y</t>
  </si>
  <si>
    <t>Categorías: Proceso / ciclo / tiempo (1); Refrigerante / agua / lavado (1)</t>
  </si>
  <si>
    <t>FOSO DE TRATAMIENTOS TÉRMICOS</t>
  </si>
  <si>
    <t>Categorías: Hidraulica / aceite (1); Electrico / PLC / PC / comunicacion (1)</t>
  </si>
  <si>
    <t>SATÉLITE EWAB 8536415001/10.1</t>
  </si>
  <si>
    <t>Categorías: Hidraulica / aceite (1); Neumatica / aire (1)</t>
  </si>
  <si>
    <t>PUESTO CONTROL M16-705</t>
  </si>
  <si>
    <t>Categorías: Calidad / medicion / proceso (1); Electrico / PLC / PC / comunicacion (1)</t>
  </si>
  <si>
    <t>TRANSPORTE EMAG 6773942002/2</t>
  </si>
  <si>
    <t>Categorías: Seguridad / puertas / protecciones (1); Robot / carga / manipulacion (1)</t>
  </si>
  <si>
    <t>ISLA 1 CAMPANA ENERCON 6657734001</t>
  </si>
  <si>
    <t>Categorías: Mecanica / desgaste / rotura (1); Refrigerante / agua / lavado (1)</t>
  </si>
  <si>
    <t>ISLA 6 CAMPANA ENERCON 6657734006</t>
  </si>
  <si>
    <t>ISLA 10 DOSIFICADOR ACEITE ALROTEC</t>
  </si>
  <si>
    <t>ISLA 7 DOSIFICADOR ACEITE ALROTEC</t>
  </si>
  <si>
    <t>CUBA DE LAVADO Nº 44</t>
  </si>
  <si>
    <t>MICROSCÓPIO ELÉ JEOL 82291200010AB</t>
  </si>
  <si>
    <t>ISLA 10 ROBOT ABB 8536324022</t>
  </si>
  <si>
    <t>Caja MQ200 0AJ.301.103.H roh Molde nº36</t>
  </si>
  <si>
    <t>TRANSPORTADOR DESCARGA EWAB 8535823001/2</t>
  </si>
  <si>
    <t>(Sin maquina) RECOGIDA MUESTRAS LABORAT.PREVENTIVO</t>
  </si>
  <si>
    <t>Categorías: Preventivo / TPM (2)</t>
  </si>
  <si>
    <t>ELEVADOR PNEUMÁTICO CARGA/DESCARGA PIEZA</t>
  </si>
  <si>
    <t>ID2 DOSIFICADOR ACEITE ALROTEC</t>
  </si>
  <si>
    <t>HORNO REVENIDO L1H1 90089/3</t>
  </si>
  <si>
    <t>ISLA 10 CAMPANA ENERCON 6657770001</t>
  </si>
  <si>
    <t>Categorías: Otros (1); Mecanica / desgaste / rotura (1)</t>
  </si>
  <si>
    <t xml:space="preserve">(Sin maquina) </t>
  </si>
  <si>
    <t>(Sin maquina) PC Scada Central Térmica no funciona</t>
  </si>
  <si>
    <t>Central Térmica</t>
  </si>
  <si>
    <t>(Sin maquina) Cinta Ewab sin tapar</t>
  </si>
  <si>
    <t>(Sin maquina) ACTUALIZAR FECHA DE ARTIS DE TODAS MAQUI</t>
  </si>
  <si>
    <t>(Sin maquina) motnar "T" en bomba desaceitadora</t>
  </si>
  <si>
    <t>(Sin maquina) Cambiar ruedas a carro platos</t>
  </si>
  <si>
    <t>(Sin maquina) CHASIS BICI PARTIDO</t>
  </si>
  <si>
    <t>(Sin maquina) desconfiguración pather pañol</t>
  </si>
  <si>
    <t>INSTALACIONES</t>
  </si>
  <si>
    <t>(Sin maquina) Instalar GSD's y comprobar batería PG</t>
  </si>
  <si>
    <t>Secc. 486 Mantto.Instalaciones</t>
  </si>
  <si>
    <t>(Sin maquina) ARMARIO SUMA</t>
  </si>
  <si>
    <t>ASPIRACIÓN HUMOS ABSOLENT 6872628001</t>
  </si>
  <si>
    <t>ASPIRACIÓN HUMOS ABSOLENT 6872629001</t>
  </si>
  <si>
    <t>ASPIRADOR AAF 6872635001 FELSOMAT 5ª</t>
  </si>
  <si>
    <t>ASPIRADOR RINGLER PERFILADORA BURRI</t>
  </si>
  <si>
    <t>Bomba de alimentación nº2</t>
  </si>
  <si>
    <t>CABINA GRANALLADO ABRASIVO + FILTRO CICL</t>
  </si>
  <si>
    <t>Caldera de A.S.C nº1 20000/1</t>
  </si>
  <si>
    <t>EXTRACTOR SOLDADURA</t>
  </si>
  <si>
    <t>HORNO GUINEA 6875445001</t>
  </si>
  <si>
    <t>HORNO MAGNÉTICO MAGNETTEKNIK 90281/2</t>
  </si>
  <si>
    <t>INYECTORA 90442/3</t>
  </si>
  <si>
    <t>MARCADOR WETRON 7011084003</t>
  </si>
  <si>
    <t>OSCILOSCOPIO DIGITAL FLUKE</t>
  </si>
  <si>
    <t>PRENSA ENGASTADORA PERKIN ELMER</t>
  </si>
  <si>
    <t>PRENSA METALOGR REMET 90829</t>
  </si>
  <si>
    <t>REBABADORA SAMPUTENSILI 90065</t>
  </si>
  <si>
    <t>RECTIFICADORA DANOBAT 6773823002</t>
  </si>
  <si>
    <t>ROBOT UNIVERSAL 8536602044</t>
  </si>
  <si>
    <t>SATÉLITE EWAB 8536529007</t>
  </si>
  <si>
    <t>Tensiómetro interfacial, KRUSS,</t>
  </si>
  <si>
    <t>TRIDIMENSIONAL D.E.A. FUNDIC FABRICACION</t>
  </si>
  <si>
    <t>VERIFICADOR ATORNILL.SCS 8229799011</t>
  </si>
  <si>
    <t>VISUALIZADOR CARGA HBM</t>
  </si>
  <si>
    <t>(Sin maquina) Av. sonda TP-200 Nº2C1054 tridimensional</t>
  </si>
  <si>
    <t>(Sin maquina) Tirante no funciona</t>
  </si>
  <si>
    <t>BRAZO ESCANEO ROMER 8228210001</t>
  </si>
  <si>
    <t>Caja 02T.301.103 BL Molde nº1</t>
  </si>
  <si>
    <t>CarcasaMQ281 0C9.301.107.L roh Molde nº5</t>
  </si>
  <si>
    <t>HORNO INDUCCION E.F.D. 90557/1</t>
  </si>
  <si>
    <t>LAVADOR GASES QUIMIPOL.8244452001</t>
  </si>
  <si>
    <t>MICRODURÓMETRO SHIMADZU 99013</t>
  </si>
  <si>
    <t>TRANSFERIZADO EWAB 8536581001</t>
  </si>
  <si>
    <t>(Sin maquina) minitec 1ª velocidad tapa en mal estado</t>
  </si>
  <si>
    <t>Caja 02T.301.103 AE Molde nº45</t>
  </si>
  <si>
    <t>(Sin maquina) MODIFICACION MESA OFICINA</t>
  </si>
  <si>
    <t>(Sin maquina) CAMBIO DE MESAS DE MEDICION/CONTROL</t>
  </si>
  <si>
    <t>LAVADORA TRANSF EWAB BAUTERMIC 90751/L2</t>
  </si>
  <si>
    <t>(Sin maquina) cambiar actuadores de protecccion</t>
  </si>
  <si>
    <t>(Sin maquina) MODIFICACION CONTROL OVERRIDE</t>
  </si>
  <si>
    <t>(Sin maquina) Calibre interior no funciona</t>
  </si>
  <si>
    <t>(Sin maquina) RECAMBIO CODIFICADOR MOD. PROFISAFE</t>
  </si>
  <si>
    <t>(Sin maquina) CONSTRUCCION CENTRADOR LAVADORA</t>
  </si>
  <si>
    <t>FRESADORA WERA 90479</t>
  </si>
  <si>
    <t>(Sin maquina) Reparar pinchazo bicicleta</t>
  </si>
  <si>
    <t>(Sin maquina) Falta de reset con palet vacío</t>
  </si>
  <si>
    <t>(Sin maquina) CENTRADOR LAVADORA</t>
  </si>
  <si>
    <t>(Sin maquina) REUBICAR CALIBRES</t>
  </si>
  <si>
    <t>(Sin maquina) TAPAR HUECO DESAGUE LAVAMANOS</t>
  </si>
  <si>
    <t>TRANSFERIZADO EWAB 90751/02</t>
  </si>
  <si>
    <t>IS3 INGRÁVIDO GORBEL 8536578015</t>
  </si>
  <si>
    <t>DENTADORA LIEBHERR 90241 (678621004)</t>
  </si>
  <si>
    <t>(Sin maquina) INTERVENCION EN BOX CELULA</t>
  </si>
  <si>
    <t>IS2 INGRÁVIDO GORBEL 8536578020</t>
  </si>
  <si>
    <t>PUESTO CONTROL I17-285</t>
  </si>
  <si>
    <t>(Sin maquina) Enclavamiento seguridad desalineado</t>
  </si>
  <si>
    <t>(Sin maquina) AVERIA TALADRO Y RADIAL</t>
  </si>
  <si>
    <t>PUESTO CONTROL N25-908</t>
  </si>
  <si>
    <t>(Sin maquina) Armario equipo de derrames quimicos roto</t>
  </si>
  <si>
    <t>SATÉLITE EWAB 8536415001/7.2</t>
  </si>
  <si>
    <t>Caja 02T.301.103 AE Molde nº49</t>
  </si>
  <si>
    <t>IP1 LUBRICADOR ACHESON 90316</t>
  </si>
  <si>
    <t>Carcasa 02T.301.107 AF Molde nº9</t>
  </si>
  <si>
    <t>PERFILÓMETRO PETROMETER 8222783001</t>
  </si>
  <si>
    <t>(Sin maquina) REPARAR CARRO SOLDAR</t>
  </si>
  <si>
    <t>PUESTO CONTROL I22-279</t>
  </si>
  <si>
    <t>UTIL MEDIDOR V.W. 88212</t>
  </si>
  <si>
    <t>PUESTO CONTROL K27-727</t>
  </si>
  <si>
    <t>(Sin maquina) En línea 6 sustituir expresión</t>
  </si>
  <si>
    <t>CINTA TRANSPORTE MAG-EWAB 8536535007</t>
  </si>
  <si>
    <t>(Sin maquina) Contruir latiguillo hidráulico s/muestra</t>
  </si>
  <si>
    <t>TRANSFERIZADO MASA 90773/16 (90414)</t>
  </si>
  <si>
    <t>FRESADORA PRAWEMA 90372</t>
  </si>
  <si>
    <t>DOSIFICADOR METALFLOW 99009</t>
  </si>
  <si>
    <t>ESTACIÓN TRASV. HOFFMANN 6773939005/1</t>
  </si>
  <si>
    <t>ROBOT KUKA 8536349003</t>
  </si>
  <si>
    <t>IS4 DOSIFICADOR ACEITE ALROTEC</t>
  </si>
  <si>
    <t>CAUDALIMETRO DIGITAL FUGOTEST</t>
  </si>
  <si>
    <t>ARMARIO COMUN.ELECPROY 8536325004/1</t>
  </si>
  <si>
    <t>Microscopio Metalográfico, NIKON eclipse</t>
  </si>
  <si>
    <t>ATEMPERADOR THERMOBIEHL 6766901002/1</t>
  </si>
  <si>
    <t>EMISOR VIBRACIONES PCB 819441/01</t>
  </si>
  <si>
    <t>ROBOT KUKA 8536346007</t>
  </si>
  <si>
    <t>(Sin maquina) Reparar Porta-Herramientas</t>
  </si>
  <si>
    <t>BROCHADORA KARL KLINK 90226(66407)</t>
  </si>
  <si>
    <t>(Sin maquina) Caja suelta del soporte</t>
  </si>
  <si>
    <t>HORNO INDUCCION E.F.D. 90418/2</t>
  </si>
  <si>
    <t>PUESTO CONTROL O18-707</t>
  </si>
  <si>
    <t>PUESTO CONTROL J26-805</t>
  </si>
  <si>
    <t>PUESTO CONTROL M19-232</t>
  </si>
  <si>
    <t>(Sin maquina) Impresora Suma no funciona bien</t>
  </si>
  <si>
    <t>TRANSFERIZADOEWAB 90776/1.12(6786915002)</t>
  </si>
  <si>
    <t>TRANS. ROTZINGER 90758/32</t>
  </si>
  <si>
    <t>(Sin maquina) acondicionar mesa medicion vincos</t>
  </si>
  <si>
    <t>(Sin maquina) acondicionar box</t>
  </si>
  <si>
    <t>(Sin maquina) CONSTRUIR PROTECTOR METALICO Y COLOCACIO</t>
  </si>
  <si>
    <t>(Sin maquina) SALA MEDICION 1</t>
  </si>
  <si>
    <t>(Sin maquina) recoger muestras aceite</t>
  </si>
  <si>
    <t>PUESTO CONTROL L26-178</t>
  </si>
  <si>
    <t>PUESTO CONTROL K26-289</t>
  </si>
  <si>
    <t>ATEMPERADOR THERMOBIEHL 6766111001/2</t>
  </si>
  <si>
    <t>TRANSFERIZADO EWAB 8536416002</t>
  </si>
  <si>
    <t>(Sin maquina) tomar y llevar muestras a laboratorio</t>
  </si>
  <si>
    <t>(Sin maquina) REPARAR CAPTOS</t>
  </si>
  <si>
    <t>(Sin maquina) construccion soporte</t>
  </si>
  <si>
    <t>(Sin maquina) METACRILATO</t>
  </si>
  <si>
    <t>(Sin maquina) PALES</t>
  </si>
  <si>
    <t>(Sin maquina) ACONDICIONAR Y PINTAR</t>
  </si>
  <si>
    <t>ATEMPERADORES REVISION PREVENTIVO 52 uds</t>
  </si>
  <si>
    <t>TRANSFERIZADO EWAB 90768/4.2</t>
  </si>
  <si>
    <t>(Sin maquina) Desincronización de palets en vacío.</t>
  </si>
  <si>
    <t>Carcasa 0AH.301.107 F Molde nº2</t>
  </si>
  <si>
    <t>(Sin maquina) SISTEMA DE SOPLADO</t>
  </si>
  <si>
    <t>INYECTORA 90442/4</t>
  </si>
  <si>
    <t>(Sin maquina) COLOCACION GOMA PROTECTORA</t>
  </si>
  <si>
    <t>HORNO DE COLADA WESTOFEN 90311/1</t>
  </si>
  <si>
    <t>(Sin maquina) PINTAR MESAS DE CONTROL</t>
  </si>
  <si>
    <t>(Sin maquina) CONSTRUCCION PARA GOLPES</t>
  </si>
  <si>
    <t>(Sin maquina) Impresora Suma no tiene Toner</t>
  </si>
  <si>
    <t>Balanza digital , SARTORIUS BL 3100</t>
  </si>
  <si>
    <t>Caja 02T.301.103 BL Molde nº2</t>
  </si>
  <si>
    <t>COMPROBADORA KLINGELNBERG P26 90822</t>
  </si>
  <si>
    <t>(Sin maquina) REPARAR PALES</t>
  </si>
  <si>
    <t>Carcasa 0AF.301.107 E Molde nº1</t>
  </si>
  <si>
    <t>PUESTO CONTROL M17-713</t>
  </si>
  <si>
    <t>RECTIFICADORA DANOBAT 6773809002</t>
  </si>
  <si>
    <t>(Sin maquina) isla -4</t>
  </si>
  <si>
    <t>PUESTO CONTROL I19-940</t>
  </si>
  <si>
    <t>(Sin maquina) isla-1</t>
  </si>
  <si>
    <t>PUESTO CONTROL I19-351</t>
  </si>
  <si>
    <t>PUESTO CONTROL P23-193</t>
  </si>
  <si>
    <t>CENTRO MECANIZ. GROB 90525(6780981003)</t>
  </si>
  <si>
    <t>CENTRO MECANIZ. GROB 90621(6780981024)</t>
  </si>
  <si>
    <t>CENTRO MECANIZ. GROB 90542(6780981020)</t>
  </si>
  <si>
    <t>ESTEREOSCOPIO LEICA MZ125</t>
  </si>
  <si>
    <t>Carcasa 0DQ.301.107.C Molde nº7</t>
  </si>
  <si>
    <t>Caja 02T.301.103 AE Molde nº47</t>
  </si>
  <si>
    <t>PUESTO CONTROL J19-082</t>
  </si>
  <si>
    <t>ATEMPERADOR THERMOBIEHL 6766901002/4</t>
  </si>
  <si>
    <t>PUESTO CONTROL I26-269</t>
  </si>
  <si>
    <t>PUESTO CONTROL N28-337</t>
  </si>
  <si>
    <t>(Sin maquina) Pinzas de almacen defectuosas linea 4</t>
  </si>
  <si>
    <t>ESTUFA DIGITRONIC SELECTA</t>
  </si>
  <si>
    <t>PUESTO CONTROL F19-129</t>
  </si>
  <si>
    <t>PATERNOSTER KARDEX 7099132001</t>
  </si>
  <si>
    <t>(Sin maquina) Fallo tope cruce M4</t>
  </si>
  <si>
    <t>Carcasa 02T.301.107 AD Molde nº1</t>
  </si>
  <si>
    <t>GRUPO SECADO SALA MEDICION 2</t>
  </si>
  <si>
    <t>(Sin maquina) anomalia pinza Noris</t>
  </si>
  <si>
    <t>TRANSFERIZADO EWAB 90782/1.10</t>
  </si>
  <si>
    <t>DUROMETRO INDENTEC 889405/06</t>
  </si>
  <si>
    <t>PUESTO CONTROL B18-204</t>
  </si>
  <si>
    <t>TRANSFERIZADO MASA 90758/49</t>
  </si>
  <si>
    <t>(Sin maquina) Fallo conexión a red.</t>
  </si>
  <si>
    <t>TRANSFERIZADO EWAB 90782/3.3</t>
  </si>
  <si>
    <t>PUESTO CONTROL E20-200</t>
  </si>
  <si>
    <t>ATEMPERADOR THERMOBIEHL 6766901009/4</t>
  </si>
  <si>
    <t>(Sin maquina) fallo iluminación puesto control</t>
  </si>
  <si>
    <t>AUTOMATIZ.CARGA/DESCA.EJES 6761067001/1</t>
  </si>
  <si>
    <t>INYECTORA 90442/2</t>
  </si>
  <si>
    <t>PUESTO CONTROL C18-001</t>
  </si>
  <si>
    <t>SATÉLITE EWAB 8536415001/11-2</t>
  </si>
  <si>
    <t>Caja MQ281 0C9.301.103.H roh Molde nº4</t>
  </si>
  <si>
    <t>(Sin maquina) COLOCAR PROTECCIONES BARRAS</t>
  </si>
  <si>
    <t>PATERNOSTER KARDEX 7099123009</t>
  </si>
  <si>
    <t>PUESTO CONTROL N26-167</t>
  </si>
  <si>
    <t>(Sin maquina) desplegable de pantalla sin texto</t>
  </si>
  <si>
    <t>PUESTO CONTROL N24-732</t>
  </si>
  <si>
    <t>TRANSFERIZADO EWAB 90768/4.5</t>
  </si>
  <si>
    <t>TRANSFERIZADO MASA 90763/1</t>
  </si>
  <si>
    <t>IS2 ROBOT ABB 8536390008</t>
  </si>
  <si>
    <t>PUESTO CONTROL C17-009</t>
  </si>
  <si>
    <t>PUESTO CONTROL D16-202</t>
  </si>
  <si>
    <t>TRANSFERIZADO MASA 90773/13 (90205)</t>
  </si>
  <si>
    <t>(Sin maquina) Descarga 1, fuga neumática</t>
  </si>
  <si>
    <t>CADENA VIRUTA KNOLL 8536525033</t>
  </si>
  <si>
    <t>ESTACION INSPECCION VISUAL</t>
  </si>
  <si>
    <t>Secc.Conjunto diferencial</t>
  </si>
  <si>
    <t>(Sin maquina) con señal presente sin palet</t>
  </si>
  <si>
    <t>(Sin maquina) Ruedas rotas Mastermover</t>
  </si>
  <si>
    <t>(Sin maquina) Configurar impresora SuMa torneado</t>
  </si>
  <si>
    <t>(Sin maquina) Tapa portapistón en mal estado isla 5</t>
  </si>
  <si>
    <t>MICRODURÓMETRO 8221148003</t>
  </si>
  <si>
    <t>TRANSFERIZADO MASA 90763/08</t>
  </si>
  <si>
    <t>IS2 DOSIFICADOR ACEITE ALROTEC</t>
  </si>
  <si>
    <t>ATEMPERADOR THERMOBIEHL 6766901007/6</t>
  </si>
  <si>
    <t>TRANSFERIZADO MASA 90766/6(90152)</t>
  </si>
  <si>
    <t>ATEMPERADOR THERMOBIEHL 6766111002/4</t>
  </si>
  <si>
    <t>Caja MQ200 0AJ.301.103.H roh Molde nº38</t>
  </si>
  <si>
    <t>CONTROL VISIÓN GEHRING 90013/90270</t>
  </si>
  <si>
    <t>TRANSFERIZADO EWAB 8536584002</t>
  </si>
  <si>
    <t>(Sin maquina) TPM-R Sanear cable transpalet SUMA</t>
  </si>
  <si>
    <t>(Sin maquina) colaboracion ejes negro mq281</t>
  </si>
  <si>
    <t>TRANSFERIZADO EWAB 90751/04</t>
  </si>
  <si>
    <t>ATEMPERADOR THERMOBIEHL 6766111001/1</t>
  </si>
  <si>
    <t>PRENSA HIDRÁU.HIDROGARNE 6761082002</t>
  </si>
  <si>
    <t>EQUIPO TRANSV.ACEITE MDFiltri 6649525001</t>
  </si>
  <si>
    <t>Caja MQ281 0C9.301.103.H roh Molde nº8</t>
  </si>
  <si>
    <t>MEDIDOR GROB-ICD 90394 (665-11)</t>
  </si>
  <si>
    <t>(Sin maquina) MI</t>
  </si>
  <si>
    <t>MEDIDOR DE ALTURAS MICROHITE 8222738001</t>
  </si>
  <si>
    <t>Caja MQ200 0AJ.301.103.H roh Molde nº33</t>
  </si>
  <si>
    <t>AFEITADORA HURTH 90284</t>
  </si>
  <si>
    <t>CUBA DRAGA OMSAT 88955</t>
  </si>
  <si>
    <t>(Sin maquina) ISLA-6 FUGA AGUA COLECTOR CAUDALÍMETROS</t>
  </si>
  <si>
    <t>SIERRA DE CINTA 6788409008</t>
  </si>
  <si>
    <t>(Sin maquina) PERSIANA ROTA</t>
  </si>
  <si>
    <t>(Sin maquina) TPM-R 219180 construir vastagos</t>
  </si>
  <si>
    <t>LIJADORA FEMI 6796934001</t>
  </si>
  <si>
    <t>ISLA 6 DOSIFICADOR ACEITE ALROTEC</t>
  </si>
  <si>
    <t>ISLA 8 CAMPANA ENERCON 6657735001</t>
  </si>
  <si>
    <t>SATÉLITE EWAB 8536415001/11-1</t>
  </si>
  <si>
    <t>(Sin maquina) TPM-R 219217 Construir boca conexión</t>
  </si>
  <si>
    <t>TRANSFERIZADO EWAB 8536584003</t>
  </si>
  <si>
    <t>AFILADORA DECKEL 6772608001</t>
  </si>
  <si>
    <t>(Sin maquina) ISLA-9 TOMA TIERRA CAMARA INYECCIÓN</t>
  </si>
  <si>
    <t>PUESTO CONTROL I25-268</t>
  </si>
  <si>
    <t>(Sin maquina) TPM-R 219803 No funciona iluminación</t>
  </si>
  <si>
    <t>SATÉLITE EWAB 8536415001/3.2</t>
  </si>
  <si>
    <t>PUESTO CONTROL N27-916</t>
  </si>
  <si>
    <t>ROBOT ABB REISHAUER 6773940001</t>
  </si>
  <si>
    <t>ISLA 5 CAMPANA ENERCON 6657734005</t>
  </si>
  <si>
    <t>TRANSFERIZADO EWAB 90776/1.7</t>
  </si>
  <si>
    <t>(Sin maquina) Tope Ewab no abre con carga de palets</t>
  </si>
  <si>
    <t>(Sin maquina) Comprobar centradores apoyo pieza</t>
  </si>
  <si>
    <t>TRANSFERIZADO EWAB 8536413001/2.5</t>
  </si>
  <si>
    <t>(Sin maquina) TPM-R 219864 Reparación captos</t>
  </si>
  <si>
    <t>(Sin maquina) TPM-R Cambio pilas comparadores</t>
  </si>
  <si>
    <t>ISLA 2 LUBRIFICADOR WOLLIN 6877206002</t>
  </si>
  <si>
    <t>(Sin maquina) EXTRAER ACEITE HIDRAULICO</t>
  </si>
  <si>
    <t>(Sin maquina) TPM-R 219875 Carro bloqueado en elevador</t>
  </si>
  <si>
    <t>MEDIDOR MULTIS.OPTICO ZEISS 8222494002</t>
  </si>
  <si>
    <t>(Sin maquina) PROBLEMAS ORDENADOR IMPRESORA</t>
  </si>
  <si>
    <t>MARCADOR LÁSER WORKSTATION LWI</t>
  </si>
  <si>
    <t>ESTACION TRASVASE HOFFMANN 6773940009/1</t>
  </si>
  <si>
    <t>(Sin maquina) TPM-R 219898 cambiar pila comparador</t>
  </si>
  <si>
    <t>ISLA 9 LUBRIFICADOR AED AUTOMATION 67669</t>
  </si>
  <si>
    <t>RUGOSIMETRO MITUTOYO 817458/01</t>
  </si>
  <si>
    <t>SATÉLITE EWAB 8536414001/1.6</t>
  </si>
  <si>
    <t>DESINTEGRADORA ERMOBIL 6867136001</t>
  </si>
  <si>
    <t>(Sin maquina) instalar balizas</t>
  </si>
  <si>
    <t>TRANSFERIZADOEWAB 90776/1.15(6868213003)</t>
  </si>
  <si>
    <t>TRANSFERIZADOEWAB 90776/1.11(6773420003)</t>
  </si>
  <si>
    <t>(Sin maquina) Tope 2S50 no abre</t>
  </si>
  <si>
    <t>(Sin maquina) RUEDA CARRO CONJUNTO DIFERENCIAL</t>
  </si>
  <si>
    <t>(Sin maquina) PC Scada Térmica no arranca</t>
  </si>
  <si>
    <t>TRANSFERIZADO EWAB 90776/1.10</t>
  </si>
  <si>
    <t>TORNO VERTICAL FAMAR 6782935006</t>
  </si>
  <si>
    <t>(Sin maquina) Acondicionar cables EWAB</t>
  </si>
  <si>
    <t>MEDICION COORD.NANOFOCUS 8222485004</t>
  </si>
  <si>
    <t>(Sin maquina) limpieza camaras</t>
  </si>
  <si>
    <t>(Sin maquina) Transf. motor potro salida 1ª vel (H15)</t>
  </si>
  <si>
    <t>(Sin maquina) Puesto de control NOK G16-1303</t>
  </si>
  <si>
    <t>TRANSFERIZADO EWAB 8536584006</t>
  </si>
  <si>
    <t>(Sin maquina) SOBREESFUERZO TRANSPORTADOR DE VIRUTA</t>
  </si>
  <si>
    <t>POTRO Nº32</t>
  </si>
  <si>
    <t>(Sin maquina) SUSTITUIR GRIFO LAVA MANOS</t>
  </si>
  <si>
    <t>(Sin maquina) Error de programa (DEA3)</t>
  </si>
  <si>
    <t>(Sin maquina) Batería baja mesa de medición G16-1303</t>
  </si>
  <si>
    <t>(Sin maquina) Fallos continuos mesa giratoria zona tap</t>
  </si>
  <si>
    <t>Caja 0AJ.301.103.H Molde nº30</t>
  </si>
  <si>
    <t>(Sin maquina) Luces azules de preaviso no funcionan</t>
  </si>
  <si>
    <t>ID10 DOSIFICADOR ACEITE ALROTEC</t>
  </si>
  <si>
    <t>(Sin maquina) Colocar interruptor iluminación</t>
  </si>
  <si>
    <t>CARRO Nº100</t>
  </si>
  <si>
    <t>(Sin maquina) Piezas marcadas en casquillo de 12</t>
  </si>
  <si>
    <t>LAVADERO MOLDES</t>
  </si>
  <si>
    <t>ATEMPERADOR THERMOBIEHL 6766901007/5</t>
  </si>
  <si>
    <t>ASPIRACIÓN HUMOS ABSOLENT 6872627001</t>
  </si>
  <si>
    <t>DOSIFICADOR METALFLOW 99010</t>
  </si>
  <si>
    <t>ISLA 2 ROBOT ABB 8536390008</t>
  </si>
  <si>
    <t>(Sin maquina) Limpiar charco aceite columna O23</t>
  </si>
  <si>
    <t>ISLA 1 INGRAVIDO GORBEL 8536578019</t>
  </si>
  <si>
    <t>ISLA 3 INGRAVIDO GORBEL 8536578015</t>
  </si>
  <si>
    <t>ISLA 9 INGRAVIDO GORBEL 8536578022</t>
  </si>
  <si>
    <t>ISLA 10 INGRÁVIDO GORBEL 8536578014</t>
  </si>
  <si>
    <t>(Sin maquina) Si interrup. ciclo, tirar piezas en auto</t>
  </si>
  <si>
    <t>POTRO Nº84</t>
  </si>
  <si>
    <t>MEB ECO oficial | E productos</t>
  </si>
  <si>
    <t>Esta hoja manda sobre cruces automáticos. Total crítico confirmado: 75 activos.</t>
  </si>
  <si>
    <t>Programa</t>
  </si>
  <si>
    <t>Proceso</t>
  </si>
  <si>
    <t>Tipo activo crítico</t>
  </si>
  <si>
    <t>Total crítico confirmado</t>
  </si>
  <si>
    <t>Identificados en ficheros</t>
  </si>
  <si>
    <t>Pendientes inventario exacto</t>
  </si>
  <si>
    <t>Estado trazabilidad</t>
  </si>
  <si>
    <t>MEB ECO</t>
  </si>
  <si>
    <t>MEB ECO detalle trazable</t>
  </si>
  <si>
    <t>Registros disponibles del fichero. Los faltantes del control oficial no se inventan.</t>
  </si>
  <si>
    <t>Inventario / Activo</t>
  </si>
  <si>
    <t>Fabricante</t>
  </si>
  <si>
    <t>Modelo</t>
  </si>
  <si>
    <t>Grupo / Ubicación</t>
  </si>
  <si>
    <t>Año</t>
  </si>
  <si>
    <t>Tecnología</t>
  </si>
  <si>
    <t>Comentario / carga</t>
  </si>
  <si>
    <t>Fuente producto</t>
  </si>
  <si>
    <t>THYSSENKRUPP</t>
  </si>
  <si>
    <t>LINEA MANGUETAS</t>
  </si>
  <si>
    <t>ORBITA</t>
  </si>
  <si>
    <t>LINEA MONTAJE DIFERENCIAL MEB ECO</t>
  </si>
  <si>
    <t>CPU 1517-3 F PN</t>
  </si>
  <si>
    <t>DSA</t>
  </si>
  <si>
    <t>LINEA EBOX</t>
  </si>
  <si>
    <t>IBERFLUID</t>
  </si>
  <si>
    <t>LINEA KMM</t>
  </si>
  <si>
    <t>REISHAUER</t>
  </si>
  <si>
    <t>Crítica A1 por criterio negocio</t>
  </si>
  <si>
    <t>100.1 h; 74 avisos</t>
  </si>
  <si>
    <t>50.8 h; 79 avisos</t>
  </si>
  <si>
    <t>Montaje completo | MQ-200, MQ-281 y MEB ECO</t>
  </si>
  <si>
    <t>Todas las filas del fichero de montaje clasificadas. No todas equivalen a estación crítica activa.</t>
  </si>
  <si>
    <t>Inventario</t>
  </si>
  <si>
    <t>Inventario antiguo</t>
  </si>
  <si>
    <t>Grupo</t>
  </si>
  <si>
    <t>Regla producto</t>
  </si>
  <si>
    <t>7016420001/215H-90410/215H</t>
  </si>
  <si>
    <t>Convencional</t>
  </si>
  <si>
    <t>KRAUSE</t>
  </si>
  <si>
    <t>-------------------------</t>
  </si>
  <si>
    <t>63425</t>
  </si>
  <si>
    <t>PLC</t>
  </si>
  <si>
    <t>7016420001/230H-90410/230H</t>
  </si>
  <si>
    <t>7016420001/240H-90410/240H</t>
  </si>
  <si>
    <t>7016420001/220A-90410/220A</t>
  </si>
  <si>
    <t>7016420001/150H-90410/150H</t>
  </si>
  <si>
    <t>7016420001/160A-90410/160A</t>
  </si>
  <si>
    <t>7016420001/20H-90410/20H</t>
  </si>
  <si>
    <t>7016420001/30H-90410/30H</t>
  </si>
  <si>
    <t>7016420001/40H-90410/40H</t>
  </si>
  <si>
    <t>7016420001/50H-90410/50H</t>
  </si>
  <si>
    <t>7016420001/60A-90410/60A</t>
  </si>
  <si>
    <t>PLC-CNC</t>
  </si>
  <si>
    <t>7016420001/70H-90410/70H</t>
  </si>
  <si>
    <t>------------------------</t>
  </si>
  <si>
    <t>7016420001/90H-90410/90H</t>
  </si>
  <si>
    <t>7016420001/100H-90410/100H</t>
  </si>
  <si>
    <t>7016420001/120H-90410/120H</t>
  </si>
  <si>
    <t>7016420001/200H-90410/200H</t>
  </si>
  <si>
    <t>PLC-PC</t>
  </si>
  <si>
    <t>7016420001/250A-90410/250A</t>
  </si>
  <si>
    <t>7016420001/600H-90410/600H</t>
  </si>
  <si>
    <t>7016420001/300A-90410/300A</t>
  </si>
  <si>
    <t>7016420001/140H-90410/140H</t>
  </si>
  <si>
    <t>7016420001/35H-90410/35H</t>
  </si>
  <si>
    <t>7016420001/350A-90410/350A</t>
  </si>
  <si>
    <t>7016420001/380H-90410/380H</t>
  </si>
  <si>
    <t>7016420001/390H-90410/390H</t>
  </si>
  <si>
    <t>7016420001/400H-90410/400H</t>
  </si>
  <si>
    <t>7016420001/410A-90410/410A</t>
  </si>
  <si>
    <t>7016420001/VK1-90410/VK1</t>
  </si>
  <si>
    <t>7016420001/VK2-90410/VK2</t>
  </si>
  <si>
    <t>7016420001/270H-90410/270H</t>
  </si>
  <si>
    <t>7016420001/340H-90410/340H</t>
  </si>
  <si>
    <t>CNC</t>
  </si>
  <si>
    <t>7016420001/520A-90410/520A</t>
  </si>
  <si>
    <t>7016420001/570A-90410/570A</t>
  </si>
  <si>
    <t>7016420001/190A-90410/190A</t>
  </si>
  <si>
    <t>7016420001/440A-90410/440A</t>
  </si>
  <si>
    <t>7016420001/580H-90410/580H</t>
  </si>
  <si>
    <t>7016420001/560A-90410/560A</t>
  </si>
  <si>
    <t>PC</t>
  </si>
  <si>
    <t>7016420001/550H-90410/550H</t>
  </si>
  <si>
    <t>7016420001/430H-90410/430H</t>
  </si>
  <si>
    <t>---------</t>
  </si>
  <si>
    <t>7016420001-90410</t>
  </si>
  <si>
    <t>7016420001/290H-90410/290H</t>
  </si>
  <si>
    <t>7016420001/415H-90410/415H</t>
  </si>
  <si>
    <t>7016420001/450H-90410/450H</t>
  </si>
  <si>
    <t>7016420001/45H-90410/45H</t>
  </si>
  <si>
    <t>7016420001/195H-90410/195H</t>
  </si>
  <si>
    <t>7016420001/310H-90410/310H</t>
  </si>
  <si>
    <t>7016420001/370H-90410/370H</t>
  </si>
  <si>
    <t>7016420002/420H-90510/420H</t>
  </si>
  <si>
    <t>63430</t>
  </si>
  <si>
    <t>7016420002/430H-90510/430H</t>
  </si>
  <si>
    <t>7016420002/515H-90510/517H</t>
  </si>
  <si>
    <t>SAMSOMATIC</t>
  </si>
  <si>
    <t>7016420002/BDE-90510/BDE</t>
  </si>
  <si>
    <t>7016420002/560A-90510/560A</t>
  </si>
  <si>
    <t>7016420002/550H-90510/550H</t>
  </si>
  <si>
    <t>7016420002/700H-90510/700H</t>
  </si>
  <si>
    <t>?????</t>
  </si>
  <si>
    <t>7016420002/PALET-90510/PALET</t>
  </si>
  <si>
    <t>7016420002-90510</t>
  </si>
  <si>
    <t>7016420002/VK1-90510/VK1</t>
  </si>
  <si>
    <t>7016420002/VK2-90510/VK2</t>
  </si>
  <si>
    <t>7016420002/VK3-90510/VK3</t>
  </si>
  <si>
    <t>7016420002/415H-90510/415H</t>
  </si>
  <si>
    <t>7016420002/10H-90510/10H</t>
  </si>
  <si>
    <t>7016420002/20H-90510/20H</t>
  </si>
  <si>
    <t>7016420002/30H-90510/30H</t>
  </si>
  <si>
    <t>7016420002/35H-90510/35H</t>
  </si>
  <si>
    <t>7016420002/40H-90510/40H</t>
  </si>
  <si>
    <t>7016420002/45H-90510/45H</t>
  </si>
  <si>
    <t>7016420002/50H-90510/50H</t>
  </si>
  <si>
    <t>7016420002/60A-90510/60A</t>
  </si>
  <si>
    <t>7016420002/70H-90510/70H</t>
  </si>
  <si>
    <t>7016420002/90H-90510/90H</t>
  </si>
  <si>
    <t>7016420002/100H-90510/100H</t>
  </si>
  <si>
    <t>7016420002/120H-90510/120H</t>
  </si>
  <si>
    <t>7016420002/200H-90510/200H</t>
  </si>
  <si>
    <t>7016420002/220A-90510/220A</t>
  </si>
  <si>
    <t>7016420002/230H-90510/230H</t>
  </si>
  <si>
    <t>7016420002/240H-90510/240H</t>
  </si>
  <si>
    <t>7016420002/250A-90510/250A</t>
  </si>
  <si>
    <t>7016420002/280A-90510/280A</t>
  </si>
  <si>
    <t>7016420002/285A-90510/285A</t>
  </si>
  <si>
    <t>7016420002/300A-90510/300A</t>
  </si>
  <si>
    <t>7016420002/140H-90510/140H</t>
  </si>
  <si>
    <t>7016420002/160A-90510/160A</t>
  </si>
  <si>
    <t>7016420002/150H-90510/150H</t>
  </si>
  <si>
    <t>7016420002/270H-90510/270H</t>
  </si>
  <si>
    <t>7016420002/350A-90510/350A</t>
  </si>
  <si>
    <t>7016420002/380H-90510/380H</t>
  </si>
  <si>
    <t>7016420002/390H-90510/390H</t>
  </si>
  <si>
    <t>7016420002/400H-90510/400H</t>
  </si>
  <si>
    <t>7016420002/410A-90510/410A</t>
  </si>
  <si>
    <t>7016420002/440A-90510/440A</t>
  </si>
  <si>
    <t>7016420002/450H-90510/450H</t>
  </si>
  <si>
    <t>7016420002/450H/1-90510/450H/1</t>
  </si>
  <si>
    <t>BKW</t>
  </si>
  <si>
    <t>REL</t>
  </si>
  <si>
    <t>7016420002/450H/2-90510/450H/2</t>
  </si>
  <si>
    <t>7016420002/520A-90510/520A</t>
  </si>
  <si>
    <t>7016420002/580H-90510/580H</t>
  </si>
  <si>
    <t>7016420002/570A-90510/570A</t>
  </si>
  <si>
    <t>7016420002/190A-90510/190A</t>
  </si>
  <si>
    <t>7016420002/H1-90510/H1</t>
  </si>
  <si>
    <t>7016420002/H2-90510/H2</t>
  </si>
  <si>
    <t>7016420002/H3-90510/H3</t>
  </si>
  <si>
    <t>7016420002/H4-90510/H4</t>
  </si>
  <si>
    <t>7016420002/VK-90510/VK</t>
  </si>
  <si>
    <t>7016420002/195H-90510/195H</t>
  </si>
  <si>
    <t>7016420002/310H-90510/310H</t>
  </si>
  <si>
    <t>7016420002/370H-90510/370H</t>
  </si>
  <si>
    <t>7016420001/33H-90410/33H</t>
  </si>
  <si>
    <t>7016420001/H5-90410/H5</t>
  </si>
  <si>
    <t>7016420001/25H-90410/25H</t>
  </si>
  <si>
    <t>7016420001/170H-90410/170H</t>
  </si>
  <si>
    <t>7016420001/180H-90410/180H</t>
  </si>
  <si>
    <t>7016420001/225A-90410/225A</t>
  </si>
  <si>
    <t>7016420001/280A-90410/280A</t>
  </si>
  <si>
    <t>7016420001/320A-90410/320A</t>
  </si>
  <si>
    <t>7016420001/330H-90410/330H</t>
  </si>
  <si>
    <t>7016420001/375H-90410/375H</t>
  </si>
  <si>
    <t>7016420002/170H-90510/170H</t>
  </si>
  <si>
    <t>7016420002/145H-90510/145H</t>
  </si>
  <si>
    <t>7016420002/H5-90510/H5</t>
  </si>
  <si>
    <t>7016420002/180H-90510/180H</t>
  </si>
  <si>
    <t>7016420002/320A-90510/320A</t>
  </si>
  <si>
    <t>7016420002/330H-90510/330H</t>
  </si>
  <si>
    <t>7016420002/255A-90510/255A</t>
  </si>
  <si>
    <t>7016420002/435A-90510/435A</t>
  </si>
  <si>
    <t>S7-300</t>
  </si>
  <si>
    <t>7016420002/515A-90510/515A</t>
  </si>
  <si>
    <t>7016420002/530A-90510/530A</t>
  </si>
  <si>
    <t>FSA</t>
  </si>
  <si>
    <t>PLC317PN</t>
  </si>
  <si>
    <t>7016420002/130A-90510/130A</t>
  </si>
  <si>
    <t>GIMCAS</t>
  </si>
  <si>
    <t>PLC317</t>
  </si>
  <si>
    <t>7016420001/412H-90410/412H</t>
  </si>
  <si>
    <t>IPC477E</t>
  </si>
  <si>
    <t>KRAUSE/EDAINPRO</t>
  </si>
  <si>
    <t>KUKA</t>
  </si>
  <si>
    <t>KR 210 R2700-2</t>
  </si>
  <si>
    <t>SCHMID</t>
  </si>
  <si>
    <t>35605A000C/2.035</t>
  </si>
  <si>
    <t>35605A000C/1.036</t>
  </si>
  <si>
    <t>35605A000C/1.037</t>
  </si>
  <si>
    <t>35605A000C/1.038</t>
  </si>
  <si>
    <t>35605A000C/1.039</t>
  </si>
  <si>
    <t>35605A000C/1.051</t>
  </si>
  <si>
    <t>35605A000C/2.052</t>
  </si>
  <si>
    <t>35605A000C/1.054</t>
  </si>
  <si>
    <t>Histórico de paros completo</t>
  </si>
  <si>
    <t>Totalizador de paros sin reasignaciones de producto no verificadas.</t>
  </si>
  <si>
    <t>Máquina</t>
  </si>
  <si>
    <t>Ubicación principal</t>
  </si>
  <si>
    <t>Horas paro</t>
  </si>
  <si>
    <t>Minutos paro</t>
  </si>
  <si>
    <t>Registros</t>
  </si>
  <si>
    <t>Registros P=X</t>
  </si>
  <si>
    <t>% P=X</t>
  </si>
  <si>
    <t>Media min/reg</t>
  </si>
  <si>
    <t>Máx min paro</t>
  </si>
  <si>
    <t>Categorías principales</t>
  </si>
  <si>
    <t>Comentarios frecuentes</t>
  </si>
  <si>
    <t>Años</t>
  </si>
  <si>
    <t>Otros (167); Neumatica / aire (93); Robot / carga / manipulacion (48)</t>
  </si>
  <si>
    <t>perdida de vacio (17); problemas de vacio (9); fallo vacio (8)</t>
  </si>
  <si>
    <t>2022, 2023, 2024, 2025, 2026</t>
  </si>
  <si>
    <t>Granalla (129); Electrico / PLC / PC / comunicacion (17); Robot / carga / manipulacion (16)</t>
  </si>
  <si>
    <t>mesa no gira (5); mesa clavada (4); fuga de granalla (4)</t>
  </si>
  <si>
    <t>Otros (31); Robot / carga / manipulacion (28); Mecanica / desgaste / rotura (24)</t>
  </si>
  <si>
    <t>anomalia pales almacen de carga (2); tpm 41001 (2); al cortar tension torre se descuelga (1)</t>
  </si>
  <si>
    <t>Mecanica / desgaste / rotura (61); Robot / carga / manipulacion (29); Calidad / medicion / proceso (16)</t>
  </si>
  <si>
    <t>mal mecanizado. (6); mal mecanizado (5); no referencia eje v (3)</t>
  </si>
  <si>
    <t>Granalla (38); Robot / carga / manipulacion (6); Neumatica / aire (3)</t>
  </si>
  <si>
    <t>averia alju automatica (3); tambor no gira (2); fallo cilindro (2)</t>
  </si>
  <si>
    <t>Otros (72); Robot / carga / manipulacion (22); Calidad / medicion / proceso (20)</t>
  </si>
  <si>
    <t>averia contrasoporte (3); mal mecanizado (3); mala calidad (2)</t>
  </si>
  <si>
    <t>Robot / carga / manipulacion (51); Mecanica / desgaste / rotura (29); Otros (28)</t>
  </si>
  <si>
    <t>avería giro cargador (3); cargador tira las piezas (3); colisión cargador (2)</t>
  </si>
  <si>
    <t>Otros (57); Electrico / PLC / PC / comunicacion (12); Robot / carga / manipulacion (8)</t>
  </si>
  <si>
    <t>no arranca pc (3); falla luz puesto control (1); plato 2 anulado no descarga una pieza. (1)</t>
  </si>
  <si>
    <t>Otros (10); Hidraulica / aceite (8); Seguridad / puertas / protecciones (6)</t>
  </si>
  <si>
    <t>anomalia apertura puerta operador (1); eje my vigilancia posicion (1); tpm-r 213806 fuga de aceite (1)</t>
  </si>
  <si>
    <t>2022, 2023, 2024, 2025</t>
  </si>
  <si>
    <t>Otros (48); Calidad / medicion / proceso (20); Mecanica / desgaste / rotura (17)</t>
  </si>
  <si>
    <t>fuga neumatica (3); roturas de muela (2); rotura muela (2)</t>
  </si>
  <si>
    <t>Otros (120); Mecanica / desgaste / rotura (29); Robot / carga / manipulacion (25)</t>
  </si>
  <si>
    <t>no funciona marcador láser (3); reparar nido (alabeo) (2); reparar nido (2)</t>
  </si>
  <si>
    <t>Otros (65); Robot / carga / manipulacion (47); Mecanica / desgaste / rotura (12)</t>
  </si>
  <si>
    <t>avería cargador (4); fallo virutero (3); fallo cargador (3)</t>
  </si>
  <si>
    <t>Otros (21); Preventivo / TPM (9); Calidad / medicion / proceso (5)</t>
  </si>
  <si>
    <t>tpm 41014 (2); laser no graba (2); cambio boquillas soplado (1)</t>
  </si>
  <si>
    <t>Robot / carga / manipulacion (68); Otros (37); Hidraulica / aceite (11)</t>
  </si>
  <si>
    <t>cargador tira las piezas (5); fallo cargador (3); colisión cargador (2)</t>
  </si>
  <si>
    <t>Mecanica / desgaste / rotura (39); Robot / carga / manipulacion (34); Calidad / medicion / proceso (14)</t>
  </si>
  <si>
    <t>mal mecanizado (5); mal mecanizado. (4); colisión cargador circular. (3)</t>
  </si>
  <si>
    <t>Otros (32); Calidad / medicion / proceso (15); Robot / carga / manipulacion (9)</t>
  </si>
  <si>
    <t>mal mecanizado (3); fuga de aceite (2); fallo abb (2)</t>
  </si>
  <si>
    <t>Otros (120); Hidraulica / aceite (28); Robot / carga / manipulacion (16)</t>
  </si>
  <si>
    <t>no arranca (5); anomalia cargador (4); se interrumpe el ciclo (3)</t>
  </si>
  <si>
    <t>2022, 2023, 2024</t>
  </si>
  <si>
    <t>Mecanica / desgaste / rotura (126); Robot / carga / manipulacion (41); Seguridad / puertas / protecciones (33)</t>
  </si>
  <si>
    <t>fallo consenso en el deposito (5); falta cero absoluto (2); fallo barrera fotoelectrica presencia pz (2)</t>
  </si>
  <si>
    <t>Otros (66); Hidraulica / aceite (25); Robot / carga / manipulacion (15)</t>
  </si>
  <si>
    <t>fuga neumatica (5); se queda colgada (4); brocha clavada (2)</t>
  </si>
  <si>
    <t>Otros (28); Preventivo / TPM (9); Electrico / PLC / PC / comunicacion (6)</t>
  </si>
  <si>
    <t>tpm muratec 41022 (2); anomalía subplato (2); laser deja de grabar (1)</t>
  </si>
  <si>
    <t>Otros (47); Robot / carga / manipulacion (36); Mecanica / desgaste / rotura (28)</t>
  </si>
  <si>
    <t>rotura cortina (3); fallo eje z2 (2); cargador coge mal la pieza (2)</t>
  </si>
  <si>
    <t>Otros (35); Robot / carga / manipulacion (20); Mecanica / desgaste / rotura (14)</t>
  </si>
  <si>
    <t>mal mecanizado (3); fallo en unidad de potencia (2); fuga neumatica (2)</t>
  </si>
  <si>
    <t>Otros (36); Robot / carga / manipulacion (29); Mecanica / desgaste / rotura (18)</t>
  </si>
  <si>
    <t>colisión cargador (3); no desbloca (2); colision cargador (2)</t>
  </si>
  <si>
    <t>Otros (54); Robot / carga / manipulacion (39); Mecanica / desgaste / rotura (22)</t>
  </si>
  <si>
    <t>cambio telescopica (3); tpm 41002 (3); soporte sopladores (2)</t>
  </si>
  <si>
    <t>Otros (73); Mecanica / desgaste / rotura (34); Robot / carga / manipulacion (17)</t>
  </si>
  <si>
    <t>correa limador rota (3); anomalias limador (2); fallo artis (2)</t>
  </si>
  <si>
    <t>Mecanica / desgaste / rotura (83); Calidad / medicion / proceso (15); Neumatica / aire (11)</t>
  </si>
  <si>
    <t>paros felsomat (2); mal mecanizado (2); c2 mal mecanizado (2)</t>
  </si>
  <si>
    <t>Otros (64); Mecanica / desgaste / rotura (29); Preventivo / TPM (27)</t>
  </si>
  <si>
    <t>tpm (2); eje z fuera de recorrido (2); rotura cadena transferizado (2)</t>
  </si>
  <si>
    <t>Mecanica / desgaste / rotura (42); Robot / carga / manipulacion (16); Hidraulica / aceite (9)</t>
  </si>
  <si>
    <t>soporte detector roto (2); mal mecanizado secundario corto (2); falla posición cargador (2)</t>
  </si>
  <si>
    <t>Otros (18); Mecanica / desgaste / rotura (11); Robot / carga / manipulacion (7)</t>
  </si>
  <si>
    <t>anomalia asiento plano (2); trampilla op10 no cierra (1); fuga de aire en racord (1)</t>
  </si>
  <si>
    <t>Mecanica / desgaste / rotura (56); Calidad / medicion / proceso (17); Robot / carga / manipulacion (11)</t>
  </si>
  <si>
    <t>mal mecanizado (3); puntos abb (2); fuga aire (2)</t>
  </si>
  <si>
    <t>Otros (58); Mecanica / desgaste / rotura (27); Robot / carga / manipulacion (19)</t>
  </si>
  <si>
    <t>fuga neumatica (7); mal mecanizado (3); problemas sonda medicion (2)</t>
  </si>
  <si>
    <t>Calidad / medicion / proceso (98); Electrico / PLC / PC / comunicacion (11); Hidraulica / aceite (7)</t>
  </si>
  <si>
    <t>tpm linea 5 (3); fallo transferidor 1 (2); comprobar salto husillo 2 (2)</t>
  </si>
  <si>
    <t>Granalla (115); Mecanica / desgaste / rotura (25); Neumatica / aire (12)</t>
  </si>
  <si>
    <t>fuga granalla (11); manguera rota (6); fuga neumatica (5)</t>
  </si>
  <si>
    <t>Mecanica / desgaste / rotura (71); Robot / carga / manipulacion (6); Calidad / medicion / proceso (5)</t>
  </si>
  <si>
    <t>agarrotamiento blocaje (4); agarrotamiento de regla (2); sujección agarrotada (2)</t>
  </si>
  <si>
    <t>Refrigerante / agua / lavado (56); Otros (53); Hidraulica / aceite (12)</t>
  </si>
  <si>
    <t>limpiar filtro refrigerante (20); limpiar 2 filtros de refrigerante (4); limpiar filtro de refrigerante (4)</t>
  </si>
  <si>
    <t>Otros (48); Robot / carga / manipulacion (36); Mecanica / desgaste / rotura (28)</t>
  </si>
  <si>
    <t>correa limador rota (4); limador rebota al mecanizar (3); anomalia mecanizado limador (2)</t>
  </si>
  <si>
    <t>Otros (38); Mecanica / desgaste / rotura (20); Robot / carga / manipulacion (6)</t>
  </si>
  <si>
    <t>limador vibra (4); no arranca maquina (2); anomalias limador (2)</t>
  </si>
  <si>
    <t>Mecanica / desgaste / rotura (17); Robot / carga / manipulacion (11); Electrico / PLC / PC / comunicacion (6)</t>
  </si>
  <si>
    <t>alargar toma de aire (1); boton mando control (1); desplazamiento del cabezal (1)</t>
  </si>
  <si>
    <t>Robot / carga / manipulacion (134); Hidraulica / aceite (3); Neumatica / aire (2)</t>
  </si>
  <si>
    <t>colision robot descarga (4); botones avance manual no funcionan (2); racord entrada general aire roto (2)</t>
  </si>
  <si>
    <t>Otros (39); Hidraulica / aceite (19); Electrico / PLC / PC / comunicacion (19)</t>
  </si>
  <si>
    <t>fuga hidraulico (4); fuga hidraulica (4); redondez (3)</t>
  </si>
  <si>
    <t>Otros (41); Robot / carga / manipulacion (18); Mecanica / desgaste / rotura (10)</t>
  </si>
  <si>
    <t>brazo no posicionado (2); rotura transferizado (2); problemas brazo cargador (2)</t>
  </si>
  <si>
    <t>Otros (44); Calidad / medicion / proceso (15); Mecanica / desgaste / rotura (15)</t>
  </si>
  <si>
    <t>mal mecanizado (5); limador rebota (3); correa limador rota (2)</t>
  </si>
  <si>
    <t>Otros (54); Mecanica / desgaste / rotura (28); Calidad / medicion / proceso (10)</t>
  </si>
  <si>
    <t>correa limador rota (3); conjunto limador clavado (3); rotura correa limador (2)</t>
  </si>
  <si>
    <t>Otros (59); Preventivo / TPM (27); Mecanica / desgaste / rotura (22)</t>
  </si>
  <si>
    <t>trasferizado salida pitler (2); angulos freno carros suelo (1); fuelle proteccion ejes roto (1)</t>
  </si>
  <si>
    <t>Mecanica / desgaste / rotura (55); Calidad / medicion / proceso (6); Robot / carga / manipulacion (5)</t>
  </si>
  <si>
    <t>cambio de rodillos (2); cambio rodillos. (2); mal mecanizado. (2)</t>
  </si>
  <si>
    <t>Electrico / PLC / PC / comunicacion (89); Hidraulica / aceite (4); Refrigerante / agua / lavado (3)</t>
  </si>
  <si>
    <t>mesa giratoria bloqueada (3); mesa bloqueada (3); fallo giro satelite (2)</t>
  </si>
  <si>
    <t>Robot / carga / manipulacion (116); Electrico / PLC / PC / comunicacion (4); Hidraulica / aceite (2)</t>
  </si>
  <si>
    <t>robot de carga tira tw2 (3); robot carga tira tw2 (2); anomalía motor (2)</t>
  </si>
  <si>
    <t>Robot / carga / manipulacion (48); Mecanica / desgaste / rotura (47); Electrico / PLC / PC / comunicacion (6)</t>
  </si>
  <si>
    <t>averia cargador (5); cargador no continua ciclo aut. (4); cargador no continua ciclo automatico. (3)</t>
  </si>
  <si>
    <t>Otros (39); Seguridad / puertas / protecciones (15); Hidraulica / aceite (13)</t>
  </si>
  <si>
    <t>fuga neumatica (4); bancada llena (2); no equilibra (2)</t>
  </si>
  <si>
    <t>Otros (36); Robot / carga / manipulacion (23); Mecanica / desgaste / rotura (13)</t>
  </si>
  <si>
    <t>fuga de aire (2); fuga neumatica (2); averia garras felsomat (2)</t>
  </si>
  <si>
    <t>Robot / carga / manipulacion (177); Electrico / PLC / PC / comunicacion (20); Neumatica / aire (6)</t>
  </si>
  <si>
    <t>anomalia kuka carga coronas (3); colision robot (2); rotura detector (2)</t>
  </si>
  <si>
    <t>Otros (71); Robot / carga / manipulacion (36); Calidad / medicion / proceso (28)</t>
  </si>
  <si>
    <t>fallo atornillado (4); anomalia escritura data matrix (3); anomalia pick&amp;place (3)</t>
  </si>
  <si>
    <t>Otros (91); Hidraulica / aceite (42); Seguridad / puertas / protecciones (26)</t>
  </si>
  <si>
    <t>averia lubrificacion central (3); isla-7 columna 1 fuerza cierre superada (2); isla-7 acheson (2)</t>
  </si>
  <si>
    <t>Otros (52); Hidraulica / aceite (22); Robot / carga / manipulacion (21)</t>
  </si>
  <si>
    <t>fuga hidraulico (5); fuga aceite cojinetes (2); ciclo cargador (2)</t>
  </si>
  <si>
    <t>Otros (66); Mecanica / desgaste / rotura (18); Proceso / ciclo / tiempo (8)</t>
  </si>
  <si>
    <t>falla cámara control despuntado (3); no continua ciclo (3); atranque transferizado (2)</t>
  </si>
  <si>
    <t>Mecanica / desgaste / rotura (68); Robot / carga / manipulacion (11); Hidraulica / aceite (8)</t>
  </si>
  <si>
    <t>reparar centrifuga (3); no arranca (3); error modulo accionamiento (2)</t>
  </si>
  <si>
    <t>Electrico / PLC / PC / comunicacion (51); Refrigerante / agua / lavado (2); Neumatica / aire (1)</t>
  </si>
  <si>
    <t>colision cargador (2); tpm-r 218211 acondicionar presiones (1); tubo neumático roto plataforma carga (1)</t>
  </si>
  <si>
    <t>Otros (45); Mecanica / desgaste / rotura (16); Calidad / medicion / proceso (13)</t>
  </si>
  <si>
    <t>esta sorda (3); mal mecanizado (2); anomalia de mecanizado (1)</t>
  </si>
  <si>
    <t>Mecanica / desgaste / rotura (47); Robot / carga / manipulacion (29); Hidraulica / aceite (10)</t>
  </si>
  <si>
    <t>fuga neumatica. (2); cargador no continua ciclo aut. (2); exceso de taladrina (1)</t>
  </si>
  <si>
    <t>Mecanica / desgaste / rotura (42); Robot / carga / manipulacion (29); Hidraulica / aceite (11)</t>
  </si>
  <si>
    <t>averia giro portico (3); marposs no mide correctamente (3); fuga de aceite en bandeja (2)</t>
  </si>
  <si>
    <t>Otros (47); Preventivo / TPM (36); Mecanica / desgaste / rotura (11)</t>
  </si>
  <si>
    <t>tpm (2); tpm famar 90381 (2); vigilancia de contorno eje z (2)</t>
  </si>
  <si>
    <t>Mecanica / desgaste / rotura (130); Seguridad / puertas / protecciones (9); Robot / carga / manipulacion (9)</t>
  </si>
  <si>
    <t>fallo caudal boquilla 3 (3); fallo barrera (2); rotura manguera (2)</t>
  </si>
  <si>
    <t>Calidad / medicion / proceso (63); Hidraulica / aceite (9); Refrigerante / agua / lavado (7)</t>
  </si>
  <si>
    <t>tpm linea 3 (2); doble marcado piezas (1); útil k diámetro gafas rallado (1)</t>
  </si>
  <si>
    <t>Otros (37); Mecanica / desgaste / rotura (25); Robot / carga / manipulacion (7)</t>
  </si>
  <si>
    <t>avería conjunto limador (4); anomalias mecanizado limador (3); se ha roto la correa del limador (3)</t>
  </si>
  <si>
    <t>Otros (13); Electrico / PLC / PC / comunicacion (6); Refrigerante / agua / lavado (3)</t>
  </si>
  <si>
    <t>fallo caudalímetro afiladora a.k. (1); filtros electroestáticos (1); filtros electrostaticos, correas (1)</t>
  </si>
  <si>
    <t>Mecanica / desgaste / rotura (35); Otros (31); Robot / carga / manipulacion (7)</t>
  </si>
  <si>
    <t>tpm-r 198120 pasa mucha viruta a la part (2); perturbacion en accionamiento q2 (2); 700460: error caudal de agua refrigerant (1)</t>
  </si>
  <si>
    <t>Mecanica / desgaste / rotura (120); Electrico / PLC / PC / comunicacion (16); Robot / carga / manipulacion (9)</t>
  </si>
  <si>
    <t>manguera rota (6); puesto 3/4 anulado (3); captor 3/4 (3)</t>
  </si>
  <si>
    <t>Otros (56); Preventivo / TPM (15); Calidad / medicion / proceso (14)</t>
  </si>
  <si>
    <t>fallo prensa (3); fallo camara (2); h-15 data matrix no funciona (2)</t>
  </si>
  <si>
    <t>Calidad / medicion / proceso (77); Seguridad / puertas / protecciones (17); Robot / carga / manipulacion (15)</t>
  </si>
  <si>
    <t>pérdida de comunicación (3); comprobar salto husillo (3); telescopica rota (2)</t>
  </si>
  <si>
    <t>Otros (51); Robot / carga / manipulacion (25); Seguridad / puertas / protecciones (16)</t>
  </si>
  <si>
    <t>no arranca (6); fallos plc (4); fallo puertas (3)</t>
  </si>
  <si>
    <t>Otros (34); Robot / carga / manipulacion (30); Refrigerante / agua / lavado (14)</t>
  </si>
  <si>
    <t>colision cargador (3); tubo flex taladrina (2); cargador buderus (2)</t>
  </si>
  <si>
    <t>Otros (10); Hidraulica / aceite (4); Electrico / PLC / PC / comunicacion (3)</t>
  </si>
  <si>
    <t>grupo hidraúlico no funciona (2); colocar temporizador luces de alumbrado (1); ordenador mant. moldes no tiene conexion (1)</t>
  </si>
  <si>
    <t>2022, 2023, 2025</t>
  </si>
  <si>
    <t>Calidad / medicion / proceso (83); Robot / carga / manipulacion (30); Seguridad / puertas / protecciones (21)</t>
  </si>
  <si>
    <t>fallo escotilla de carga (9); pinza husillo 1 clavada (3); fallo transferidor 2 (2)</t>
  </si>
  <si>
    <t>Otros (39); Mecanica / desgaste / rotura (19); Robot / carga / manipulacion (12)</t>
  </si>
  <si>
    <t>mal mecanizado (4); avería aspiración (2); modificar programa (1)</t>
  </si>
  <si>
    <t>Otros (33); Refrigerante / agua / lavado (11); Robot / carga / manipulacion (10)</t>
  </si>
  <si>
    <t>no arranca (2); limpieza bandeja (2); fallo rebabador (2)</t>
  </si>
  <si>
    <t>Calidad / medicion / proceso (36); Otros (22); Mecanica / desgaste / rotura (13)</t>
  </si>
  <si>
    <t>limpieza de apoyos y morros (3); cable transferidor roto (2); avería transferidor (2)</t>
  </si>
  <si>
    <t>Calidad / medicion / proceso (69); Robot / carga / manipulacion (9); Hidraulica / aceite (8)</t>
  </si>
  <si>
    <t>fallo transferidor 2 (2); fallo escotilla de carga (2); fallo puerta eje a (2)</t>
  </si>
  <si>
    <t>Mecanica / desgaste / rotura (37); Robot / carga / manipulacion (16); Hidraulica / aceite (11)</t>
  </si>
  <si>
    <t>averia marposs (2); fallo averia refrigerante (2); temperatura excesiva bombas de aceite (2)</t>
  </si>
  <si>
    <t>Otros (94); Hidraulica / aceite (26); Seguridad / puertas / protecciones (24)</t>
  </si>
  <si>
    <t>averia encoder isla-5 (2); isla-5 encoder iyeccion (2); isla-5 extraccion (2)</t>
  </si>
  <si>
    <t>Otros (132); Hidraulica / aceite (27); Mecanica / desgaste / rotura (25)</t>
  </si>
  <si>
    <t>anom continuidad de ciclo (7); supervision 2a 29f1,29f2,29f3,29f4 (4); fallo continuidad de ciclo (3)</t>
  </si>
  <si>
    <t>Otros (21); Preventivo / TPM (15); Mecanica / desgaste / rotura (14)</t>
  </si>
  <si>
    <t>rechazo por asiento plano (2); colision op 10 (2); fuga de aire en grupo de mant. (1)</t>
  </si>
  <si>
    <t>Otros (56); Robot / carga / manipulacion (17); Mecanica / desgaste / rotura (16)</t>
  </si>
  <si>
    <t>apoyo plano (6); fallo en bus profinet (4); apoyo plano op 10 (3)</t>
  </si>
  <si>
    <t>Otros (32); Calidad / medicion / proceso (18); Robot / carga / manipulacion (12)</t>
  </si>
  <si>
    <t>mala calidad (2); comprobar presiones y cargador (1); motor extractor de humos hace mucho ruid (1)</t>
  </si>
  <si>
    <t>Mecanica / desgaste / rotura (48); Robot / carga / manipulacion (38); Seguridad / puertas / protecciones (10)</t>
  </si>
  <si>
    <t>paro ciclo cargador en automatico (2); fallo lubricacion (2); fuga hidraulico (1)</t>
  </si>
  <si>
    <t>Otros (46); Robot / carga / manipulacion (44); Mecanica / desgaste / rotura (9)</t>
  </si>
  <si>
    <t>cadena destensada (4); brocha clavada (3); anomalia garra robot (3)</t>
  </si>
  <si>
    <t>Otros (42); Calidad / medicion / proceso (13); Robot / carga / manipulacion (13)</t>
  </si>
  <si>
    <t>micro posicion sonda mal (2); fallo puertas plegables (2); comprobar servotracer en eje y al diaman (1)</t>
  </si>
  <si>
    <t>Otros (58); Robot / carga / manipulacion (19); Seguridad / puertas / protecciones (15)</t>
  </si>
  <si>
    <t>no abre puertas (5); fallo virutero (3); no se pueden abrir puertas (2)</t>
  </si>
  <si>
    <t>Calidad / medicion / proceso (94); Electrico / PLC / PC / comunicacion (14); Hidraulica / aceite (14)</t>
  </si>
  <si>
    <t>fallo transferidor 2 (3); fallo asentamiento 2 (2); temperatura eje b2 (2)</t>
  </si>
  <si>
    <t>Otros (35); Robot / carga / manipulacion (20); Mecanica / desgaste / rotura (13)</t>
  </si>
  <si>
    <t>no continúa ciclo (3); cadena destensada (2); fallo cambio de brochas (2)</t>
  </si>
  <si>
    <t>Calidad / medicion / proceso (88); Hidraulica / aceite (12); Electrico / PLC / PC / comunicacion (8)</t>
  </si>
  <si>
    <t>fallo transferidor 2 (2); comprobacion valvula mql h2 (2); falla semaforo máquina (2)</t>
  </si>
  <si>
    <t>Mecanica / desgaste / rotura (43); Robot / carga / manipulacion (11); Hidraulica / aceite (7)</t>
  </si>
  <si>
    <t>marposs no funciona (2); trampilla no abre (2); no abre trampilla (2)</t>
  </si>
  <si>
    <t>Robot / carga / manipulacion (34); Mecanica / desgaste / rotura (33); Calidad / medicion / proceso (12)</t>
  </si>
  <si>
    <t>mal mecanizado (5); cargador colisiona (3); mal mecanizado, doble hélice (3)</t>
  </si>
  <si>
    <t>Otros (68); Seguridad / puertas / protecciones (42); Hidraulica / aceite (26)</t>
  </si>
  <si>
    <t>tpm isla 6 (2); averia puerta anterior- isla-6 (2); emergencia introducida isla-6 (2)</t>
  </si>
  <si>
    <t>Calidad / medicion / proceso (26); Otros (19); Robot / carga / manipulacion (18)</t>
  </si>
  <si>
    <t>fallo escotilla de carga (5); limpieza de apoyos y morros (3); fallo cambio de htas (1)</t>
  </si>
  <si>
    <t>Mecanica / desgaste / rotura (34); Robot / carga / manipulacion (12); Hidraulica / aceite (8)</t>
  </si>
  <si>
    <t>corregir concentricidad. (2); colaborar con calidad (2); fuga neumatica. (2)</t>
  </si>
  <si>
    <t>Otros (32); Robot / carga / manipulacion (26); Mecanica / desgaste / rotura (7)</t>
  </si>
  <si>
    <t>no funciona grabador (2); no funciona marcador (2); avería marcador (1)</t>
  </si>
  <si>
    <t>Otros (34); Mecanica / desgaste / rotura (25); Electrico / PLC / PC / comunicacion (16)</t>
  </si>
  <si>
    <t>fuga neumatica (4); mala calidad (3); cambiar eje y (2)</t>
  </si>
  <si>
    <t>Mecanica / desgaste / rotura (33); Robot / carga / manipulacion (27); Hidraulica / aceite (10)</t>
  </si>
  <si>
    <t>colision cargador (6); colisión cargador (5); mal mecanizado. (2)</t>
  </si>
  <si>
    <t>Otros (26); Seguridad / puertas / protecciones (8); Hidraulica / aceite (6)</t>
  </si>
  <si>
    <t>isla-9 prensa (3); is9- averia prensa (2); averia prensa. isla9 (1)</t>
  </si>
  <si>
    <t>Robot / carga / manipulacion (97); Neumatica / aire (5); Electrico / PLC / PC / comunicacion (1)</t>
  </si>
  <si>
    <t>revisar cabezal (1); portico no deja bien las piezas (1); fallo portico en descarga (1)</t>
  </si>
  <si>
    <t>Mecanica / desgaste / rotura (118); Electrico / PLC / PC / comunicacion (14); Robot / carga / manipulacion (12)</t>
  </si>
  <si>
    <t>manguera rota (4); 3/4 anulado (4); manguera (3)</t>
  </si>
  <si>
    <t>Mecanica / desgaste / rotura (27); Robot / carga / manipulacion (15); Refrigerante / agua / lavado (9)</t>
  </si>
  <si>
    <t>cambio pinola (2); c1 excesivo rechazo hri (1); eje u pinola hace ruido (1)</t>
  </si>
  <si>
    <t>Calidad / medicion / proceso (97); Refrigerante / agua / lavado (6); Seguridad / puertas / protecciones (5)</t>
  </si>
  <si>
    <t>fallo control volumétrico (3); fallo captador activo del z1 (2); avería control volumétrico (1)</t>
  </si>
  <si>
    <t>Robot / carga / manipulacion (147); Hidraulica / aceite (26); Electrico / PLC / PC / comunicacion (3)</t>
  </si>
  <si>
    <t>cilindro selectora doblado (4); fallo cilindro selectora (3); colision robot descarga en box3 (2)</t>
  </si>
  <si>
    <t>Otros (49); Mecanica / desgaste / rotura (13); Hidraulica / aceite (8)</t>
  </si>
  <si>
    <t>fallo desbloqueo unidad de potencia (4); salto (3); fallo de cargador (2)</t>
  </si>
  <si>
    <t>Electrico / PLC / PC / comunicacion (50); Refrigerante / agua / lavado (6); Hidraulica / aceite (4)</t>
  </si>
  <si>
    <t>sustituir placa fusible (4); placa fusible doblada (3); no arranca la máquina (2)</t>
  </si>
  <si>
    <t>Mecanica / desgaste / rotura (39); Robot / carga / manipulacion (11); Calidad / medicion / proceso (4)</t>
  </si>
  <si>
    <t>tpm-r 213626 ptos. 2a/2c presión nok (2); mal mecanizado (2); fuga hidráulica (2)</t>
  </si>
  <si>
    <t>Otros (42); Mecanica / desgaste / rotura (23); Hidraulica / aceite (7)</t>
  </si>
  <si>
    <t>rotura correa limador (2); fallo limador (2); avería conjunto limador (2)</t>
  </si>
  <si>
    <t>Otros (7); Robot / carga / manipulacion (6); Hidraulica / aceite (6)</t>
  </si>
  <si>
    <t>puerta lavadora (2); actualizar láser (1); puesta a punto regulacion porticos (1)</t>
  </si>
  <si>
    <t>Otros (36); Mecanica / desgaste / rotura (16); Robot / carga / manipulacion (11)</t>
  </si>
  <si>
    <t>modificación felsomat honen (2); fallo cargador (2); averia eje "y20" (2)</t>
  </si>
  <si>
    <t>Otros (58); Robot / carga / manipulacion (30); Neumatica / aire (15)</t>
  </si>
  <si>
    <t>caidas de tensión (3); no arranca tension (3); vacio muy lento. (2)</t>
  </si>
  <si>
    <t>Mecanica / desgaste / rotura (31); Hidraulica / aceite (7); Electrico / PLC / PC / comunicacion (6)</t>
  </si>
  <si>
    <t>alargar toma de aire (1); ruido excesivo motor depos. electroestat (1); pantalla ordenador se apaga (1)</t>
  </si>
  <si>
    <t>Calidad / medicion / proceso (89); Electrico / PLC / PC / comunicacion (12); Seguridad / puertas / protecciones (8)</t>
  </si>
  <si>
    <t>fallo transferidor 1 (3); al desplazar el panel, se desconecta (1); pantalla se desconecta al moverla (1)</t>
  </si>
  <si>
    <t>Otros (42); Calidad / medicion / proceso (9); Mecanica / desgaste / rotura (5)</t>
  </si>
  <si>
    <t>variaciones de medida (3); anomalia mecanizado (1); mecanizado de la pieza nok (1)</t>
  </si>
  <si>
    <t>Granalla (72); Mecanica / desgaste / rotura (19); Proceso / ciclo / tiempo (9)</t>
  </si>
  <si>
    <t>rotura manguera (5); fuga granalla (4); fuga de granalla (2)</t>
  </si>
  <si>
    <t>Calidad / medicion / proceso (75); Electrico / PLC / PC / comunicacion (9); Seguridad / puertas / protecciones (5)</t>
  </si>
  <si>
    <t>fallo monitoreo manual de pieza (2); fallo test de freno (2); no funciona trampilla htas. (1)</t>
  </si>
  <si>
    <t>Otros (18); Refrigerante / agua / lavado (16); Robot / carga / manipulacion (12)</t>
  </si>
  <si>
    <t>fallo caudal refrigerante (2); tpm-r-213668-fuga taladrina en bandeja (1); garra volteador no sujeta pieza (1)</t>
  </si>
  <si>
    <t>Mecanica / desgaste / rotura (40); Calidad / medicion / proceso (22); Robot / carga / manipulacion (20)</t>
  </si>
  <si>
    <t>mal mecanizado (5); mala calidad perfil (2); artis no funciona (2)</t>
  </si>
  <si>
    <t>Otros (36); Robot / carga / manipulacion (13); Electrico / PLC / PC / comunicacion (8)</t>
  </si>
  <si>
    <t>no arranca (3); fallos plc (2); no carga programas (2)</t>
  </si>
  <si>
    <t>Otros (25); Calidad / medicion / proceso (20); Mecanica / desgaste / rotura (13)</t>
  </si>
  <si>
    <t>caen los ejes (2); artis no funciona correctamente (2); alimentacion 24v valvulas no ok (1)</t>
  </si>
  <si>
    <t>Electrico / PLC / PC / comunicacion (66); Hidraulica / aceite (4); Refrigerante / agua / lavado (2)</t>
  </si>
  <si>
    <t>tpm-r 213578 fuga por retén colector cn2 (2); no arranca (2); no arranca maquina (2)</t>
  </si>
  <si>
    <t>Otros (54); Mecanica / desgaste / rotura (11); Hidraulica / aceite (7)</t>
  </si>
  <si>
    <t>no arranca (3); pulsador roto (2); se interrumpe el ciclo (2)</t>
  </si>
  <si>
    <t>Mecanica / desgaste / rotura (6); Otros (6); Refrigerante / agua / lavado (1)</t>
  </si>
  <si>
    <t>fuelle roto (1); no arranca cortadora (1); no se mueven los ejes (1)</t>
  </si>
  <si>
    <t>Mecanica / desgaste / rotura (27); Electrico / PLC / PC / comunicacion (13); Refrigerante / agua / lavado (10)</t>
  </si>
  <si>
    <t>averia cable garra pórtico (2); fallo de red (2); construir pokayoke para prawema (1)</t>
  </si>
  <si>
    <t>Otros (7); Proceso / ciclo / tiempo (2); Mecanica / desgaste / rotura (2)</t>
  </si>
  <si>
    <t>system alarm on cnc side (2); no conecta quinto (1); maquina parada en ciclo (1)</t>
  </si>
  <si>
    <t>Otros (27); Mecanica / desgaste / rotura (20); Robot / carga / manipulacion (11)</t>
  </si>
  <si>
    <t>fallo equilibrador (2); rotura cadena ewab (2); averia eje b (encoder) (2)</t>
  </si>
  <si>
    <t>Otros (42); Mecanica / desgaste / rotura (29); Hidraulica / aceite (8)</t>
  </si>
  <si>
    <t>no arranca maquina (4); avería limador (2); correa limador rota (2)</t>
  </si>
  <si>
    <t>Calidad / medicion / proceso (11); Electrico / PLC / PC / comunicacion (2)</t>
  </si>
  <si>
    <t>fallo sonda temperatura pieza y base (1); no funciona (1); error de emergencia (1)</t>
  </si>
  <si>
    <t>2022, 2023, 2025, 2026</t>
  </si>
  <si>
    <t>Otros (19); Robot / carga / manipulacion (16); Hidraulica / aceite (5)</t>
  </si>
  <si>
    <t>anomalias blocaje pieza (1); reparar fuga aceite al suelo (1); sustituir patín contrapunto (1)</t>
  </si>
  <si>
    <t>Mecanica / desgaste / rotura (22); Hidraulica / aceite (14); Robot / carga / manipulacion (10)</t>
  </si>
  <si>
    <t>no sale aceite (4); no sale aceite de corte (2); salta termico (2)</t>
  </si>
  <si>
    <t>Otros (40); Mecanica / desgaste / rotura (10); Seguridad / puertas / protecciones (9)</t>
  </si>
  <si>
    <t>salto cabezal 2 (2); fuga neumatica (2); fallo sistema aspiración (2)</t>
  </si>
  <si>
    <t>Otros (46); Robot / carga / manipulacion (16); Mecanica / desgaste / rotura (14)</t>
  </si>
  <si>
    <t>fallo pel (2); fallo garra (2); fallo apoyo plano (2)</t>
  </si>
  <si>
    <t>Mecanica / desgaste / rotura (65); Robot / carga / manipulacion (7); Electrico / PLC / PC / comunicacion (7)</t>
  </si>
  <si>
    <t>averia eje x1 (4); portaherramientas gripado. (2); no arranca (2)</t>
  </si>
  <si>
    <t>Otros (8); Hidraulica / aceite (4); Robot / carga / manipulacion (4)</t>
  </si>
  <si>
    <t>no referencia (2); rampa caida pieza volteador no caen (1); no arranca (1)</t>
  </si>
  <si>
    <t>Mecanica / desgaste / rotura (42); Robot / carga / manipulacion (24); Hidraulica / aceite (10)</t>
  </si>
  <si>
    <t>cargador no continua ciclo aut. (4); no bloca pieza (2); eje z sobrepasado. (2)</t>
  </si>
  <si>
    <t>Mecanica / desgaste / rotura (46); Electrico / PLC / PC / comunicacion (26); Robot / carga / manipulacion (15)</t>
  </si>
  <si>
    <t>monitor no funciona (7); pantalla no va (3); viga oscilante (2)</t>
  </si>
  <si>
    <t>Otros (23); Refrigerante / agua / lavado (9); Neumatica / aire (6)</t>
  </si>
  <si>
    <t>averia equipo refrigeracion (2); no continua ciclo (2); fallo centrifuga (2)</t>
  </si>
  <si>
    <t>Otros (11); Electrico / PLC / PC / comunicacion (3); Seguridad / puertas / protecciones (1)</t>
  </si>
  <si>
    <t>saltan los termicos q4 y q5 (1); suben los platos y bajan a golpes no gir (1); no gira el plato. (1)</t>
  </si>
  <si>
    <t>Otros (33); Calidad / medicion / proceso (14); Hidraulica / aceite (11)</t>
  </si>
  <si>
    <t>fallo engrase (3); hacer geometria (2); fallo presión refrigerante (2)</t>
  </si>
  <si>
    <t>Otros (30); Robot / carga / manipulacion (13); Preventivo / TPM (7)</t>
  </si>
  <si>
    <t>tpm (2); fallo transductor (2); fallo control de asiento (1)</t>
  </si>
  <si>
    <t>Mecanica / desgaste / rotura (67); Calidad / medicion / proceso (10); Electrico / PLC / PC / comunicacion (8)</t>
  </si>
  <si>
    <t>realizar geometria (2); cambiar amortiguador (2); brazo consola se descuelga hacia abajo (1)</t>
  </si>
  <si>
    <t>Mecanica / desgaste / rotura (42); Calidad / medicion / proceso (10); Refrigerante / agua / lavado (7)</t>
  </si>
  <si>
    <t>no arranca (4); fuga taladrina (3); amarre mordaza garra 2 (1)</t>
  </si>
  <si>
    <t>Refrigerante / agua / lavado (111); Neumatica / aire (19); Hidraulica / aceite (5)</t>
  </si>
  <si>
    <t>fallo tope previo ap (3); tope ap clavado (2); desaceitador no funciona (2)</t>
  </si>
  <si>
    <t>Otros (29); Robot / carga / manipulacion (13); Mecanica / desgaste / rotura (5)</t>
  </si>
  <si>
    <t>anomalia cargador (2); anomalias puertas cargador (1); anomalia en transferizado (1)</t>
  </si>
  <si>
    <t>Granalla (40); Mecanica / desgaste / rotura (34); Robot / carga / manipulacion (15)</t>
  </si>
  <si>
    <t>alineación contrapuntas (2); fuga de granalla (2); fallo rotacion (2)</t>
  </si>
  <si>
    <t>Granalla (47); Robot / carga / manipulacion (15); Mecanica / desgaste / rotura (6)</t>
  </si>
  <si>
    <t>fallo camara (2); atasco granalla en sinfin (2); fallo transporte paletas (2)</t>
  </si>
  <si>
    <t>Mecanica / desgaste / rotura (44); Electrico / PLC / PC / comunicacion (12); Neumatica / aire (11)</t>
  </si>
  <si>
    <t>fuga aire (3); no funciona pantalla equilibrador (2); no continua ciclo (2)</t>
  </si>
  <si>
    <t>Mecanica / desgaste / rotura (46); Electrico / PLC / PC / comunicacion (3); Robot / carga / manipulacion (3)</t>
  </si>
  <si>
    <t>eje z1 y z3 acoplado (4); eje z1 y z3 acoplado. (3); error eje z4 (3)</t>
  </si>
  <si>
    <t>Calidad / medicion / proceso (57); Robot / carga / manipulacion (17); Seguridad / puertas / protecciones (14)</t>
  </si>
  <si>
    <t>fallo escotilla de carga (4); fallo puerta pol (2); tpm linea 5 (2)</t>
  </si>
  <si>
    <t>Mecanica / desgaste / rotura (44); Robot / carga / manipulacion (12); Electrico / PLC / PC / comunicacion (3)</t>
  </si>
  <si>
    <t>cargador no continua ciclo aut. (3); arranque linea secundario. (2); no se mueven ejes (1)</t>
  </si>
  <si>
    <t>Mecanica / desgaste / rotura (35); Hidraulica / aceite (15); Robot / carga / manipulacion (10)</t>
  </si>
  <si>
    <t>mal mecanizado (4); fuga de aceite por eje cortador (2); fallo de baterias (2)</t>
  </si>
  <si>
    <t>Otros (29); Robot / carga / manipulacion (11); Mecanica / desgaste / rotura (2)</t>
  </si>
  <si>
    <t>control taladro (3); error control de taladro (3); cargador no desciende (2)</t>
  </si>
  <si>
    <t>2023, 2024</t>
  </si>
  <si>
    <t>Calidad / medicion / proceso (75); Seguridad / puertas / protecciones (8); Refrigerante / agua / lavado (4)</t>
  </si>
  <si>
    <t>avería eje b1 (2); persiana eje x husillo 1 rota (1); persiana eje y husillo 1 rota (1)</t>
  </si>
  <si>
    <t>Otros (24); Robot / carga / manipulacion (9); Mecanica / desgaste / rotura (8)</t>
  </si>
  <si>
    <t>puerta descolgada (2); colision cargador (2); tpm-r 213811 fuelle eje z roto (1)</t>
  </si>
  <si>
    <t>Robot / carga / manipulacion (29); Otros (26); Mecanica / desgaste / rotura (7)</t>
  </si>
  <si>
    <t>no arranca maquina (2); rotura correa limador (2); falla monitorización rebabador husillo 2 (2)</t>
  </si>
  <si>
    <t>Otros (46); Robot / carga / manipulacion (12); Mecanica / desgaste / rotura (12)</t>
  </si>
  <si>
    <t>falla apoyo plano (3); fallo apoyo plano (3); variación de medida (2)</t>
  </si>
  <si>
    <t>Otros (83); Robot / carga / manipulacion (35); Hidraulica / aceite (17)</t>
  </si>
  <si>
    <t>anom cierre portamangos (4); no arranca plc (4); fallo cierre portamangos (4)</t>
  </si>
  <si>
    <t>Mecanica / desgaste / rotura (45); Robot / carga / manipulacion (15); Hidraulica / aceite (6)</t>
  </si>
  <si>
    <t>fuga hidraulica (2); puesta a punto. (2); pieza no repite mas. (2)</t>
  </si>
  <si>
    <t>Refrigerante / agua / lavado (140); Neumatica / aire (23); Hidraulica / aceite (2)</t>
  </si>
  <si>
    <t>desaceitador no funciona (3); bomba desaceitadora no funciona bien (1); cepillos deteriorados (1)</t>
  </si>
  <si>
    <t>Granalla (40); Seguridad / puertas / protecciones (5); Robot / carga / manipulacion (4)</t>
  </si>
  <si>
    <t>alju automatica no gira tambor (2); nesesita realizar un puente para arranca (1); averia granalladora alju automatica (1)</t>
  </si>
  <si>
    <t>Otros (22); Mecanica / desgaste / rotura (15); Robot / carga / manipulacion (14)</t>
  </si>
  <si>
    <t>mal mecanizado (3); error profibus (3); fallo profibus (2)</t>
  </si>
  <si>
    <t>Horno / temperatura (32); Hidraulica / aceite (6); Electrico / PLC / PC / comunicacion (3)</t>
  </si>
  <si>
    <t>fallo horno (3); averia horno (2); limpieza probeam (2)</t>
  </si>
  <si>
    <t>Otros (16); Robot / carga / manipulacion (15); Mecanica / desgaste / rotura (5)</t>
  </si>
  <si>
    <t>robot no arranca (2); kuka no arranca (1); no funciona tunel enfriamiento correctam (1)</t>
  </si>
  <si>
    <t>Otros (59); Mecanica / desgaste / rotura (18); Robot / carga / manipulacion (8)</t>
  </si>
  <si>
    <t>cilindro elevador pieza se engancha (2); quitar salto plato (2); posicion torrecilla no existente. (2)</t>
  </si>
  <si>
    <t>Otros (52); Refrigerante / agua / lavado (10); Electrico / PLC / PC / comunicacion (5)</t>
  </si>
  <si>
    <t>fallo dosificador salida buje 5ª (2); anom recogida pza transf 3/4 vel (1); llave de seguridad clavada lavadora (1)</t>
  </si>
  <si>
    <t>Otros (34); Mecanica / desgaste / rotura (10); Hidraulica / aceite (9)</t>
  </si>
  <si>
    <t>fuga refrigerante a bandeja (3); hacer geometria (2); cambiar a tubo rigido la palometa de... (1)</t>
  </si>
  <si>
    <t>Otros (37); Mecanica / desgaste / rotura (20); Refrigerante / agua / lavado (8)</t>
  </si>
  <si>
    <t>realizar copia de seguridad (1); sustituir grupo mantenimiento (1); se cuelan pizas sin hacer (1)</t>
  </si>
  <si>
    <t>Otros (75); Robot / carga / manipulacion (31); Mecanica / desgaste / rotura (13)</t>
  </si>
  <si>
    <t>fallo en la descarga (3); variación de medida (3); acondicionar cuadro de mando (2)</t>
  </si>
  <si>
    <t>Robot / carga / manipulacion (35); Otros (33); Seguridad / puertas / protecciones (8)</t>
  </si>
  <si>
    <t>anomalia garra 3 robot abb (2); no arranca (2); fallo detector presencia pza garra 2 (2)</t>
  </si>
  <si>
    <t>Granalla (10); Seguridad / puertas / protecciones (2); Refrigerante / agua / lavado (1)</t>
  </si>
  <si>
    <t>granalla fuga por debajo. (1); averia giro tambor alju (1); no sale granalla (1)</t>
  </si>
  <si>
    <t>Otros (50); Robot / carga / manipulacion (11); Mecanica / desgaste / rotura (7)</t>
  </si>
  <si>
    <t>anomalia palpador (3); salto (2); quitar salto (2)</t>
  </si>
  <si>
    <t>2022, 2023</t>
  </si>
  <si>
    <t>Mecanica / desgaste / rotura (21); Robot / carga / manipulacion (3); Refrigerante / agua / lavado (2)</t>
  </si>
  <si>
    <t>construir poka-yoke (1); la garra a no tiene fuerza para abrir (1); motor muela arrastre no funciona (1)</t>
  </si>
  <si>
    <t>2022, 2023, 2024, 2026</t>
  </si>
  <si>
    <t>Otros (32); Mecanica / desgaste / rotura (11); Hidraulica / aceite (8)</t>
  </si>
  <si>
    <t>averia lubrificacion (2); fallo engrase (2); realizar geometría (2)</t>
  </si>
  <si>
    <t>Mecanica / desgaste / rotura (47); Electrico / PLC / PC / comunicacion (4); Robot / carga / manipulacion (3)</t>
  </si>
  <si>
    <t>error conexión marcha (2); error conexion marcha (2); fuga neumática (2)</t>
  </si>
  <si>
    <t>Hidraulica / aceite (75); Otros (64); Seguridad / puertas / protecciones (31)</t>
  </si>
  <si>
    <t>fuga hidraulica isla 1 (2); isla 1 averia puerta anterior (2); hacer paralelismo isla 1 (2)</t>
  </si>
  <si>
    <t>Otros (66); Mecanica / desgaste / rotura (10); Robot / carga / manipulacion (9)</t>
  </si>
  <si>
    <t>fallo pinza de traccion (2); tpm-r 206273 fuelles husillos deteriorad (2); alineador clavado (2)</t>
  </si>
  <si>
    <t>Otros (40); Hidraulica / aceite (6); Mecanica / desgaste / rotura (5)</t>
  </si>
  <si>
    <t>averia volante (2); alineación husillos 1 y 2 (1); comprobar alianeción de mandrinos (1)</t>
  </si>
  <si>
    <t>Otros (91); Seguridad / puertas / protecciones (65); Hidraulica / aceite (23)</t>
  </si>
  <si>
    <t>averia puerta anterior isla-8 (4); patin molde suelto (3); averia encoder extraccion isla-8 (2)</t>
  </si>
  <si>
    <t>Otros (27); Mecanica / desgaste / rotura (10); Seguridad / puertas / protecciones (9)</t>
  </si>
  <si>
    <t>sustituir plusadores (2); averia eje x (2); averia eje z (2)</t>
  </si>
  <si>
    <t>Otros (16); Robot / carga / manipulacion (5); Calidad / medicion / proceso (3)</t>
  </si>
  <si>
    <t>reparar marposs (1); no gira la muela (1); cargador no introduce pieza (1)</t>
  </si>
  <si>
    <t>Mecanica / desgaste / rotura (62); Robot / carga / manipulacion (10); Electrico / PLC / PC / comunicacion (6)</t>
  </si>
  <si>
    <t>decalar eje u (6); enganche cadena. (3); puesta a punto. (2)</t>
  </si>
  <si>
    <t>Otros (6); Refrigerante / agua / lavado (1); Calidad / medicion / proceso (1)</t>
  </si>
  <si>
    <t>lavadora rebosa en parado (1); anom elevador pzas no se las lleva (1); faltan tapones donde no hay mecanismos (1)</t>
  </si>
  <si>
    <t>Otros (68); Mecanica / desgaste / rotura (29); Robot / carga / manipulacion (26)</t>
  </si>
  <si>
    <t>emg 1 error (10); fallo m.d.v. (6); espera cambio de ejes (5)</t>
  </si>
  <si>
    <t>Otros (25); Robot / carga / manipulacion (18); Mecanica / desgaste / rotura (7)</t>
  </si>
  <si>
    <t>averia garras (2); no arranca pc (2); muelle roto (2)</t>
  </si>
  <si>
    <t>Refrigerante / agua / lavado (7)</t>
  </si>
  <si>
    <t>boquillas lavadora l1/h1 (1); tpm lavadora l1/h1 (1); cambiar cepillos rotos lavadora l1/h1 (1)</t>
  </si>
  <si>
    <t>Electrico / PLC / PC / comunicacion (24); Neumatica / aire (1)</t>
  </si>
  <si>
    <t>aire acondicionado no funciona (1); ilumincacion interior rota (1); puerta de seguridad falla (1)</t>
  </si>
  <si>
    <t>Mecanica / desgaste / rotura (40); Electrico / PLC / PC / comunicacion (9); Neumatica / aire (8)</t>
  </si>
  <si>
    <t>no arranca (2); fuga aire (2); cinta entrada torcida (2)</t>
  </si>
  <si>
    <t>Otros (58); Hidraulica / aceite (29); Electrico / PLC / PC / comunicacion (13)</t>
  </si>
  <si>
    <t>fuga hyd isla x (2); isx- averia horno (2); fuga isla x (2)</t>
  </si>
  <si>
    <t>Electrico / PLC / PC / comunicacion (42); Hidraulica / aceite (6)</t>
  </si>
  <si>
    <t>fallan señales rebabador (2); anomalia disco rebabador frontal (1); no arranca (1)</t>
  </si>
  <si>
    <t>Otros (13); Electrico / PLC / PC / comunicacion (7); Hidraulica / aceite (6)</t>
  </si>
  <si>
    <t>reparar mandrino (6); tpm-r 218365 fuelle der. eje horiz. roto (2); fallo monitor (2)</t>
  </si>
  <si>
    <t>Otros (27); Robot / carga / manipulacion (26); Mecanica / desgaste / rotura (9)</t>
  </si>
  <si>
    <t>no arranca el disco duro (1); pérdida de hidráulico por torreta cn1 (1); revisar eje z1 de vez en cuando se va (1)</t>
  </si>
  <si>
    <t>Otros (17); Mecanica / desgaste / rotura (9); Robot / carga / manipulacion (8)</t>
  </si>
  <si>
    <t>sustituir eje ""y"" (2); hacer geometria (1); no arranca cuando entra ahorro energia (1)</t>
  </si>
  <si>
    <t>Electrico / PLC / PC / comunicacion (11); Robot / carga / manipulacion (11); Otros (9)</t>
  </si>
  <si>
    <t>fallo artis (3); fallo filtro refrigerante (3); fallo presión de aceite (2)</t>
  </si>
  <si>
    <t>Otros (18); Refrigerante / agua / lavado (11); Mecanica / desgaste / rotura (6)</t>
  </si>
  <si>
    <t>se pasan sin rectififcar (1); no continua ciclo (1); pulsador i2 no funciona. (1)</t>
  </si>
  <si>
    <t>Otros (50); Robot / carga / manipulacion (44); Seguridad / puertas / protecciones (12)</t>
  </si>
  <si>
    <t>fallo individualizador de pzas (2); anomalia garra 3 robot abb (2); fallo garra 2 abierta robot abb (2)</t>
  </si>
  <si>
    <t>Otros (44); Robot / carga / manipulacion (23); Mecanica / desgaste / rotura (16)</t>
  </si>
  <si>
    <t>fallo mordaza de carga (5); averia eje master c (2); fallo garra de carga (2)</t>
  </si>
  <si>
    <t>Refrigerante / agua / lavado (59); Hidraulica / aceite (7)</t>
  </si>
  <si>
    <t>casquillo clavado (3); atranque casquillo (2); casquillo atascado (2)</t>
  </si>
  <si>
    <t>Mecanica / desgaste / rotura (29); Robot / carga / manipulacion (11); Hidraulica / aceite (8)</t>
  </si>
  <si>
    <t>colisión cargador (2); cargador colisiona (1); declar posicion al dejar pieza en cajon (1)</t>
  </si>
  <si>
    <t>Otros (31); Hidraulica / aceite (6); Robot / carga / manipulacion (6)</t>
  </si>
  <si>
    <t>reparar tuerca hidraulica (1); avería blocaje piezas (1); acondicionar mquina (1)</t>
  </si>
  <si>
    <t>Refrigerante / agua / lavado (133); Neumatica / aire (35); Hidraulica / aceite (4)</t>
  </si>
  <si>
    <t>fallos sonda nivel medio 3 (2); desaceitador clavado (2); desaceitador no chupa (2)</t>
  </si>
  <si>
    <t>Otros (13); Robot / carga / manipulacion (13); Mecanica / desgaste / rotura (8)</t>
  </si>
  <si>
    <t>eslabones rotos transferizado salida (2); avería marcador (1); fuga neumatica por unidad de reparto (va (1)</t>
  </si>
  <si>
    <t>Robot / carga / manipulacion (10); Calidad / medicion / proceso (8); Otros (4)</t>
  </si>
  <si>
    <t>fallo marposs (2); fallo trnsductores marposs (t5) (1); ciclo se interrumpe en marposs (1)</t>
  </si>
  <si>
    <t>Otros (29); Robot / carga / manipulacion (16); Mecanica / desgaste / rotura (14)</t>
  </si>
  <si>
    <t>anomalia cargador (3); no referencia (2); quitar salto (2)</t>
  </si>
  <si>
    <t>Otros (59); Hidraulica / aceite (8); Mecanica / desgaste / rotura (8)</t>
  </si>
  <si>
    <t>anom giro laminador (2); no coge posición inicial (2); servoaccionamiento trifasico indramat av (2)</t>
  </si>
  <si>
    <t>Otros (23); Robot / carga / manipulacion (19); Mecanica / desgaste / rotura (13)</t>
  </si>
  <si>
    <t>anomalías cargador (2); fuga hidráulico (1); roturas de fresas. (1)</t>
  </si>
  <si>
    <t>Otros (90); Hidraulica / aceite (25); Seguridad / puertas / protecciones (22)</t>
  </si>
  <si>
    <t>fuga de aire isla 3 (3); averia inyeccion isla-3 (2); isla-3 no funciona extensimetro col. 4 (2)</t>
  </si>
  <si>
    <t>Calidad / medicion / proceso (99); Hidraulica / aceite (7); Seguridad / puertas / protecciones (6)</t>
  </si>
  <si>
    <t>perturbación eje sp1 (2); fuga hidraulica (2); variaciones de medida (2)</t>
  </si>
  <si>
    <t>Otros (31); Seguridad / puertas / protecciones (9); Mecanica / desgaste / rotura (7)</t>
  </si>
  <si>
    <t>fuga neumatica (3); fallo lubricacion (2); fuga aceite interior torno cabezal 5 vel (1)</t>
  </si>
  <si>
    <t>Otros (34); Neumatica / aire (12); Mecanica / desgaste / rotura (8)</t>
  </si>
  <si>
    <t>fuga neumatica (4); fuga aire (2); no conecta botonera (2)</t>
  </si>
  <si>
    <t>Otros (10); Hidraulica / aceite (8); Preventivo / TPM (7)</t>
  </si>
  <si>
    <t>tpm 41015 (2); junta de cilindro (1); tpm (1)</t>
  </si>
  <si>
    <t>Otros (28); Mecanica / desgaste / rotura (8); Robot / carga / manipulacion (4)</t>
  </si>
  <si>
    <t>fuelle roto (2); se ha parado mientras trabajaba (2); exceso de aceite interior máquina (1)</t>
  </si>
  <si>
    <t>Otros (54); Robot / carga / manipulacion (29); Mecanica / desgaste / rotura (14)</t>
  </si>
  <si>
    <t>fallo prisma de carga (6); fallo mordaza de descarga (4); fallo alineacion (4)</t>
  </si>
  <si>
    <t>Otros (73); Seguridad / puertas / protecciones (26); Hidraulica / aceite (17)</t>
  </si>
  <si>
    <t>averia inyeccion isla-4 (4); isla 4 derivacion electrica (2); motor puerta anterior (2)</t>
  </si>
  <si>
    <t>Otros (36); Electrico / PLC / PC / comunicacion (12); Mecanica / desgaste / rotura (9)</t>
  </si>
  <si>
    <t>no arranca pantalla (2); puesto control torno 35005 probeam (1); error eje x c2 (1)</t>
  </si>
  <si>
    <t>Calidad / medicion / proceso (24); Otros (15); Mecanica / desgaste / rotura (15)</t>
  </si>
  <si>
    <t>fallo toolcheck 1 medicion larga (2); avería pinza husillo 2 (2); limpieza de apoyos y morros (2)</t>
  </si>
  <si>
    <t>Otros (24); Robot / carga / manipulacion (17); Mecanica / desgaste / rotura (14)</t>
  </si>
  <si>
    <t>anomalia artis ( se queda pillado ) (2); anomalia mecanizado c1 (2); anomalia eje z (2)</t>
  </si>
  <si>
    <t>Otros (31); Calidad / medicion / proceso (14); Refrigerante / agua / lavado (5)</t>
  </si>
  <si>
    <t>alabeo excesivo (2); variación de medida (2); problemas medida mandrino desbaste (2)</t>
  </si>
  <si>
    <t>Horno / temperatura (7); Proceso / ciclo / tiempo (1)</t>
  </si>
  <si>
    <t>fallo micromaster f00022 (1); no salen las temperaturas en el display. (1); fallo nucleo horno (1)</t>
  </si>
  <si>
    <t>2022, 2024, 2025</t>
  </si>
  <si>
    <t>Robot / carga / manipulacion (16); Otros (11); Mecanica / desgaste / rotura (6)</t>
  </si>
  <si>
    <t>pintar y colocar protector (2); fuga aire por rotativa trasera colector (1); maquina bloqueada (1)</t>
  </si>
  <si>
    <t>Mecanica / desgaste / rotura (41); Robot / carga / manipulacion (16); Electrico / PLC / PC / comunicacion (8)</t>
  </si>
  <si>
    <t>anomalia verificador de fisuras (2); anomalia comunicación qass y galdabini (1); excesivo fallo vision 2º parrilla (1)</t>
  </si>
  <si>
    <t>Otros (29); Mecanica / desgaste / rotura (16); Robot / carga / manipulacion (16)</t>
  </si>
  <si>
    <t>emg 1 error (3); anom robot kuka no va a pos home (2); lavadora salida wera 343 puerta no ajust (1)</t>
  </si>
  <si>
    <t>Mecanica / desgaste / rotura (50); Hidraulica / aceite (8); Electrico / PLC / PC / comunicacion (3)</t>
  </si>
  <si>
    <t>anomalia dispositivo separación 3 (2); fuga hidraulico (2); anomalías posición contrapuntos (1)</t>
  </si>
  <si>
    <t>Otros (38); Seguridad / puertas / protecciones (24); Hidraulica / aceite (20)</t>
  </si>
  <si>
    <t>averia puerta anterior (5); averia pc (3); averia puerta posterior (2)</t>
  </si>
  <si>
    <t>2025</t>
  </si>
  <si>
    <t>Calidad / medicion / proceso (41); Seguridad / puertas / protecciones (6); Hidraulica / aceite (4)</t>
  </si>
  <si>
    <t>caída de presión hidraulica (1); hidraúlica, interruptor caída presión (1); falso toolcheck en h1 (1)</t>
  </si>
  <si>
    <t>Calidad / medicion / proceso (47); Neumatica / aire (4); Hidraulica / aceite (4)</t>
  </si>
  <si>
    <t>captador activo eje x (2); fallo toolcheck 2 (2); 1033 captador eje x (2)</t>
  </si>
  <si>
    <t>Robot / carga / manipulacion (41); Neumatica / aire (5); Electrico / PLC / PC / comunicacion (5)</t>
  </si>
  <si>
    <t>detector de pieza presente nok (1); modificación de detectores en modulo ele (1); pérdida señal g111 pinza 3 mordazas (1)</t>
  </si>
  <si>
    <t>Otros (25); Refrigerante / agua / lavado (6); Hidraulica / aceite (4)</t>
  </si>
  <si>
    <t>falla cilindro atrás (1); no gira achaflanador (1); fuga de aire por el colector. (1)</t>
  </si>
  <si>
    <t>Otros (11); Preventivo / TPM (5); Seguridad / puertas / protecciones (4)</t>
  </si>
  <si>
    <t>anomalia apertura-cierre plato f (1); anomalia asiento plano (1); tpm (1)</t>
  </si>
  <si>
    <t>Refrigerante / agua / lavado (63); Hidraulica / aceite (2)</t>
  </si>
  <si>
    <t>atranque lavadora (3); averia convertidores (2); fuga de agua. (2)</t>
  </si>
  <si>
    <t>Otros (12); Mecanica / desgaste / rotura (6); Preventivo / TPM (6)</t>
  </si>
  <si>
    <t>fuga de viruta (2); anomalia desplazamiento guia c (1); anomalia asiento plano (1)</t>
  </si>
  <si>
    <t>Otros (33); Hidraulica / aceite (18); Seguridad / puertas / protecciones (13)</t>
  </si>
  <si>
    <t>tpm-r baliza atemperadores (2); puerta anterior clavada (2); sustituir valla recinto (1)</t>
  </si>
  <si>
    <t>Calidad / medicion / proceso (63); Robot / carga / manipulacion (8); Refrigerante / agua / lavado (6)</t>
  </si>
  <si>
    <t>fallo sonda temperatura (4); fallo sonda de temperatura (2); falla sonda de temperatura. (2)</t>
  </si>
  <si>
    <t>Otros (12); Mecanica / desgaste / rotura (9); Robot / carga / manipulacion (8)</t>
  </si>
  <si>
    <t>eje mz sobrepasado (2); paletas no avanzan en potro (1); salta termico bomba (1)</t>
  </si>
  <si>
    <t>Robot / carga / manipulacion (16); Electrico / PLC / PC / comunicacion (5); Hidraulica / aceite (1)</t>
  </si>
  <si>
    <t>sustituir bombin (1); robot fanut trabaja a media velocidad (1); no continua ciclo (1)</t>
  </si>
  <si>
    <t>Calidad / medicion / proceso (55); Hidraulica / aceite (3); Robot / carga / manipulacion (2)</t>
  </si>
  <si>
    <t>caída accionamientos (2); fallo accionamientos (1); fallo perturbación eje sp1 y sp2 (1)</t>
  </si>
  <si>
    <t>Otros (8); Mecanica / desgaste / rotura (7); Hidraulica / aceite (4)</t>
  </si>
  <si>
    <t>salta hidráulico al mover husillo 1 (2); rampa entrada lavadora caen dos piezas (1); tpm-r 206479 bomba hidráulica ruidosa (1)</t>
  </si>
  <si>
    <t>Robot / carga / manipulacion (54); Electrico / PLC / PC / comunicacion (6); Neumatica / aire (3)</t>
  </si>
  <si>
    <t>rotura tornillo garra (4); falla garra cogida termo conformados (1); puerta desencajada (1)</t>
  </si>
  <si>
    <t>Otros (9); Preventivo / TPM (8); Robot / carga / manipulacion (4)</t>
  </si>
  <si>
    <t>construccion centrador lavadora (2); tpm 41013 (2); tpm (1)</t>
  </si>
  <si>
    <t>Otros (53); Mecanica / desgaste / rotura (30); Neumatica / aire (12)</t>
  </si>
  <si>
    <t>isla-3 averia acheson (3); averia acheson isla-3 (2); isla 3 averia acheson eje z (2)</t>
  </si>
  <si>
    <t>Otros (10); Hidraulica / aceite (3); Mecanica / desgaste / rotura (3)</t>
  </si>
  <si>
    <t>fallo termostato temp. hidráulico (1); térmometro hidráulico fallo señal (1); fuga neumatica valvula comp pza (1)</t>
  </si>
  <si>
    <t>Calidad / medicion / proceso (26); Otros (14); Mecanica / desgaste / rotura (5)</t>
  </si>
  <si>
    <t>fallo palpadores (5); limpieza de apoyos y morros (2); comrpobar apoyo flotante palet 2 (1)</t>
  </si>
  <si>
    <t>Robot / carga / manipulacion (104); Electrico / PLC / PC / comunicacion (7); Neumatica / aire (4)</t>
  </si>
  <si>
    <t>tpm (2); módulo a/r 1 desconectado (1); borrado accidental programa (1)</t>
  </si>
  <si>
    <t>Otros (19); Proceso / ciclo / tiempo (12); Mecanica / desgaste / rotura (9)</t>
  </si>
  <si>
    <t>paros de emergencia (3); reparar tuerca hidraulica (2); reparar tuerca hidráulica (2)</t>
  </si>
  <si>
    <t>Otros (14); Calidad / medicion / proceso (7); Refrigerante / agua / lavado (4)</t>
  </si>
  <si>
    <t>mandrino clavado (3); alabeo en el mecanizado (2); alabeo desbaste (2)</t>
  </si>
  <si>
    <t>Calidad / medicion / proceso (82); Robot / carga / manipulacion (7); Seguridad / puertas / protecciones (7)</t>
  </si>
  <si>
    <t>fallo asentamiento (2); comprobación salto husillo 1 (2); error dispositivo monitoreo eje a (1)</t>
  </si>
  <si>
    <t>Otros (27); Hidraulica / aceite (16); Seguridad / puertas / protecciones (9)</t>
  </si>
  <si>
    <t>tuberia atemperador podrida (1); fuga de hyd grupo cierre. isla-7 (1); tapa deposito inyección. isla-7 (1)</t>
  </si>
  <si>
    <t>Otros (9); Mecanica / desgaste / rotura (6); Proceso / ciclo / tiempo (3)</t>
  </si>
  <si>
    <t>botón de posiciones ciclo no funciona (1); p.e.m. maquina despues de mucho tiempo p (1); p.e.m. despues de mucho tiempo parada (1)</t>
  </si>
  <si>
    <t>Calidad / medicion / proceso (48); Otros (10); Robot / carga / manipulacion (2)</t>
  </si>
  <si>
    <t>fallo transferidor 2 (3); fallo sujección pinza husillo 1 (1); comprobar garras apoyos etc paralelismo (1)</t>
  </si>
  <si>
    <t>Otros (15); Hidraulica / aceite (8); Electrico / PLC / PC / comunicacion (7)</t>
  </si>
  <si>
    <t>variaciones de medida (2); muela no equilibra (2); reparar marporss (1)</t>
  </si>
  <si>
    <t>Calidad / medicion / proceso (3); Electrico / PLC / PC / comunicacion (1)</t>
  </si>
  <si>
    <t>cnc fagor no arranca (1); anomalia volante electrico manual (1); cnc fagor error posición husillo. (1)</t>
  </si>
  <si>
    <t>Otros (25); Hidraulica / aceite (11); Robot / carga / manipulacion (10)</t>
  </si>
  <si>
    <t>quitar salto (6); ruido excesivo eje x (2); anomalia cargador (2)</t>
  </si>
  <si>
    <t>Electrico / PLC / PC / comunicacion (18); Hidraulica / aceite (1)</t>
  </si>
  <si>
    <t>horno s no arranca (2); tpm-r 207547 flujómetro nitrogeno seg. (1); fallo arranque automatico (1)</t>
  </si>
  <si>
    <t>Otros (15); Electrico / PLC / PC / comunicacion (6); Robot / carga / manipulacion (5)</t>
  </si>
  <si>
    <t>botonera lateral de la pantalla no va (1); fallo rebabador husillo 2 (1); no actuan rebabadores (1)</t>
  </si>
  <si>
    <t>Otros (78); Robot / carga / manipulacion (15); Hidraulica / aceite (12)</t>
  </si>
  <si>
    <t>fallo dosificador entrada (5); no conecta el hidraulico (2); no arranca (2)</t>
  </si>
  <si>
    <t>Otros (19); Mecanica / desgaste / rotura (13); Calidad / medicion / proceso (8)</t>
  </si>
  <si>
    <t>fallo equilibrador (4); fallo equilibrado (2); fallo artis (2)</t>
  </si>
  <si>
    <t>Robot / carga / manipulacion (18); Electrico / PLC / PC / comunicacion (3); Hidraulica / aceite (1)</t>
  </si>
  <si>
    <t>robot no en posicion (2); 240.2 (1); banderola no funciona (1)</t>
  </si>
  <si>
    <t>Otros (12); Preventivo / TPM (5); Refrigerante / agua / lavado (3)</t>
  </si>
  <si>
    <t>tpm-r 206330 fuga refrigerante bomba (1); tpm-r 206331 pérdida de hidráulico bomba (1); tpm-r 218222 fuga por reguladores (1)</t>
  </si>
  <si>
    <t>Otros (47); Proceso / ciclo / tiempo (7); Refrigerante / agua / lavado (7)</t>
  </si>
  <si>
    <t>transferizado no funciona en automático (2); lavadora no avanza (2); atranque transferizado (2)</t>
  </si>
  <si>
    <t>Otros (22); Robot / carga / manipulacion (6); Electrico / PLC / PC / comunicacion (5)</t>
  </si>
  <si>
    <t>emg 1 error (6); disk boot failure (2); no carga los parametros del disco duro (2)</t>
  </si>
  <si>
    <t>Otros (43); Robot / carga / manipulacion (19); Mecanica / desgaste / rotura (12)</t>
  </si>
  <si>
    <t>fallo garra 3 robot abb (2); piezas se enganchan en transferizado (1); anom transf carga weisser 209 se para y (1)</t>
  </si>
  <si>
    <t>Otros (54); Seguridad / puertas / protecciones (12); Hidraulica / aceite (10)</t>
  </si>
  <si>
    <t>isla-2 col. 1 falla transductor. (3); isla-2 columna nº1 no va transductor (2); isla-2 columna 1 no va transductor. (2)</t>
  </si>
  <si>
    <t>Otros (13); Preventivo / TPM (10); Hidraulica / aceite (6)</t>
  </si>
  <si>
    <t>tpm 41012 (4); tpm muratec 41012 (2); averia valvula aire (1)</t>
  </si>
  <si>
    <t>Horno / temperatura (56); Neumatica / aire (10); Electrico / PLC / PC / comunicacion (8)</t>
  </si>
  <si>
    <t>ventilador zona 1 calentamiento clavado (2); anular alarma tanque de aceite viejo (1); fallo caudal inyeccion bomba lavadora (1)</t>
  </si>
  <si>
    <t>Otros (10); Preventivo / TPM (5); Mecanica / desgaste / rotura (5)</t>
  </si>
  <si>
    <t>tpm 41011 (3); sonda marposs fuera de rango (1); tpm (1)</t>
  </si>
  <si>
    <t>Otros (57); Mecanica / desgaste / rotura (22); Robot / carga / manipulacion (10)</t>
  </si>
  <si>
    <t>fallo apoyo plano (9); fallo individualizador de pzas (3); eje z+ limite de hardware (2)</t>
  </si>
  <si>
    <t>Robot / carga / manipulacion (62); Neumatica / aire (4); Electrico / PLC / PC / comunicacion (3)</t>
  </si>
  <si>
    <t>no conecta medios (1); averia modulo elevacion g121 (1); fallo inmovilizador (1)</t>
  </si>
  <si>
    <t>Electrico / PLC / PC / comunicacion (13); Hidraulica / aceite (3); Refrigerante / agua / lavado (1)</t>
  </si>
  <si>
    <t>cambiar bateria sai del pc (1); mechero desahogo (1); tpm-r 207564 anular valvulas sin uso (1)</t>
  </si>
  <si>
    <t>Otros (47); Mecanica / desgaste / rotura (13); Electrico / PLC / PC / comunicacion (4)</t>
  </si>
  <si>
    <t>se quedan las pzas en la cazoleta (3); anomalia giro pza (pza no laminada) (3); enganche transferizado salida (2)</t>
  </si>
  <si>
    <t>Otros (13); Robot / carga / manipulacion (11); Calidad / medicion / proceso (4)</t>
  </si>
  <si>
    <t>anomalia estrella op10 (2); actualizar láser (1); anomalia almacén de carga (1)</t>
  </si>
  <si>
    <t>Robot / carga / manipulacion (26); Electrico / PLC / PC / comunicacion (1)</t>
  </si>
  <si>
    <t>fallo robot (2); h-15 construccion centrador palets (1); anomalia robot (1)</t>
  </si>
  <si>
    <t>Otros (15); Calidad / medicion / proceso (11); Electrico / PLC / PC / comunicacion (8)</t>
  </si>
  <si>
    <t>calibre mdk 6ª cono no funciona (1); equilibrador nok (1); la visulacion de la pantalla no es corre (1)</t>
  </si>
  <si>
    <t>Mecanica / desgaste / rotura (47); Robot / carga / manipulacion (36); Calidad / medicion / proceso (4)</t>
  </si>
  <si>
    <t>colision kuka (2); fallo cámara (2); acondicionar garra kuka (1)</t>
  </si>
  <si>
    <t>Otros (12); Mecanica / desgaste / rotura (1); Robot / carga / manipulacion (1)</t>
  </si>
  <si>
    <t>cortadora no funciona (2); cortadora sin luz interna (1); mesa no avanza (1)</t>
  </si>
  <si>
    <t>Otros (16); Refrigerante / agua / lavado (6); Proceso / ciclo / tiempo (4)</t>
  </si>
  <si>
    <t>mandrino clavado (2); puesto de control sin luz (1); tpm-r 207302 cajetin roto (1)</t>
  </si>
  <si>
    <t>Electrico / PLC / PC / comunicacion (80); Hidraulica / aceite (5); Neumatica / aire (1)</t>
  </si>
  <si>
    <t>cambiar muelles (2); cable paquete de micros l2/h2 quemado (1); no cambia el programa (1)</t>
  </si>
  <si>
    <t>Otros (22); Refrigerante / agua / lavado (6); Mecanica / desgaste / rotura (5)</t>
  </si>
  <si>
    <t>ajustar 0 medidor (1); tpm-r 218987 fuga bombas hidraulicas (1); tpm-r 218771 fuga bomba hicrauilco (1)</t>
  </si>
  <si>
    <t>Otros (13); Hidraulica / aceite (8); Refrigerante / agua / lavado (2)</t>
  </si>
  <si>
    <t>ghc defectuoso a12 no arranca (2); tpm-r 26293 fuga refrigerante (1); tpm-r 206596 fuga hidrau sobre deposito (1)</t>
  </si>
  <si>
    <t>Robot / carga / manipulacion (32); Refrigerante / agua / lavado (3); Hidraulica / aceite (1)</t>
  </si>
  <si>
    <t>colision robot 3 contra mesa (2); extractores de sala comedor eng 281 (1); rechaza granalla nueva (1)</t>
  </si>
  <si>
    <t>Otros (20); Hidraulica / aceite (20); Refrigerante / agua / lavado (10)</t>
  </si>
  <si>
    <t>electrovalvula lavadora buje 3/4 no abre (2); elevador salida 3/4 pierde posicion... (1); excesivo ruido en bomba (1)</t>
  </si>
  <si>
    <t>Electrico / PLC / PC / comunicacion (79); Hidraulica / aceite (13); Neumatica / aire (9)</t>
  </si>
  <si>
    <t>desmontar tubo desahogo l1/h1 (2); flujometro nok (1); tpm r-207646 valvula de enfri. aceite (1)</t>
  </si>
  <si>
    <t>Otros (64); Hidraulica / aceite (47); Electrico / PLC / PC / comunicacion (16)</t>
  </si>
  <si>
    <t>isla-9 fuga hyd. (3); isla-9 horno (2); flujometro agua piston (2)</t>
  </si>
  <si>
    <t>Preventivo / TPM (13); Mecanica / desgaste / rotura (6); Otros (5)</t>
  </si>
  <si>
    <t>tpm (2); tpm muratec 41010 (2); tpm 41010 (2)</t>
  </si>
  <si>
    <t>Refrigerante / agua / lavado (47); Hidraulica / aceite (3); Neumatica / aire (1)</t>
  </si>
  <si>
    <t>fallo stopper lavado (2); fallo sonda nivel (2); salta termico 34f2 (2)</t>
  </si>
  <si>
    <t>Refrigerante / agua / lavado (43); Hidraulica / aceite (2)</t>
  </si>
  <si>
    <t>cadena rota (3); rotura cadena (2); cadena cinta lavadora rota (2)</t>
  </si>
  <si>
    <t>Otros (14); Mecanica / desgaste / rotura (8); Refrigerante / agua / lavado (3)</t>
  </si>
  <si>
    <t>pasan 2 piezas algunas veces (1); valvula entr. taladrina no corta (1); enganche en lavadora (1)</t>
  </si>
  <si>
    <t>Robot / carga / manipulacion (83); Electrico / PLC / PC / comunicacion (6); Hidraulica / aceite (1)</t>
  </si>
  <si>
    <t>falla con termos nuevos al cogerlos (1); revisar dejada termo/pieza en z (1); fallo robot descarga carcasa mq-281 (1)</t>
  </si>
  <si>
    <t>Otros (15); Mecanica / desgaste / rotura (4); Neumatica / aire (2)</t>
  </si>
  <si>
    <t>se ha borrado programa r (1); programar intervalos virutero (1); no arranca maquina (1)</t>
  </si>
  <si>
    <t>Otros (29); Robot / carga / manipulacion (8); Refrigerante / agua / lavado (2)</t>
  </si>
  <si>
    <t>exceso de fugas en lk11 (1); fallo patronaje robot (1); fallo señal posición 2 (1)</t>
  </si>
  <si>
    <t>2025, 2026</t>
  </si>
  <si>
    <t>Otros (15); Mecanica / desgaste / rotura (12); Robot / carga / manipulacion (11)</t>
  </si>
  <si>
    <t>anomalia cargador (3); no bloca la pieza (2); fallo de cargador (2)</t>
  </si>
  <si>
    <t>Proceso / ciclo / tiempo (7); Robot / carga / manipulacion (6); Otros (5)</t>
  </si>
  <si>
    <t>no continua ciclo (2); ciclo prensado nok (1); prensa no continua ciclo (1)</t>
  </si>
  <si>
    <t>Calidad / medicion / proceso (5); Seguridad / puertas / protecciones (3); Electrico / PLC / PC / comunicacion (1)</t>
  </si>
  <si>
    <t>anomalía seguridad de puerta (2); disco corte desplazado (1); tpm-r 207517 puerta depósito caída (1)</t>
  </si>
  <si>
    <t>Otros (11); Proceso / ciclo / tiempo (2); Mecanica / desgaste / rotura (2)</t>
  </si>
  <si>
    <t>transferizado pierde ciclo (1); no arranca (1); carro eje z no actúa (1)</t>
  </si>
  <si>
    <t>Otros (13); Mecanica / desgaste / rotura (4); Electrico / PLC / PC / comunicacion (2)</t>
  </si>
  <si>
    <t>no arranca (2); no inicia programa (1); no arranca programa (1)</t>
  </si>
  <si>
    <t>Mecanica / desgaste / rotura (7); Robot / carga / manipulacion (5)</t>
  </si>
  <si>
    <t>cadena desfasada (1); cadena de transporte desfasada (1); acondicionar garras cargador (1)</t>
  </si>
  <si>
    <t>Mecanica / desgaste / rotura (9); Robot / carga / manipulacion (9); Hidraulica / aceite (4)</t>
  </si>
  <si>
    <t>fallo eje z (1); fuga por intercambiador de calor a bande (1); tpm-r 220370 fuga hidraulico bomba (1)</t>
  </si>
  <si>
    <t>Robot / carga / manipulacion (22); Electrico / PLC / PC / comunicacion (1)</t>
  </si>
  <si>
    <t>garra nº2 rota (1); averia plato garras robot (1); detector presencia pieza garra 1 abb (1)</t>
  </si>
  <si>
    <t>Robot / carga / manipulacion (20); Mecanica / desgaste / rotura (16); Electrico / PLC / PC / comunicacion (2)</t>
  </si>
  <si>
    <t>reparar puerta acceso ewab (1); no arranca cargador despues de colision (1); paros ciclo cargador en automatico (1)</t>
  </si>
  <si>
    <t>Otros (27); Hidraulica / aceite (5); Proceso / ciclo / tiempo (5)</t>
  </si>
  <si>
    <t>fallo caudal de refrigerante (2); fallo señal sincronismo activado (1); fallo carro de brochar (1)</t>
  </si>
  <si>
    <t>Neumatica / aire (3); Mecanica / desgaste / rotura (2); Otros (1)</t>
  </si>
  <si>
    <t>tubo aire comprim. sch. roto (1); fallo software máquina (1); tubo aire roto (1)</t>
  </si>
  <si>
    <t>Calidad / medicion / proceso (7); Otros (6); Robot / carga / manipulacion (5)</t>
  </si>
  <si>
    <t>falla soplado apoyo (1); problemas bateria (1); fuga hidraulica plato (1)</t>
  </si>
  <si>
    <t>Otros (13); Hidraulica / aceite (4); Mecanica / desgaste / rotura (2)</t>
  </si>
  <si>
    <t>avería fidia (2); colocar metraquilato en la mesa. (1); fuga hidraulico fidia (1)</t>
  </si>
  <si>
    <t>Electrico / PLC / PC / comunicacion (60); Hidraulica / aceite (11); Neumatica / aire (2)</t>
  </si>
  <si>
    <t>sustitución y reparación tubos radiantes (2); alimentar switch armario servidor redund (1); resistencia aceitre rota (1)</t>
  </si>
  <si>
    <t>Otros (12); Calidad / medicion / proceso (6); Robot / carga / manipulacion (5)</t>
  </si>
  <si>
    <t>fallo apoyo plano (2); falla apoyo plano (1); falla soplado apoyo (1)</t>
  </si>
  <si>
    <t>Otros (17); Electrico / PLC / PC / comunicacion (8); Hidraulica / aceite (2)</t>
  </si>
  <si>
    <t>no arranca el sistema (2); pc no arranca (2); cilindro medidor no desciende (1)</t>
  </si>
  <si>
    <t>Otros (27); Hidraulica / aceite (19); Seguridad / puertas / protecciones (9)</t>
  </si>
  <si>
    <t>banda de seguridad puerta anterior (3); fuga de hidraulico (3); interruptor general cuadro atemperadores (2)</t>
  </si>
  <si>
    <t>Otros (12); Refrigerante / agua / lavado (8); Mecanica / desgaste / rotura (8)</t>
  </si>
  <si>
    <t>41017 no arranca (2); soporte lavadora roto (1); tpm-r 223908 (1)</t>
  </si>
  <si>
    <t>Otros (7); Calidad / medicion / proceso (5); Refrigerante / agua / lavado (3)</t>
  </si>
  <si>
    <t>fallo bomba retorno refrigerante (2); fallo escala autinity se ve muy pequeña (1); se pone en repaso automaticamente -artis (1)</t>
  </si>
  <si>
    <t>Otros (17); Refrigerante / agua / lavado (10); Electrico / PLC / PC / comunicacion (5)</t>
  </si>
  <si>
    <t>fallo medidor desbaste (2); mandrino clavado (2); avería blocaje (2)</t>
  </si>
  <si>
    <t>Electrico / PLC / PC / comunicacion (15); Hidraulica / aceite (5)</t>
  </si>
  <si>
    <t>cambio bateria plc horno c (1); caida de tension ipsen c (1); gas protector no conecta (1)</t>
  </si>
  <si>
    <t>2024, 2025, 2026</t>
  </si>
  <si>
    <t>Refrigerante / agua / lavado (21); Neumatica / aire (2)</t>
  </si>
  <si>
    <t>no entra agua en la lavadora (1); selector roto (1); contactor no funciona (1)</t>
  </si>
  <si>
    <t>Robot / carga / manipulacion (43); Electrico / PLC / PC / comunicacion (3)</t>
  </si>
  <si>
    <t>fallo escaner detector ceston (1); regulacion robot 4 carga (1); robot 4 conector roto (1)</t>
  </si>
  <si>
    <t>Refrigerante / agua / lavado (59); Hidraulica / aceite (3)</t>
  </si>
  <si>
    <t>atascos interior lavadora (2); anomalia cable entrada (1); anomalia nivel maximo lavado (1)</t>
  </si>
  <si>
    <t>Preventivo / TPM (6); Otros (4); Robot / carga / manipulacion (4)</t>
  </si>
  <si>
    <t>tpm 41005 (2); fallo engrase bomba (1); comprobar estado soplado torreta (1)</t>
  </si>
  <si>
    <t>Otros (22); Hidraulica / aceite (21); Preventivo / TPM (10)</t>
  </si>
  <si>
    <t>cambiar cajas de conexiones atemperadore (1); fuga de hyd zona cierre isla 9 (1); fallo profinet isla-9 (1)</t>
  </si>
  <si>
    <t>Otros (4); Hidraulica / aceite (3); Mecanica / desgaste / rotura (2)</t>
  </si>
  <si>
    <t>sustituir correas (1); tpm-r 218352 perdida aceite bancada (1); tpm-r-210936-perdida engrase por bancada (1)</t>
  </si>
  <si>
    <t>Robot / carga / manipulacion (46); Neumatica / aire (1); Electrico / PLC / PC / comunicacion (1)</t>
  </si>
  <si>
    <t>maneta puerta rota (2); pedir consola kuka (1); se frenan palets en curva de ewab (1)</t>
  </si>
  <si>
    <t>Robot / carga / manipulacion (6); Electrico / PLC / PC / comunicacion (1)</t>
  </si>
  <si>
    <t>granalladora automática robot choca (1); el robot aprieta mucho en z (1); abb alju automaitca fallo com. camara (1)</t>
  </si>
  <si>
    <t>Otros (29); Calidad / medicion / proceso (5); Electrico / PLC / PC / comunicacion (3)</t>
  </si>
  <si>
    <t>sustituir patron de rodadura (3); ajustar rodadora (2); rechazo de piezas (1)</t>
  </si>
  <si>
    <t>Calidad / medicion / proceso (2)</t>
  </si>
  <si>
    <t>eje porta disco nok (1); tpm-r 199302 lampara fundida (1)</t>
  </si>
  <si>
    <t>Calidad / medicion / proceso (33); Robot / carga / manipulacion (6); Electrico / PLC / PC / comunicacion (3)</t>
  </si>
  <si>
    <t>fuga patrón medida nok (1); revisar o limpiar circuito prueba patrón (1); pantalla icd casi no se ve. (1)</t>
  </si>
  <si>
    <t>Otros (30); Mecanica / desgaste / rotura (7); Neumatica / aire (3)</t>
  </si>
  <si>
    <t>averia acheson isla-4 (3); isla 4 acheson no posiciona home (3); isla 4 averia acheson eje z (2)</t>
  </si>
  <si>
    <t>Robot / carga / manipulacion (48); Hidraulica / aceite (3); Electrico / PLC / PC / comunicacion (2)</t>
  </si>
  <si>
    <t>dejada nok en 1034/1035 (1); eje x posición errónea (1); error hardware captador activo eje x (1)</t>
  </si>
  <si>
    <t>Otros (4); Seguridad / puertas / protecciones (4); Mecanica / desgaste / rotura (4)</t>
  </si>
  <si>
    <t>tpm fuga de hidráulico (1); sustituir mangueras hidraulicas (1); anom individualizador de salida (1)</t>
  </si>
  <si>
    <t>Otros (16); Mecanica / desgaste / rotura (6); Proceso / ciclo / tiempo (3)</t>
  </si>
  <si>
    <t>eslabones rotos (2); no coje el arranque conectado (1); eslavon roto se atascan las piezas (1)</t>
  </si>
  <si>
    <t>Otros (7); Robot / carga / manipulacion (2); Mecanica / desgaste / rotura (1)</t>
  </si>
  <si>
    <t>avería cargador (1); falta correa eje x (1); anomalia caudal neumático (1)</t>
  </si>
  <si>
    <t>Otros (35); Mecanica / desgaste / rotura (12); Proceso / ciclo / tiempo (7)</t>
  </si>
  <si>
    <t>anom señal pinza desblocada c2 (3); colision mango roto, sacar chaveta posic (1); tpm-r 200103 fuga aceite husillo 2 (hid (1)</t>
  </si>
  <si>
    <t>Robot / carga / manipulacion (8)</t>
  </si>
  <si>
    <t>fallo de señal garra kuka (1); fallo garras robot (1); averia micro garra kuka (1)</t>
  </si>
  <si>
    <t>2022, 2024, 2025, 2026</t>
  </si>
  <si>
    <t>Otros (9); Robot / carga / manipulacion (2); Mecanica / desgaste / rotura (2)</t>
  </si>
  <si>
    <t>reparar tapa antisalpicaduras (1); rechazo excesivo desbaste (1); fallo medidor (1)</t>
  </si>
  <si>
    <t>Mecanica / desgaste / rotura (11); Robot / carga / manipulacion (1); Electrico / PLC / PC / comunicacion (1)</t>
  </si>
  <si>
    <t>puesta en marcha y p.p.linea afeit.5v. (1); arranque linea. (1); 160anque primario 5v. (1)</t>
  </si>
  <si>
    <t>Otros (8); Mecanica / desgaste / rotura (5); Neumatica / aire (4)</t>
  </si>
  <si>
    <t>transferizado se atasca (1); hacer protección nueva reenvio inferior (1); fallo interruptor general (1)</t>
  </si>
  <si>
    <t>Otros (18); Robot / carga / manipulacion (7); Preventivo / TPM (4)</t>
  </si>
  <si>
    <t>avería marcador (1); fuga hidráulica (1); fuga neumatica por unidad de reparto (va (1)</t>
  </si>
  <si>
    <t>Robot / carga / manipulacion (35); Electrico / PLC / PC / comunicacion (4); Neumatica / aire (2)</t>
  </si>
  <si>
    <t>falla registro de pantalla carga (1); portico 4 señal pinza gancho g122 (1); fallo se;al gancho pinza g122 (1)</t>
  </si>
  <si>
    <t>Electrico / PLC / PC / comunicacion (9)</t>
  </si>
  <si>
    <t>desagüe embozado (1); pulidora manual correa rota (1); tpm-r 207578 interruptor roto (1)</t>
  </si>
  <si>
    <t>Robot / carga / manipulacion (32); Electrico / PLC / PC / comunicacion (2)</t>
  </si>
  <si>
    <t>pinza robot no abre (1); puerta robot no abre (1); pinza se clava no tiene señal ab/cerrado (1)</t>
  </si>
  <si>
    <t>Calidad / medicion / proceso (22); Robot / carga / manipulacion (4); Hidraulica / aceite (1)</t>
  </si>
  <si>
    <t>sanear circuito medida fuga (1); se interrumpe el ciclo automatico (1); fallo giro mesa si especificar (1)</t>
  </si>
  <si>
    <t>Robot / carga / manipulacion (8); Neumatica / aire (1); Electrico / PLC / PC / comunicacion (1)</t>
  </si>
  <si>
    <t>no arranca (2); boton hombre muerto nok (1); fallo medicion garra abb (1)</t>
  </si>
  <si>
    <t>Otros (30); Mecanica / desgaste / rotura (15); Seguridad / puertas / protecciones (11)</t>
  </si>
  <si>
    <t>anom puerta intermedia (4); fallo apoyo plano (4); fallo puerta intermedia (4)</t>
  </si>
  <si>
    <t>Mecanica / desgaste / rotura (11); Calidad / medicion / proceso (8); Hidraulica / aceite (6)</t>
  </si>
  <si>
    <t>columna marposs nº1 nok (1); equilibrado no funciona correctamente (1); fuga hidraulico guias de maquina (1)</t>
  </si>
  <si>
    <t>Otros (17); Robot / carga / manipulacion (7); Calidad / medicion / proceso (1)</t>
  </si>
  <si>
    <t>fallo dosificador (2); calibrar medidor (1); anomalías prensa (1)</t>
  </si>
  <si>
    <t>Electrico / PLC / PC / comunicacion (74); Hidraulica / aceite (6); Refrigerante / agua / lavado (2)</t>
  </si>
  <si>
    <t>servidor de los hornos ipsen apagado (2); cambiar ventilador l2-h1 zona1 (2); engrasar juntas (2)</t>
  </si>
  <si>
    <t>Otros (9); Robot / carga / manipulacion (6); Calidad / medicion / proceso (5)</t>
  </si>
  <si>
    <t>activar calibracion marposs cada 6h (1); cambiar plato (1); problemas carga muratec no coge ult piez (1)</t>
  </si>
  <si>
    <t>Horno / temperatura (13); Mecanica / desgaste / rotura (4); Neumatica / aire (2)</t>
  </si>
  <si>
    <t>horno isla x (2); averia horno (2); fluctuacion horno isla x (1)</t>
  </si>
  <si>
    <t>Otros (4); Calidad / medicion / proceso (1); Refrigerante / agua / lavado (1)</t>
  </si>
  <si>
    <t>apreciacion ultrasonidos nok. (1); oscilacion en la medicion. (1); no existe la bomba del agua (1)</t>
  </si>
  <si>
    <t>2022, 2024</t>
  </si>
  <si>
    <t>Otros (10); Calidad / medicion / proceso (9); Electrico / PLC / PC / comunicacion (6)</t>
  </si>
  <si>
    <t>fallo equilibrador (3); fallo cuando perfila (1); fallo perfilado (1)</t>
  </si>
  <si>
    <t>Otros (28); Mecanica / desgaste / rotura (8); Proceso / ciclo / tiempo (5)</t>
  </si>
  <si>
    <t>no funciona transferizado (2); se interrumpe el ciclo (2); anomalia ascensor de entrada (2)</t>
  </si>
  <si>
    <t>Otros (30); Refrigerante / agua / lavado (7); Robot / carga / manipulacion (5)</t>
  </si>
  <si>
    <t>poco caudal de refrigerante (2); herramienta inferior no gira (1); no se enciende el cuadro de mando (1)</t>
  </si>
  <si>
    <t>Otros (5); Mecanica / desgaste / rotura (3); Electrico / PLC / PC / comunicacion (1)</t>
  </si>
  <si>
    <t>reparar torno (1); sustituir pantalla fluorescente torno. (1); no funciona movimiento de cabezal (1)</t>
  </si>
  <si>
    <t>Refrigerante / agua / lavado (46); Neumatica / aire (1)</t>
  </si>
  <si>
    <t>fuga de agua bomba lavado (1); no funciona control llenado agua desion. (1); pilotaje llenado nivel enjuague no actua (1)</t>
  </si>
  <si>
    <t>Otros (12); Refrigerante / agua / lavado (2); Hidraulica / aceite (2)</t>
  </si>
  <si>
    <t>atasco piezas (2); no sale agua de lavado. (1); enganche transferizado (1)</t>
  </si>
  <si>
    <t>Otros (12); Refrigerante / agua / lavado (6); Calidad / medicion / proceso (5)</t>
  </si>
  <si>
    <t>centrador lavadora (1); fallo patronaje marposs (1); tpm muratec 41021 (1)</t>
  </si>
  <si>
    <t>Otros (6); Mecanica / desgaste / rotura (1); Robot / carga / manipulacion (1)</t>
  </si>
  <si>
    <t>transferizado de 5/6 le faltan eslabones (1); no van motores cintas (1); cinta fuera de su sitio. (1)</t>
  </si>
  <si>
    <t>Hidraulica / aceite (9); Otros (9); Seguridad / puertas / protecciones (8)</t>
  </si>
  <si>
    <t>fuga de hyd zona superior (1); averia puerta prensa. isla-7 (1); is7- fuga hyd vastago prensa (1)</t>
  </si>
  <si>
    <t>Otros (15); Robot / carga / manipulacion (10); Hidraulica / aceite (4)</t>
  </si>
  <si>
    <t>golpe en mecanizado (2); golpea pieza al cargar (2); hacer p.a.p paralelismo (1)</t>
  </si>
  <si>
    <t>Otros (11); Robot / carga / manipulacion (9); Electrico / PLC / PC / comunicacion (3)</t>
  </si>
  <si>
    <t>no coge posicion basica (2); cargador no voltea (1); no funciona camara (1)</t>
  </si>
  <si>
    <t>Otros (24); Seguridad / puertas / protecciones (13); Hidraulica / aceite (12)</t>
  </si>
  <si>
    <t>averia puerta acceso robot (2); isla 3. retirar motor y chapa proteccion (1); tpm-r 219542 faltan tapas radiales l fij (1)</t>
  </si>
  <si>
    <t>Robot / carga / manipulacion (44); Neumatica / aire (1)</t>
  </si>
  <si>
    <t>colisión en cestón nuevo (2); se paran palets en cinta ewab (1); robot 2 carga, no carga pieza en palet (1)</t>
  </si>
  <si>
    <t>Otros (38); Robot / carga / manipulacion (17); Proceso / ciclo / tiempo (3)</t>
  </si>
  <si>
    <t>fallo ewab (3); anomalia brazo trasvase (2); fallo de rebabador (2)</t>
  </si>
  <si>
    <t>Otros (11); Mecanica / desgaste / rotura (8); Robot / carga / manipulacion (4)</t>
  </si>
  <si>
    <t>anomalia pick &amp; place (2); campana prensa desprensado 3d (1); averia camara estacion 3 (1)</t>
  </si>
  <si>
    <t>Robot / carga / manipulacion (17); Electrico / PLC / PC / comunicacion (1); Hidraulica / aceite (1)</t>
  </si>
  <si>
    <t>averia eje x1. (3); averaia eje x1 (2); aviso bateria cmos (1)</t>
  </si>
  <si>
    <t>Robot / carga / manipulacion (27); Granalla (13); Mecanica / desgaste / rotura (2)</t>
  </si>
  <si>
    <t>pierde granalla por la puerta (1); robot 2 fallo cogida pieza tambor (1); revisar `apoyos (1)</t>
  </si>
  <si>
    <t>Robot / carga / manipulacion (17); Neumatica / aire (3); Electrico / PLC / PC / comunicacion (1)</t>
  </si>
  <si>
    <t>fuga neumatica. (2); posiciona mal las piezas. (1); posiciona mal la pieza descarga. (1)</t>
  </si>
  <si>
    <t>Mecanica / desgaste / rotura (8); Electrico / PLC / PC / comunicacion (3); Robot / carga / manipulacion (3)</t>
  </si>
  <si>
    <t>cargador se descuelga (2); estructura medidor suelta (1); falta fuelle y tapa correa (1)</t>
  </si>
  <si>
    <t>tpm ipsen camara s (2); horno s saltan gases (1); ipsen s ,no entran gases (1)</t>
  </si>
  <si>
    <t>2024, 2026</t>
  </si>
  <si>
    <t>Electrico / PLC / PC / comunicacion (13); Hidraulica / aceite (1)</t>
  </si>
  <si>
    <t>mesa giratoria bloqueada (2); normalizar seguridades (1); reparar bajante (1)</t>
  </si>
  <si>
    <t>Calidad / medicion / proceso (11); Robot / carga / manipulacion (8); Refrigerante / agua / lavado (5)</t>
  </si>
  <si>
    <t>rotura cinta ewab descarga (2); fallo elevador 2 pierde tension (1); atasco palets entrada enfriadora (1)</t>
  </si>
  <si>
    <t>Mecanica / desgaste / rotura (4); Hidraulica / aceite (2); Neumatica / aire (1)</t>
  </si>
  <si>
    <t>no conecta hidraulico (2); fuga neumatica cargador. (1); puesta en marcha linea 5v. (1)</t>
  </si>
  <si>
    <t>Robot / carga / manipulacion (33); Refrigerante / agua / lavado (3); Electrico / PLC / PC / comunicacion (1)</t>
  </si>
  <si>
    <t>robot colaborador no arranca (2); no arranca robot (2); hacer puntos (1)</t>
  </si>
  <si>
    <t>Otros (18); Robot / carga / manipulacion (10); Mecanica / desgaste / rotura (4)</t>
  </si>
  <si>
    <t>no funciona grabador (3); no funcionan detect. patrón pc-r26-1106 (2); anomalia recorrido eje z nc1 (1)</t>
  </si>
  <si>
    <t>Otros (12); Hidraulica / aceite (11); Seguridad / puertas / protecciones (4)</t>
  </si>
  <si>
    <t>prensa no baja (2); fuga de hyd prensa (2); fuga de hyd por cilindro prensa. isla-8 (1)</t>
  </si>
  <si>
    <t>Electrico / PLC / PC / comunicacion (3); Preventivo / TPM (1); Seguridad / puertas / protecciones (1)</t>
  </si>
  <si>
    <t>tpm-r 218367 mando ext. provis. falla (1); anom puerta manejo va muy dura de mover (1); falla pantalla volante (1)</t>
  </si>
  <si>
    <t>Neumatica / aire (33); Robot / carga / manipulacion (12); Otros (10)</t>
  </si>
  <si>
    <t>fuga neumatica (14); reparacion palets (4); fuga aire (3)</t>
  </si>
  <si>
    <t>Mecanica / desgaste / rotura (8); Calidad / medicion / proceso (1); Robot / carga / manipulacion (1)</t>
  </si>
  <si>
    <t>no arranca (2); desviacion minima (1); averia modulo (1)</t>
  </si>
  <si>
    <t>Otros (15); Hidraulica / aceite (7); Electrico / PLC / PC / comunicacion (4)</t>
  </si>
  <si>
    <t>is4- averia prensa (2); averia prensa (2); fuga de hyd cilindro prensa (1)</t>
  </si>
  <si>
    <t>Robot / carga / manipulacion (40); Neumatica / aire (3); Hidraulica / aceite (1)</t>
  </si>
  <si>
    <t>roscar ejes a m8 (1); robot abb isla 3. fuga aire (1); isla 3 bombin manual auto no está (abb) (1)</t>
  </si>
  <si>
    <t>Robot / carga / manipulacion (41); Hidraulica / aceite (1); Neumatica / aire (1)</t>
  </si>
  <si>
    <t>centrador palet intermedio doblado (2); soporte láser roto (2); error láser medición (2)</t>
  </si>
  <si>
    <t>Otros (18); Mecanica / desgaste / rotura (6); Hidraulica / aceite (5)</t>
  </si>
  <si>
    <t>averia bohmer (3); isla x averia bhomer (2); avería bohmer (1)</t>
  </si>
  <si>
    <t>Robot / carga / manipulacion (16); Granalla (6); Electrico / PLC / PC / comunicacion (1)</t>
  </si>
  <si>
    <t>fallo pinza robot descarga (2); colocar sujec en conducto de la granalla (1); robot descarga pierde señal (1)</t>
  </si>
  <si>
    <t>2026</t>
  </si>
  <si>
    <t>Mecanica / desgaste / rotura (7); Electrico / PLC / PC / comunicacion (5); Otros (4)</t>
  </si>
  <si>
    <t>sustituir bateria (2); tpm-r 218414 reles y contactores (1); tpm-r 220368 fuga por los bajos máquina (1)</t>
  </si>
  <si>
    <t>Otros (26); Hidraulica / aceite (11); Electrico / PLC / PC / comunicacion (7)</t>
  </si>
  <si>
    <t>averia pc prensa (2); no llega tensión presna isla3 (1); isla 3 cable fotocelula (1)</t>
  </si>
  <si>
    <t>Otros (31); Hidraulica / aceite (16); Electrico / PLC / PC / comunicacion (8)</t>
  </si>
  <si>
    <t>averia inyeccion (2); fuga de hidraulico zona cierre (2); averia pantalla (2)</t>
  </si>
  <si>
    <t>Calidad / medicion / proceso (37); Robot / carga / manipulacion (10); Seguridad / puertas / protecciones (2)</t>
  </si>
  <si>
    <t>piezas nok (2); cierre de seguridad puerta bayer se cae (1); fallo camara borries (1)</t>
  </si>
  <si>
    <t>Horno / temperatura (8); Neumatica / aire (3); Seguridad / puertas / protecciones (1)</t>
  </si>
  <si>
    <t>horno isla-6 (1); id1 averia horno (1); puerta de armario neumatico en mal estad (1)</t>
  </si>
  <si>
    <t>Robot / carga / manipulacion (1)</t>
  </si>
  <si>
    <t>no lee programa (1)</t>
  </si>
  <si>
    <t>2023</t>
  </si>
  <si>
    <t>Otros (13); Refrigerante / agua / lavado (8); Electrico / PLC / PC / comunicacion (3)</t>
  </si>
  <si>
    <t>sanear transferizado (3); salta termico q1 (2); ajuste guias transferizado (1)</t>
  </si>
  <si>
    <t>Mecanica / desgaste / rotura (8); Refrigerante / agua / lavado (1)</t>
  </si>
  <si>
    <t>atranque de piezas (1); atasco en la entrada (1); atranque en lavadora (1)</t>
  </si>
  <si>
    <t>Mecanica / desgaste / rotura (7); Robot / carga / manipulacion (1)</t>
  </si>
  <si>
    <t>anomalías ciclo ewab (1); palets sin código (1); stop tira las piezas (1)</t>
  </si>
  <si>
    <t>Otros (9); Neumatica / aire (1); Mecanica / desgaste / rotura (1)</t>
  </si>
  <si>
    <t>averia unidad lineal (3); fuga neumatica (1); rotura correa (1)</t>
  </si>
  <si>
    <t>Robot / carga / manipulacion (67); Electrico / PLC / PC / comunicacion (2)</t>
  </si>
  <si>
    <t>robot 1 carga (2); fallo lectura cámara (2); extraer tornillo de garra kuka (2)</t>
  </si>
  <si>
    <t>Otros (13); Robot / carga / manipulacion (3); Proceso / ciclo / tiempo (1)</t>
  </si>
  <si>
    <t>reparar curva de tranferizado ekin (1); cadena no para zona carga reishauer (1); pierde sincronismo (1)</t>
  </si>
  <si>
    <t>Proceso / ciclo / tiempo (1); Refrigerante / agua / lavado (1); Otros (1)</t>
  </si>
  <si>
    <t>atascos transferizado continuos (1); atascos continuos entrada lavadora (1)</t>
  </si>
  <si>
    <t>Horno / temperatura (11); Mecanica / desgaste / rotura (3); Electrico / PLC / PC / comunicacion (2)</t>
  </si>
  <si>
    <t>maneta armario horno (1); isla 1 armario electrico horno (1); averia electrica (1)</t>
  </si>
  <si>
    <t>Otros (10); Hidraulica / aceite (2); Neumatica / aire (1)</t>
  </si>
  <si>
    <t>tpm-r 186197 fuga hidraulico cae en grup (1); anom señales blocaje elemento (1); maquina no arranca. (1)</t>
  </si>
  <si>
    <t>Electrico / PLC / PC / comunicacion (1); Neumatica / aire (1); Robot / carga / manipulacion (1)</t>
  </si>
  <si>
    <t>pantalla joystick no funciona bien (1); fallo neumatico robot abb. (1); abb. se han perdido datos programa (1)</t>
  </si>
  <si>
    <t>Otros (41); Mecanica / desgaste / rotura (4); Robot / carga / manipulacion (4)</t>
  </si>
  <si>
    <t>anom comprobador bujes de 1/2 vel altura (2); anom comprobador bujes 1/2 vel (2); perdida de aceite de engrase por (1)</t>
  </si>
  <si>
    <t>Otros (18); Mecanica / desgaste / rotura (9); Refrigerante / agua / lavado (1)</t>
  </si>
  <si>
    <t>dosificador piston suelto (1); se caen las piezas del transferizado (1); bajada rota (1)</t>
  </si>
  <si>
    <t>Mecanica / desgaste / rotura (5); Electrico / PLC / PC / comunicacion (1); Hidraulica / aceite (1)</t>
  </si>
  <si>
    <t>pusta a punto linea. (1); interruptor roto (1); puesta en marcha linea 5v (1)</t>
  </si>
  <si>
    <t>Robot / carga / manipulacion (39); Electrico / PLC / PC / comunicacion (1); Neumatica / aire (1)</t>
  </si>
  <si>
    <t>robot no deja bien pieza en palet (1); deja mal las piezas en palets ewab (1); fallo lectura de camara (1)</t>
  </si>
  <si>
    <t>Electrico / PLC / PC / comunicacion (1); Proceso / ciclo / tiempo (1); Seguridad / puertas / protecciones (1)</t>
  </si>
  <si>
    <t>reponer cable fotocelula (1); automatico prensa isla 4 (1); isla-4 averia seguridad mecanica prensa (1)</t>
  </si>
  <si>
    <t>Refrigerante / agua / lavado (41); Hidraulica / aceite (2); Neumatica / aire (2)</t>
  </si>
  <si>
    <t>desaceitador no funciona (3); cinta ewab enfriadora salta (1); fuga racor tubería alta presión (1)</t>
  </si>
  <si>
    <t>Robot / carga / manipulacion (7); Electrico / PLC / PC / comunicacion (1)</t>
  </si>
  <si>
    <t>anomalías puesta en marcha robot (1); avería puesta en marcha robot (1); fallo robot kuka (1)</t>
  </si>
  <si>
    <t>Otros (27); Proceso / ciclo / tiempo (5); Robot / carga / manipulacion (3)</t>
  </si>
  <si>
    <t>no continua ciclo (2); anomalia cargador (2); se interrumpe el ciclo (1)</t>
  </si>
  <si>
    <t>Calidad / medicion / proceso (30); Hidraulica / aceite (4); Neumatica / aire (1)</t>
  </si>
  <si>
    <t>1037 perturbación accionamiento y2 (2); fallo volumétrico (1); marca casquillo de "12" util 2 (1)</t>
  </si>
  <si>
    <t>Otros (11); Neumatica / aire (5); Calidad / medicion / proceso (3)</t>
  </si>
  <si>
    <t>temperatura excesiva aceite refrigerante (1); variaciones de medida al inicio jornada (1); reishauer 40010 (1)</t>
  </si>
  <si>
    <t>Otros (5); Seguridad / puertas / protecciones (2); Electrico / PLC / PC / comunicacion (2)</t>
  </si>
  <si>
    <t>averia multimix isla-1 (1); seta rota. armario multimix isla x (1); averia multimix, salta termico cuadro (1)</t>
  </si>
  <si>
    <t>Refrigerante / agua / lavado (28); Neumatica / aire (3)</t>
  </si>
  <si>
    <t>desconectar resistencias bautermic (1); entrada cinta lavadora con suciedad (1); fallo pantalla (1)</t>
  </si>
  <si>
    <t>Robot / carga / manipulacion (16)</t>
  </si>
  <si>
    <t>averia dispositivo box 2 sion kcp (1); colisiones robot dejada de piezas (1); robot renishaw caja no carga ni descarga (1)</t>
  </si>
  <si>
    <t>Robot / carga / manipulacion (5)</t>
  </si>
  <si>
    <t>no arranca robot colaborador de 3 cono (1); no libera paleta y colisiona (1); avería puntos/nodos (1)</t>
  </si>
  <si>
    <t>Otros (16); Hidraulica / aceite (8); Electrico / PLC / PC / comunicacion (4)</t>
  </si>
  <si>
    <t>fuga hyd prensa (2); fuga de hyd prensa (2); fuga de hyd cilindro cierre prensaisla 6 (1)</t>
  </si>
  <si>
    <t>Neumatica / aire (4); Otros (2); Robot / carga / manipulacion (1)</t>
  </si>
  <si>
    <t>fuga neumatica (3); el tranferizado no va bien (1); no entran piezas en el sat.descsrga (1)</t>
  </si>
  <si>
    <t>Hidraulica / aceite (14); Otros (12); Neumatica / aire (2)</t>
  </si>
  <si>
    <t>fuga de hyd prensa (3); fuga de hidraulico (2); averia prensa (2)</t>
  </si>
  <si>
    <t>Otros (14); Hidraulica / aceite (8); Seguridad / puertas / protecciones (3)</t>
  </si>
  <si>
    <t>isla 1 averia prensa no baja (2); is1- averia electrica radial matriz (1); isla 1 fuga de hyd prensa (1)</t>
  </si>
  <si>
    <t>Otros (9); Seguridad / puertas / protecciones (3); Hidraulica / aceite (1)</t>
  </si>
  <si>
    <t>tpm-r 123414 fuga regulador p. bomba hid (1); al mover eje x da fallo de accionamiento (1); luz interior fundida (1)</t>
  </si>
  <si>
    <t>Mecanica / desgaste / rotura (10); Robot / carga / manipulacion (2); Calidad / medicion / proceso (2)</t>
  </si>
  <si>
    <t>en descarga se pasan piezas terminadas (1); anomalia stop transferizado rodadora (1); anomalia giro patron rodadora (1)</t>
  </si>
  <si>
    <t>Otros (13); Refrigerante / agua / lavado (6); Hidraulica / aceite (2)</t>
  </si>
  <si>
    <t>atasco transferizado (2); valvula entr. taladrina no corta (1); atasco en cinta (1)</t>
  </si>
  <si>
    <t>Refrigerante / agua / lavado (28)</t>
  </si>
  <si>
    <t>averia stopped ewab (2); rejilla de giro rota motor vahos (1); falla el stop de lavado (1)</t>
  </si>
  <si>
    <t>Otros (16); Neumatica / aire (1); Electrico / PLC / PC / comunicacion (1)</t>
  </si>
  <si>
    <t>averia acheson inverter (1); general armario acheson no apaga bombas (1); isla-5 acheson (1)</t>
  </si>
  <si>
    <t>Robot / carga / manipulacion (37)</t>
  </si>
  <si>
    <t>robot 4 carga l5 fallo señal modulo pinz (1); cortina celda de carga 4 (1); no coge bien los termos en altillo (1)</t>
  </si>
  <si>
    <t>Refrigerante / agua / lavado (29); Neumatica / aire (2); Hidraulica / aceite (1)</t>
  </si>
  <si>
    <t>baño no se calienta correctamente (1); boya, nivel no correcto (1); fallo detector presencia paleta (1)</t>
  </si>
  <si>
    <t>Electrico / PLC / PC / comunicacion (4)</t>
  </si>
  <si>
    <t>tpm revenido l1/h1 (1); tpm revenido l1/h2 (1); modificación mechero (1)</t>
  </si>
  <si>
    <t>Otros (12); Neumatica / aire (3); Refrigerante / agua / lavado (1)</t>
  </si>
  <si>
    <t>averia acheson (2); averia multimix (2); multimix isla 6 no da presión (1)</t>
  </si>
  <si>
    <t>Robot / carga / manipulacion (8); Electrico / PLC / PC / comunicacion (1)</t>
  </si>
  <si>
    <t>no carga bien las piezas (1); abb no sigue ciclo (1); fallo modulo (1)</t>
  </si>
  <si>
    <t>2023, 2024, 2025</t>
  </si>
  <si>
    <t>Robot / carga / manipulacion (13); Electrico / PLC / PC / comunicacion (2); Neumatica / aire (1)</t>
  </si>
  <si>
    <t>error al dejar pieza sobre palet (1); av. profinet datamatrix (1); robot no descarga piezas en bayer (1)</t>
  </si>
  <si>
    <t>Refrigerante / agua / lavado (19)</t>
  </si>
  <si>
    <t>no lava (2); adecuar protecciones (1); seta emergencia rota (1)</t>
  </si>
  <si>
    <t>Robot / carga / manipulacion (12)</t>
  </si>
  <si>
    <t>paros intermitentes no continua ciclo (1); problemas continuos en el arranque (1); se para instalacion y no se rearma en au (1)</t>
  </si>
  <si>
    <t>Otros (1)</t>
  </si>
  <si>
    <t>plato de arrastre pieza patina (1)</t>
  </si>
  <si>
    <t>2022</t>
  </si>
  <si>
    <t>Mecanica / desgaste / rotura (8); Robot / carga / manipulacion (6)</t>
  </si>
  <si>
    <t>no graba palets (1); satelite carga/descarga nok (1); no funciona satelite (1)</t>
  </si>
  <si>
    <t>Robot / carga / manipulacion (29); Electrico / PLC / PC / comunicacion (2)</t>
  </si>
  <si>
    <t>cerradura jaula robot carga carro suelta (1); consola krc4 carga en mal estado (1); garra parrilllas nok. robot descarga (1)</t>
  </si>
  <si>
    <t>Robot / carga / manipulacion (10); Calidad / medicion / proceso (9); Electrico / PLC / PC / comunicacion (1)</t>
  </si>
  <si>
    <t>atasco cadena ewab descarga caja l5 (1); cinta ewab rota zona descarga caja (1); rotura cinta ewab 3 (1)</t>
  </si>
  <si>
    <t>Otros (28); Neumatica / aire (5); Mecanica / desgaste / rotura (2)</t>
  </si>
  <si>
    <t>averia acheson. isla-7 (3); isla 7 averia acheson (2); is7- averia multimix (2)</t>
  </si>
  <si>
    <t>Robot / carga / manipulacion (4); Otros (2); Proceso / ciclo / tiempo (2)</t>
  </si>
  <si>
    <t>mal posicionamiento en carga - descarga (1); no da señal leva presencia pieza en garr (1); falla detector manumatic (1)</t>
  </si>
  <si>
    <t>Proceso / ciclo / tiempo (4); Mecanica / desgaste / rotura (3); Otros (3)</t>
  </si>
  <si>
    <t>cadena no para (2); se interrumpe ciclo (2); falla iluminacion (1)</t>
  </si>
  <si>
    <t>Mecanica / desgaste / rotura (2); Electrico / PLC / PC / comunicacion (1); Robot / carga / manipulacion (1)</t>
  </si>
  <si>
    <t>error conexion cn - plc (1); cargador no continua ciclo automatico. (1); arranque linea 5 v. (1)</t>
  </si>
  <si>
    <t>Refrigerante / agua / lavado (17); Hidraulica / aceite (3)</t>
  </si>
  <si>
    <t>sustituir grifos de llenado directo (1); junta puerta baño 1 suelta (1); cinta transporte se para (1)</t>
  </si>
  <si>
    <t>Otros (5); Mecanica / desgaste / rotura (3); Proceso / ciclo / tiempo (2)</t>
  </si>
  <si>
    <t>rotura transferizado (2); pierde ciclo entrada a 90296 (1); enganches continuos (trans 5 vel.) (1)</t>
  </si>
  <si>
    <t>Robot / carga / manipulacion (7)</t>
  </si>
  <si>
    <t>pierde ceros robot (1); fallo robot al coger pieza de máquina (1); pérdida continuidad robot (1)</t>
  </si>
  <si>
    <t>Robot / carga / manipulacion (7); Hidraulica / aceite (1)</t>
  </si>
  <si>
    <t>abb no funciona (1); se descuelga soporte válvulas robot (1); pinza robot abb no cierra al coger pieza (1)</t>
  </si>
  <si>
    <t>Calidad / medicion / proceso (5); Electrico / PLC / PC / comunicacion (1)</t>
  </si>
  <si>
    <t>impresora no funciona. (1); no funciona (1); anomalía eje " y " (1)</t>
  </si>
  <si>
    <t>Otros (13); Electrico / PLC / PC / comunicacion (3); Mecanica / desgaste / rotura (2)</t>
  </si>
  <si>
    <t>no arranca transferizado (2); fallo pulmon t12 (1); atranque transferizado (1)</t>
  </si>
  <si>
    <t>Otros (9); Mecanica / desgaste / rotura (5); Electrico / PLC / PC / comunicacion (4)</t>
  </si>
  <si>
    <t>eje x+ limite se sofware (2); tpm-r 206346 salta térmico (1); anom empujador pza (1)</t>
  </si>
  <si>
    <t>Otros (14); Proceso / ciclo / tiempo (3); Mecanica / desgaste / rotura (3)</t>
  </si>
  <si>
    <t>averia acheson (4); pierde automático (1); multimix isla 3 no tira desmoldeante (1)</t>
  </si>
  <si>
    <t>Mecanica / desgaste / rotura (7); Otros (6); Robot / carga / manipulacion (2)</t>
  </si>
  <si>
    <t>no se mueven los ejes (3); desagüe embozado (1); excesivo tiempo corte pieza (1)</t>
  </si>
  <si>
    <t>Preventivo / TPM (2); Seguridad / puertas / protecciones (1)</t>
  </si>
  <si>
    <t>barrera remachadora no funciona (1); tpm-r 199334 tope para carros (1); tpm-r 199479 soportes corona (1)</t>
  </si>
  <si>
    <t>Refrigerante / agua / lavado (13); Hidraulica / aceite (5); Neumatica / aire (1)</t>
  </si>
  <si>
    <t>fuga agua en bandeja (1); fuga agua fines de semana (1); problemas retorno (1)</t>
  </si>
  <si>
    <t>Refrigerante / agua / lavado (17); Neumatica / aire (3)</t>
  </si>
  <si>
    <t>fallo seguridad puertas (2); vaciar deposito (1); fallo lavadora kk (1)</t>
  </si>
  <si>
    <t>Otros (27); Mecanica / desgaste / rotura (12); Horno / temperatura (1)</t>
  </si>
  <si>
    <t>isla 1 averia acheson (3); averia eje y acheson. isla-1 (2); isla 1 averia acheson eje y (2)</t>
  </si>
  <si>
    <t>Robot / carga / manipulacion (19); Neumatica / aire (2); Refrigerante / agua / lavado (1)</t>
  </si>
  <si>
    <t>isla 6 averia robot rearme (1); tapa robot isla 6 (1); averia ventilador abb. isla-6 (1)</t>
  </si>
  <si>
    <t>Otros (6); Refrigerante / agua / lavado (1)</t>
  </si>
  <si>
    <t>fallo embrague (2); fallo yp15 (1); elevador da fallo de embrague (1)</t>
  </si>
  <si>
    <t>Refrigerante / agua / lavado (20); Hidraulica / aceite (4)</t>
  </si>
  <si>
    <t>cunstruir protección esclavos (1); fuga agua por bomba lavadora (1); lavadora pierde agua (1)</t>
  </si>
  <si>
    <t>Refrigerante / agua / lavado (29); Neumatica / aire (2)</t>
  </si>
  <si>
    <t>piezas sucias (1); pérdidaa continuidad de ciclo (1); pantalla op. no funcionan botones (1)</t>
  </si>
  <si>
    <t>Horno / temperatura (19); Seguridad / puertas / protecciones (3); Mecanica / desgaste / rotura (3)</t>
  </si>
  <si>
    <t>averia horno (2); fuga aceite bomba horno isla 9 (1); horno isla 9 llave de seguridad (1)</t>
  </si>
  <si>
    <t>Otros (18); Mecanica / desgaste / rotura (4); Preventivo / TPM (1)</t>
  </si>
  <si>
    <t>atranque transferizado (3); señales pieza y dosificadores nok (1); tpm-r 19426 caidas de piezas desgastadas (1)</t>
  </si>
  <si>
    <t>Electrico / PLC / PC / comunicacion (12); Neumatica / aire (1)</t>
  </si>
  <si>
    <t>ipsen n, ciclo nok (1); salta termico caja presostato aire/nitro (1); tpm-r 207558 faltan canaletas electricas (1)</t>
  </si>
  <si>
    <t>Otros (12); Preventivo / TPM (3); Seguridad / puertas / protecciones (2)</t>
  </si>
  <si>
    <t>averia prensa (2); prensa no baja (2); isla 1 averia prensa (1)</t>
  </si>
  <si>
    <t>Robot / carga / manipulacion (7); Neumatica / aire (2)</t>
  </si>
  <si>
    <t>no conmuta a automático (1); no funciona robot (1); fallo consola robot (1)</t>
  </si>
  <si>
    <t>Otros (19); Robot / carga / manipulacion (6); Hidraulica / aceite (4)</t>
  </si>
  <si>
    <t>no arranca (3); fuga de aceite de circulación (2); tpm-r 220177 fuga aceite sobre depósito (1)</t>
  </si>
  <si>
    <t>Robot / carga / manipulacion (15); Otros (14); Mecanica / desgaste / rotura (3)</t>
  </si>
  <si>
    <t>colisión robot (2); comprobación de apoyo y dejada robot (1); patron no alcanza la presión requerida (1)</t>
  </si>
  <si>
    <t>Robot / carga / manipulacion (13); Electrico / PLC / PC / comunicacion (2)</t>
  </si>
  <si>
    <t>actualizar contadores robot abb (2); robot abb no va (1); cerradura antipanico espacio robot no va (1)</t>
  </si>
  <si>
    <t>Hidraulica / aceite (2); Electrico / PLC / PC / comunicacion (1); Refrigerante / agua / lavado (1)</t>
  </si>
  <si>
    <t>fallo electrico bomba de aclarado (1); fallo bomba de lavado (1); lavadora aclarado valvula llenado nok (1)</t>
  </si>
  <si>
    <t>2023, 2024, 2026</t>
  </si>
  <si>
    <t>Robot / carga / manipulacion (30); Hidraulica / aceite (1); Neumatica / aire (1)</t>
  </si>
  <si>
    <t>fallo programa robot descarga caja (1); motor 1 celda robot descarga caja (1); fallo al dejar pieza (1)</t>
  </si>
  <si>
    <t>Refrigerante / agua / lavado (17); Neumatica / aire (5)</t>
  </si>
  <si>
    <t>fuga neumatica (3); atascos salida lavadora (2); salta termico (2)</t>
  </si>
  <si>
    <t>Electrico / PLC / PC / comunicacion (5)</t>
  </si>
  <si>
    <t>averia carro bujes (1); carro transferizado bujes nitruracion (1); carro nitruracion bujes (1)</t>
  </si>
  <si>
    <t>Calidad / medicion / proceso (32); Robot / carga / manipulacion (22); Neumatica / aire (9)</t>
  </si>
  <si>
    <t>tpm-r- protecciones motor (2); rotura caja pulsador en descarga 2 (1); no funciona selección mytra en desc. 1 (1)</t>
  </si>
  <si>
    <t>Mecanica / desgaste / rotura (3); Electrico / PLC / PC / comunicacion (1); Refrigerante / agua / lavado (1)</t>
  </si>
  <si>
    <t>sanear transferizado (1); no arranca marcha (1); circuito 24 v sin tension (1)</t>
  </si>
  <si>
    <t>Robot / carga / manipulacion (41)</t>
  </si>
  <si>
    <t>cinta ewab da tirones (2); regulacion robot 3 (1); no cierra retaje (1)</t>
  </si>
  <si>
    <t>Otros (9); Electrico / PLC / PC / comunicacion (3); Hidraulica / aceite (2)</t>
  </si>
  <si>
    <t>fluorescente prensa. isla-10 (1); prensa is10 estandarizar señal radiales (1); isla x averia prensa (1)</t>
  </si>
  <si>
    <t>Otros (10); Hidraulica / aceite (4); Neumatica / aire (1)</t>
  </si>
  <si>
    <t>averia bohmer (2); fuga por deposito de grasa bohmer (1); fallo ventilador (1)</t>
  </si>
  <si>
    <t>Robot / carga / manipulacion (3)</t>
  </si>
  <si>
    <t>fallo garra abb (1); no arrancan accionamientos (1); medidor cabezamdk nok rompe sonda (1)</t>
  </si>
  <si>
    <t>2022, 2026</t>
  </si>
  <si>
    <t>Proceso / ciclo / tiempo (2); Refrigerante / agua / lavado (1)</t>
  </si>
  <si>
    <t>no continua ciclo transf buje 3/4 vel (1); transferizado no continua ciclo (1); lavadora coax no abre buje 3/4 (1)</t>
  </si>
  <si>
    <t>Neumatica / aire (1); Electrico / PLC / PC / comunicacion (1); Robot / carga / manipulacion (1)</t>
  </si>
  <si>
    <t>crear soporte tubo neumatico robot box (1); protección cable robot (1); averia robot (1)</t>
  </si>
  <si>
    <t>Otros (11); Refrigerante / agua / lavado (3); Mecanica / desgaste / rotura (3)</t>
  </si>
  <si>
    <t>electrovalvula ent emulsion de lavado (1); fuente cortocircuitada (1); antirretorno lavadora no cierra (1)</t>
  </si>
  <si>
    <t>Calidad / medicion / proceso (5); Refrigerante / agua / lavado (5); Robot / carga / manipulacion (1)</t>
  </si>
  <si>
    <t>fuga por filtro de aspiración (2); fallo eje y (1); tpm-r tapa ventilador motor moleta perfi (1)</t>
  </si>
  <si>
    <t>Refrigerante / agua / lavado (26)</t>
  </si>
  <si>
    <t>boya no actua correctamente (1); fuga bandeja (1); sustituir goma puerta (1)</t>
  </si>
  <si>
    <t>Calidad / medicion / proceso (3)</t>
  </si>
  <si>
    <t>cambiar conexion lampara led (1); tronzadora no funciona correctamente (1); reparar mordaza (1)</t>
  </si>
  <si>
    <t>2024</t>
  </si>
  <si>
    <t>Robot / carga / manipulacion (9); Hidraulica / aceite (2); Neumatica / aire (2)</t>
  </si>
  <si>
    <t>ajustar camara robot kuka (1); tactil consola no va bien (1); rotura valvula y soportes (1)</t>
  </si>
  <si>
    <t>Robot / carga / manipulacion (10); Otros (8); Neumatica / aire (8)</t>
  </si>
  <si>
    <t>reparar palets (3); fuga neumatica (2); fallos en el stop (1)</t>
  </si>
  <si>
    <t>Robot / carga / manipulacion (9)</t>
  </si>
  <si>
    <t>falla al descargar conjunto dif (1); robot no descarga pieza (1); limite de software a6 (1)</t>
  </si>
  <si>
    <t>Otros (4); Robot / carga / manipulacion (1); Electrico / PLC / PC / comunicacion (1)</t>
  </si>
  <si>
    <t>soporte detector ewab suelto (1); broca marca en el cono. (1); no libera palet (1)</t>
  </si>
  <si>
    <t>Calidad / medicion / proceso (26); Robot / carga / manipulacion (2); Neumatica / aire (1)</t>
  </si>
  <si>
    <t>fallo camara borries (1); fallo bayer fuga aire. (1); placa bayer substitucion gomas (1)</t>
  </si>
  <si>
    <t>Refrigerante / agua / lavado (17); Neumatica / aire (1)</t>
  </si>
  <si>
    <t>fuga de agua por llave de paso (1); fallo boya (1); no funciona el ascensor. (1)</t>
  </si>
  <si>
    <t>Mecanica / desgaste / rotura (4); Robot / carga / manipulacion (2); Neumatica / aire (1)</t>
  </si>
  <si>
    <t>2 (1); no pasan los palets (1); no funciona satelite de carga/descarga (1)</t>
  </si>
  <si>
    <t>Robot / carga / manipulacion (29); Hidraulica / aceite (2); Refrigerante / agua / lavado (1)</t>
  </si>
  <si>
    <t>fallo vision (1); sustiutir topes paletas (1); averia stop paleta (1)</t>
  </si>
  <si>
    <t>Hidraulica / aceite (1); Preventivo / TPM (1); Seguridad / puertas / protecciones (1)</t>
  </si>
  <si>
    <t>tmp-r 206493 pérdida de engrase (1); tpm-r 210926 fugas (1); sustituir conector y detector seguridad (1)</t>
  </si>
  <si>
    <t>Refrigerante / agua / lavado (49); Hidraulica / aceite (2); Neumatica / aire (2)</t>
  </si>
  <si>
    <t>fallo nivel (3); no arranca lavadora (2); amortiguador puerta no actua (1)</t>
  </si>
  <si>
    <t>Robot / carga / manipulacion (5); Electrico / PLC / PC / comunicacion (1)</t>
  </si>
  <si>
    <t>manguera rota (1); fallo tiempo despegue (1); no funciona abb (1)</t>
  </si>
  <si>
    <t>Horno / temperatura (14); Electrico / PLC / PC / comunicacion (1); Mecanica / desgaste / rotura (1)</t>
  </si>
  <si>
    <t>horno isla 4 (1); isla 4 averia horno (1); lamparas botoneras nok (1)</t>
  </si>
  <si>
    <t>Robot / carga / manipulacion (5); Neumatica / aire (1)</t>
  </si>
  <si>
    <t>garras fanuc fallan amenudo (1); robot no coge pieza (1); problemas garra fanut (1)</t>
  </si>
  <si>
    <t>Electrico / PLC / PC / comunicacion (10); Calidad / medicion / proceso (9); Refrigerante / agua / lavado (1)</t>
  </si>
  <si>
    <t>pc difractómetro (3); copia disco duro pc control (1); pc sin conexión a posicionador (1)</t>
  </si>
  <si>
    <t>Otros (9); Electrico / PLC / PC / comunicacion (8); Hidraulica / aceite (1)</t>
  </si>
  <si>
    <t>no enciende monitor/maniobra (1); se ha quemado el cable (1); tpm-r 206506 fuga de aceite en grupo hid (1)</t>
  </si>
  <si>
    <t>Granalla (7); Mecanica / desgaste / rotura (4); Seguridad / puertas / protecciones (1)</t>
  </si>
  <si>
    <t>anomalia despegue contra 1 (1); junta hinchable rajada c1 (1); limpieza columnas (1)</t>
  </si>
  <si>
    <t>reparar soporte garra robot descarga (1); fallo en robot(rotura de brida cableado) (1); rotura corrugado kuka carga caja (1)</t>
  </si>
  <si>
    <t>2022, 2025, 2026</t>
  </si>
  <si>
    <t>Otros (18); Neumatica / aire (6); Preventivo / TPM (2)</t>
  </si>
  <si>
    <t>ip2 averia acheson (2); isla-8 mascara pulveriza mal (1); isla-8 averia pilz lubrificador aed (1)</t>
  </si>
  <si>
    <t>Otros (2); Mecanica / desgaste / rotura (1); Proceso / ciclo / tiempo (1)</t>
  </si>
  <si>
    <t>salida de 230v no funciona (1); avería trasmisión manual eje y (1); fresadora lagun no enciende. (1)</t>
  </si>
  <si>
    <t>2023, 2026</t>
  </si>
  <si>
    <t>Horno / temperatura (8); Neumatica / aire (2); Seguridad / puertas / protecciones (1)</t>
  </si>
  <si>
    <t>isla-2 horno (1); averia baliza horno isla 2 (1); isla 2 averia horno (1)</t>
  </si>
  <si>
    <t>Otros (4); Mecanica / desgaste / rotura (1); Electrico / PLC / PC / comunicacion (1)</t>
  </si>
  <si>
    <t>rotura cadena cinta de entrada. (1); salta termico motor cinta. (1); fallo detector (1)</t>
  </si>
  <si>
    <t>Hidraulica / aceite (4); Otros (3); Neumatica / aire (1)</t>
  </si>
  <si>
    <t>anom presion neumatica (1); no arranca (1); anom indiv pzas y recogida fallo fotocel (1)</t>
  </si>
  <si>
    <t>Refrigerante / agua / lavado (18); Hidraulica / aceite (1); Neumatica / aire (1)</t>
  </si>
  <si>
    <t>salta termico (2); bomba desaceitadora sin fuerza (1); fuga agua (1)</t>
  </si>
  <si>
    <t>Robot / carga / manipulacion (14); Electrico / PLC / PC / comunicacion (2)</t>
  </si>
  <si>
    <t>choque z11en ewab de carga se pasa palet (1); fallo camara lectura piezas (1); no pasan los paleta a la decarga pórtico (1)</t>
  </si>
  <si>
    <t>Horno / temperatura (12); Mecanica / desgaste / rotura (2)</t>
  </si>
  <si>
    <t>is8- tolva horno no cierra (1); averia tapa tolva horno. isla-8 (1); averia horno ip-2 (1)</t>
  </si>
  <si>
    <t>Robot / carga / manipulacion (4)</t>
  </si>
  <si>
    <t>no continua ciclo automatico. (1); no continua ciclo aut. (1); ejes sin sincronizar. (1)</t>
  </si>
  <si>
    <t>2024, 2025</t>
  </si>
  <si>
    <t>desague atascado (1)</t>
  </si>
  <si>
    <t>Calidad / medicion / proceso (1)</t>
  </si>
  <si>
    <t>anomalia funcionamiento (1)</t>
  </si>
  <si>
    <t>Otros (10); Proceso / ciclo / tiempo (1); Robot / carga / manipulacion (1)</t>
  </si>
  <si>
    <t>potencia armario quemada (1); tpm-r 8. tiempo llenado campana (1); tpm-r 8. descarga campana nok- (1)</t>
  </si>
  <si>
    <t>Calidad / medicion / proceso (2); Electrico / PLC / PC / comunicacion (1)</t>
  </si>
  <si>
    <t>fallo inicio maquina (1); fallo en pantalla (1); sustituir pulsador visor (1)</t>
  </si>
  <si>
    <t>Otros (3); Electrico / PLC / PC / comunicacion (2); Robot / carga / manipulacion (1)</t>
  </si>
  <si>
    <t>fallo portico,transp,longitudinal viruta (1); no posiciona (1); fallo del plc (1)</t>
  </si>
  <si>
    <t>Otros (13); Mecanica / desgaste / rotura (7); Hidraulica / aceite (5)</t>
  </si>
  <si>
    <t>tornillo chaveta arrastre roto (1); piezas se atascan en pulmon flexlink (1); husillo hta. baja lento (1)</t>
  </si>
  <si>
    <t>Otros (10); Seguridad / puertas / protecciones (5); Electrico / PLC / PC / comunicacion (3)</t>
  </si>
  <si>
    <t>isla 4 pantalla no comunica a plc (1); isla-4 inyectora no abre. (1); pantalla inyectora no funciona (1)</t>
  </si>
  <si>
    <t>Otros (5); Neumatica / aire (5); Electrico / PLC / PC / comunicacion (1)</t>
  </si>
  <si>
    <t>fuga neumatica (5); no funcionan ni balizas ni luces panel (1); no llega tension a balizas (1)</t>
  </si>
  <si>
    <t>Mecanica / desgaste / rotura (6); Hidraulica / aceite (2); Robot / carga / manipulacion (1)</t>
  </si>
  <si>
    <t>posición incorrecta contrapunto (1); rotura antigiro fresa (1); puesta a punto cargador (1)</t>
  </si>
  <si>
    <t>Neumatica / aire (3); Otros (2)</t>
  </si>
  <si>
    <t>fuga aire (1); fuga neumatica (1); fuga neumatica traferizado de maquina (1)</t>
  </si>
  <si>
    <t>Mecanica / desgaste / rotura (3); Robot / carga / manipulacion (1); Refrigerante / agua / lavado (1)</t>
  </si>
  <si>
    <t>sanear transferizado (1); falla entrada palets (1); 15 (1)</t>
  </si>
  <si>
    <t>Neumatica / aire (2); Electrico / PLC / PC / comunicacion (1); Otros (1)</t>
  </si>
  <si>
    <t>sustituir selector por llave e2 (1); fuga de aire (1); fuga neumatica vaso grupo neumatico (1)</t>
  </si>
  <si>
    <t>Otros (3); Hidraulica / aceite (3); Refrigerante / agua / lavado (2)</t>
  </si>
  <si>
    <t>fallo detector estación 4 abajo (1); tpm-r 218301 fugas aceite refrig tapas y (1); desmontar válvula yp9 (1)</t>
  </si>
  <si>
    <t>Refrigerante / agua / lavado (24); Hidraulica / aceite (1); Neumatica / aire (1)</t>
  </si>
  <si>
    <t>no actua separador de aceite (1); fuga aire llave salida (1); prueba con 6ª cono (1)</t>
  </si>
  <si>
    <t>Otros (15); Mecanica / desgaste / rotura (5); Refrigerante / agua / lavado (5)</t>
  </si>
  <si>
    <t>problemas avance cadena a señal leva (1); no arranca tranf (1); fallo llave eunher lavadora (1)</t>
  </si>
  <si>
    <t>error señal de paso (1); detector garra abb no funciona (1); 19 (1)</t>
  </si>
  <si>
    <t>Robot / carga / manipulacion (13); Neumatica / aire (1); Electrico / PLC / PC / comunicacion (1)</t>
  </si>
  <si>
    <t>pórtico 3 fallos módulo de elevación (1); no posiciona elevador 111 (1); módulo elevación g122 sin señal (1)</t>
  </si>
  <si>
    <t>Refrigerante / agua / lavado (22); Hidraulica / aceite (2)</t>
  </si>
  <si>
    <t>bomba retorno no para (1); la bomba de evacuación siempre en marcha (1); no sale agua lavadora (1)</t>
  </si>
  <si>
    <t>Otros (9); Neumatica / aire (4); Mecanica / desgaste / rotura (3)</t>
  </si>
  <si>
    <t>fuga neumatica (2); transferizado da tirones (1); se atranca transferizado (1)</t>
  </si>
  <si>
    <t>Refrigerante / agua / lavado (17)</t>
  </si>
  <si>
    <t>filtro de aspiracion sucio (1); fuga tubo sobrecalentado (1); no seca las piezas correctamente. (1)</t>
  </si>
  <si>
    <t>carrilera entrada máq. (1); sacar tornillo roto garra (1); garra 3 no tiene fuerza (1)</t>
  </si>
  <si>
    <t>Preventivo / TPM (2); Otros (1); Mecanica / desgaste / rotura (1)</t>
  </si>
  <si>
    <t>tpm-r 206288 contrapunto se engancha (1); contrapunta jarbe rua no funciona (1); roturatornillo bancada (1)</t>
  </si>
  <si>
    <t>Robot / carga / manipulacion (9); Electrico / PLC / PC / comunicacion (1)</t>
  </si>
  <si>
    <t>pérdida sincronización robot con bayer (1); robot marca casquillo en mesa 2 (1); robot 1 fallo cogida de piezas (1)</t>
  </si>
  <si>
    <t>Otros (2); Preventivo / TPM (1)</t>
  </si>
  <si>
    <t>tpm-r 213643 faltan canaletas para los c (1); transferizado no va (1); curvas gastadas (1)</t>
  </si>
  <si>
    <t>Otros (10); Mecanica / desgaste / rotura (2); Electrico / PLC / PC / comunicacion (1)</t>
  </si>
  <si>
    <t>no conecta cuadro (1); elevador pierde posicion (1); elevador 18002 a 18001 no va (1)</t>
  </si>
  <si>
    <t>Robot / carga / manipulacion (1); Mecanica / desgaste / rotura (1)</t>
  </si>
  <si>
    <t>fallo acionador salida entrada palets (1); cinta transportadora se para (1)</t>
  </si>
  <si>
    <t>Otros (3); Mecanica / desgaste / rotura (3)</t>
  </si>
  <si>
    <t>teclado visualizador no funciona. (1); visualizador de cotas eje x no funciona (1); anomalias visualizador de cotas eje x (1)</t>
  </si>
  <si>
    <t>Robot / carga / manipulacion (24); Neumatica / aire (2)</t>
  </si>
  <si>
    <t>isla 4 robot abb (2); averia abb. isla-4 (2); isla-4 eje 1 abb con mucho juego. (1)</t>
  </si>
  <si>
    <t>Robot / carga / manipulacion (11)</t>
  </si>
  <si>
    <t>sacar tornillo roto (1); anomalia referencia robot kuka (1); tubo coarrugado robot roto (1)</t>
  </si>
  <si>
    <t>fallo vmt (2); consola kuka robot 1 no funciona (1); rotura garra robot descarga (1)</t>
  </si>
  <si>
    <t>Horno / temperatura (5)</t>
  </si>
  <si>
    <t>fallo detector salida revenido (1); cambio de detector (1); tpm-r pérdida de líquido en revenido (1)</t>
  </si>
  <si>
    <t>Mecanica / desgaste / rotura (3)</t>
  </si>
  <si>
    <t>atascos en cruce con hv (1); fuga neum. grupo mantenimiento. (1); transferizado no funciona (1)</t>
  </si>
  <si>
    <t>Mecanica / desgaste / rotura (1); Robot / carga / manipulacion (1)</t>
  </si>
  <si>
    <t>puesta en marcha (1); cargador no funciona (1)</t>
  </si>
  <si>
    <t>Refrigerante / agua / lavado (7); Neumatica / aire (2)</t>
  </si>
  <si>
    <t>no funciona transporte (1); pulsador emergencia colgando (1); camara rectificado 6 plana nok (1)</t>
  </si>
  <si>
    <t>puesto recupera sevice point no actua (1)</t>
  </si>
  <si>
    <t>Otros (6); Neumatica / aire (3); Hidraulica / aceite (3)</t>
  </si>
  <si>
    <t>dos cintas de entrada no funcionan (1); enganche de buje con cinta transporte (1); ciclo de trabajo ralentizado (1)</t>
  </si>
  <si>
    <t>Refrigerante / agua / lavado (16); Neumatica / aire (2); Hidraulica / aceite (1)</t>
  </si>
  <si>
    <t>instalar bomba neumatica (2); adecuar protecciones (1); hacer protecciones en lavadora (1)</t>
  </si>
  <si>
    <t>Calidad / medicion / proceso (27); Neumatica / aire (2); Robot / carga / manipulacion (1)</t>
  </si>
  <si>
    <t>tpm linea 5 (2); programa owa muy lento (1); útil g no mide (1)</t>
  </si>
  <si>
    <t>Refrigerante / agua / lavado (11); Hidraulica / aceite (3)</t>
  </si>
  <si>
    <t>fuga agua (1); limpieza suelo ejes 281 negro (1); estop interior de lavadora no funciona (1)</t>
  </si>
  <si>
    <t>Mecanica / desgaste / rotura (6); Robot / carga / manipulacion (5)</t>
  </si>
  <si>
    <t>reparar palets (1); suplementar curvas y bifurcaciones (1); falla señal de distribuidor ewab (1)</t>
  </si>
  <si>
    <t>Robot / carga / manipulacion (3); Otros (2); Mecanica / desgaste / rotura (2)</t>
  </si>
  <si>
    <t>robot no descarga (1); acondicionar transf. entrada (1); programar la baliza. (1)</t>
  </si>
  <si>
    <t>pinza robot no suelta pieza (1); fallo cuentarevoluciones robot (1); pérdida referencia robot (1)</t>
  </si>
  <si>
    <t>Calidad / medicion / proceso (5)</t>
  </si>
  <si>
    <t>equipo no operativo (2); normalizar f.a. (1); fuente alimentación máquina laboratorio (1)</t>
  </si>
  <si>
    <t>Otros (16); Mecanica / desgaste / rotura (3); Electrico / PLC / PC / comunicacion (1)</t>
  </si>
  <si>
    <t>anomalia transferizado (2); modificar paso de transferizado (1); no funciona el paso de dos eslabones. (1)</t>
  </si>
  <si>
    <t>Mecanica / desgaste / rotura (1); Hidraulica / aceite (1); Preventivo / TPM (1)</t>
  </si>
  <si>
    <t>pulsador conexión roto (1); cilindro garra comunicado (1); tpm-r 213884 fuga lubricacion (1)</t>
  </si>
  <si>
    <t>Otros (3); Electrico / PLC / PC / comunicacion (1); Mecanica / desgaste / rotura (1)</t>
  </si>
  <si>
    <t>tornillo redondeado (1); anomalia cadena de salida (1); no continua ciclo el transferizado entra (1)</t>
  </si>
  <si>
    <t>Mecanica / desgaste / rotura (3); Robot / carga / manipulacion (1)</t>
  </si>
  <si>
    <t>stop no funciona (1); satelite no actua (1); falla satélite de carga (1)</t>
  </si>
  <si>
    <t>2023, 2025</t>
  </si>
  <si>
    <t>Robot / carga / manipulacion (6); Neumatica / aire (1)</t>
  </si>
  <si>
    <t>pierde ciclo robot abb (1); fallo parada palets (1); fuga neumatica (1)</t>
  </si>
  <si>
    <t>2022, 2023, 2026</t>
  </si>
  <si>
    <t>Horno / temperatura (24); Neumatica / aire (5); Mecanica / desgaste / rotura (4)</t>
  </si>
  <si>
    <t>averia horno. isla-3 (2); isla 3 averia horno contacto masa (2); fluctuaciones mazarota (1)</t>
  </si>
  <si>
    <t>Refrigerante / agua / lavado (5)</t>
  </si>
  <si>
    <t>fallo ultrasonidos (1); lavadora greentech no calienta el agua (1); tpm-r 198306 resistencia caldeo no va (1)</t>
  </si>
  <si>
    <t>Horno / temperatura (26); Mecanica / desgaste / rotura (3); Electrico / PLC / PC / comunicacion (2)</t>
  </si>
  <si>
    <t>isla 7 averia horno (3); isla-7 horno (2); is7- fluctua mazarota (2)</t>
  </si>
  <si>
    <t>Otros (7); Neumatica / aire (4)</t>
  </si>
  <si>
    <t>fugas de aire (2); motor quemado (1); problemas motor (1)</t>
  </si>
  <si>
    <t>no continua ciclo (1); falla detector celula entrada lavadora (1); no arranca lavadora (1)</t>
  </si>
  <si>
    <t>Otros (2); Mecanica / desgaste / rotura (1); Electrico / PLC / PC / comunicacion (1)</t>
  </si>
  <si>
    <t>eslabones de arrastre rotos (1); fallo micro parada pos ini a veces no pa (1); eslabones partidos (1)</t>
  </si>
  <si>
    <t>Electrico / PLC / PC / comunicacion (3); Neumatica / aire (1)</t>
  </si>
  <si>
    <t>tpm revenido nitruracion (1); horno revenido no entra gas (1); panatalla no funciona (1)</t>
  </si>
  <si>
    <t>2023, 2025, 2026</t>
  </si>
  <si>
    <t>Refrigerante / agua / lavado (1); Otros (1); Proceso / ciclo / tiempo (1)</t>
  </si>
  <si>
    <t>averia bomba taladrina (1); rectificadora jas no enciende . (1); arranque brusco de muela (1)</t>
  </si>
  <si>
    <t>Calidad / medicion / proceso (1); Refrigerante / agua / lavado (1)</t>
  </si>
  <si>
    <t>tornillo pasado de la herramienta, sacar (1); cortocircuito de máquina por agua (1)</t>
  </si>
  <si>
    <t>no funciona bayer (1)</t>
  </si>
  <si>
    <t>atemperador nº35 (1)</t>
  </si>
  <si>
    <t>Refrigerante / agua / lavado (20); Neumatica / aire (2)</t>
  </si>
  <si>
    <t>sanear transferizado (2); bandeja bautermic con fluidos (1); bomba desaceitadora no tira (1)</t>
  </si>
  <si>
    <t>detector garra 2 de robot comunicado (1); fallo individualizador entrada piezas (1); el robot no permite realizar movimientos (1)</t>
  </si>
  <si>
    <t>Hidraulica / aceite (4); Otros (4); Mecanica / desgaste / rotura (3)</t>
  </si>
  <si>
    <t>automatico lateral en rapido no funciona (1); eje y no va bien. (1); fuga de aceite por toda la maquinaria (1)</t>
  </si>
  <si>
    <t>Neumatica / aire (7); Otros (3); Robot / carga / manipulacion (2)</t>
  </si>
  <si>
    <t>fuga neumatica (3); atasco palets (1); contruir poka -yoke (1)</t>
  </si>
  <si>
    <t>Otros (5); Neumatica / aire (1); Hidraulica / aceite (1)</t>
  </si>
  <si>
    <t>bombo de barquillas derecho no para (1); caracol entrada fallo detector maximo (1); luz despuntado no funciona (1)</t>
  </si>
  <si>
    <t>Hidraulica / aceite (2)</t>
  </si>
  <si>
    <t>no funciona engrase piston (1); averia display de aceite piston. isla 3 (1)</t>
  </si>
  <si>
    <t>Otros (25); Refrigerante / agua / lavado (1); Neumatica / aire (1)</t>
  </si>
  <si>
    <t>averia acheson isla-6 (3); isla 6 fallos acheson (2); isla 6 averia acheson (2)</t>
  </si>
  <si>
    <t>Otros (3); Robot / carga / manipulacion (3); Neumatica / aire (2)</t>
  </si>
  <si>
    <t>sanear ewab (1); paros continuos en zona descarga (1); fuga neumatica ,no funciona stop (1)</t>
  </si>
  <si>
    <t>Refrigerante / agua / lavado (4)</t>
  </si>
  <si>
    <t>lavadora wekal (2); puesta en marcha (1); lavadora no arranca (1)</t>
  </si>
  <si>
    <t>Mecanica / desgaste / rotura (15); Robot / carga / manipulacion (7); Electrico / PLC / PC / comunicacion (3)</t>
  </si>
  <si>
    <t>fallo secuenciadores (2); discom st1 (1); averia grupo mentenimiento (1)</t>
  </si>
  <si>
    <t>Refrigerante / agua / lavado (4); Hidraulica / aceite (1)</t>
  </si>
  <si>
    <t>paro emergencia lavadoras ipsen (1); revision reles cuadro electrico (1); regular temperatura cuba parker (1)</t>
  </si>
  <si>
    <t>Otros (4); Hidraulica / aceite (1)</t>
  </si>
  <si>
    <t>lado movil acheson no pulveriza (1); fuga latigo desmoldeante (1); la consola del acheson se reinicia sola (1)</t>
  </si>
  <si>
    <t>Electrico / PLC / PC / comunicacion (2); Robot / carga / manipulacion (2)</t>
  </si>
  <si>
    <t>no se enciende la pantalla de manejo (1); avería cable motor transferizado salida (1); cargador no arranca (1)</t>
  </si>
  <si>
    <t>oscilación plato de pulido (1); correas rotas (1); rotura de correas (1)</t>
  </si>
  <si>
    <t>Mecanica / desgaste / rotura (2); Proceso / ciclo / tiempo (1)</t>
  </si>
  <si>
    <t>cadena metalica transferizado salida (1); averia modulo husillo 1. (1); pierde ciclo (1)</t>
  </si>
  <si>
    <t>cortadora de laboratorio (1)</t>
  </si>
  <si>
    <t>Electrico / PLC / PC / comunicacion (1)</t>
  </si>
  <si>
    <t>cable mandoi kuka provoca paro (1)</t>
  </si>
  <si>
    <t>Refrigerante / agua / lavado (16); Hidraulica / aceite (1)</t>
  </si>
  <si>
    <t>hacer protección ent.sal lavadora (1); rotura transferizado (1); rotura cadena ewab (1)</t>
  </si>
  <si>
    <t>Refrigerante / agua / lavado (9)</t>
  </si>
  <si>
    <t>boya deposito lleno no funciona (1); fallo antirretorno circuito retorno (1); fallo nivel de llenado (1)</t>
  </si>
  <si>
    <t>Mecanica / desgaste / rotura (9); Robot / carga / manipulacion (1)</t>
  </si>
  <si>
    <t>grabadora no funciona. (2); grabadora no funciona (2); puesta en fecha y hora grabadora (1)</t>
  </si>
  <si>
    <t>Robot / carga / manipulacion (32); Neumatica / aire (1)</t>
  </si>
  <si>
    <t>averia tornillo garras (1); averia consola abb isla-7 (1); isla 7 averia robot abb (1)</t>
  </si>
  <si>
    <t>Otros (21); Proceso / ciclo / tiempo (3); Mecanica / desgaste / rotura (2)</t>
  </si>
  <si>
    <t>marca en la pieza (2); no continua ciclo (2); htas. no retroceden (1)</t>
  </si>
  <si>
    <t>Hidraulica / aceite (3); Electrico / PLC / PC / comunicacion (3); Refrigerante / agua / lavado (2)</t>
  </si>
  <si>
    <t>sustituir manguera refrigerante (1); fallo regulador de los ejes (1); anom engrase se vacia el deposito (1)</t>
  </si>
  <si>
    <t>Refrigerante / agua / lavado (8)</t>
  </si>
  <si>
    <t>no arranca bomba impulsion (1); no arranca bomba (1); no arranca (1)</t>
  </si>
  <si>
    <t>construir látigo garras abb. abb isla-7 (1); isla x averia electrica robot abb (1); averia abb isla-x (1)</t>
  </si>
  <si>
    <t>Otros (4); Neumatica / aire (2); Mecanica / desgaste / rotura (1)</t>
  </si>
  <si>
    <t>sanear transferizado (2); construir caja para camara y sanear tra (1); motor ewab quemado (1)</t>
  </si>
  <si>
    <t>Robot / carga / manipulacion (6); Hidraulica / aceite (1)</t>
  </si>
  <si>
    <t>led cámara suelta del robot kuka (1); colision robot (1); reparar garra carga (1)</t>
  </si>
  <si>
    <t>2023, 2024, 2025, 2026</t>
  </si>
  <si>
    <t>Calidad / medicion / proceso (3); Electrico / PLC / PC / comunicacion (2); Neumatica / aire (1)</t>
  </si>
  <si>
    <t>no arranca control (1); no conecta módulo cambiador palpadores (1); fallo comunicación pc con control (1)</t>
  </si>
  <si>
    <t>Robot / carga / manipulacion (2); Otros (2); Neumatica / aire (2)</t>
  </si>
  <si>
    <t>atasco palets (1); satelite prtecciones (1); paros continuos de palets. (1)</t>
  </si>
  <si>
    <t>boquillas lavadora l1/h2 (1); fuelle zona de lavado roto (1); tpm-r 199398 fuelle lavadora roto (1)</t>
  </si>
  <si>
    <t>horna isla 4 no dosifica (1); averia resistencia horno i-4 (1); isla-4 averia temperatura horno (1)</t>
  </si>
  <si>
    <t>Mecanica / desgaste / rotura (3); Otros (2)</t>
  </si>
  <si>
    <t>no cierra válvula mql (1); husillo 1 no sale mql,rompe herr. (1); vigilancia contorno husillo 1 (1)</t>
  </si>
  <si>
    <t>Neumatica / aire (2); Mecanica / desgaste / rotura (1)</t>
  </si>
  <si>
    <t>fuga neumatica (2); rotura cadena ewab (1)</t>
  </si>
  <si>
    <t>Mecanica / desgaste / rotura (1)</t>
  </si>
  <si>
    <t>adaptar maquina primario 6 v. (1)</t>
  </si>
  <si>
    <t>Robot / carga / manipulacion (8); Calidad / medicion / proceso (5); Hidraulica / aceite (1)</t>
  </si>
  <si>
    <t>reparar trampilla recogida aceite (1); no pasan los palets hacia abb (1); modificación programa ewab línea 3 (1)</t>
  </si>
  <si>
    <t>Hidraulica / aceite (3); Otros (2); Horno / temperatura (1)</t>
  </si>
  <si>
    <t>aichelin, comprobar nivel aceite tanque (1); horno aichelin inyector zona 4 nok (1); cambio de inyector zona nº 2 (1)</t>
  </si>
  <si>
    <t>Robot / carga / manipulacion (6)</t>
  </si>
  <si>
    <t>modulo no arranca robot universal (1); no conecta robot (1); fallo puntos/nodos (1)</t>
  </si>
  <si>
    <t>Mecanica / desgaste / rotura (3); Robot / carga / manipulacion (2)</t>
  </si>
  <si>
    <t>acondicionar arrastre cadena (1); no arranca (1); fuente de alimentación quemada (1)</t>
  </si>
  <si>
    <t>Otros (7); Hidraulica / aceite (3); Preventivo / TPM (1)</t>
  </si>
  <si>
    <t>isla 3 fuga hyd prensa (1); fuga hidraulica prensa (1); tpm-r lampara botonera (1)</t>
  </si>
  <si>
    <t>Robot / carga / manipulacion (25); Electrico / PLC / PC / comunicacion (2)</t>
  </si>
  <si>
    <t>larguero cerramiento doblado (2); recambio tapa nidos descarga (1); regulacion detectores box 1 (1)</t>
  </si>
  <si>
    <t>Otros (5); Refrigerante / agua / lavado (5); Electrico / PLC / PC / comunicacion (1)</t>
  </si>
  <si>
    <t>interrupción de ciclo (1); avería dosificador máquina (1); no dosifica la hurth (1)</t>
  </si>
  <si>
    <t>anomalia puesta en marcha robot (1); no coge correctamente las piezas (1); colision robot colaborador (1)</t>
  </si>
  <si>
    <t>valvulas agua no cierran (1); atranques entrada lavadora (1); cadena clavada (1)</t>
  </si>
  <si>
    <t>Refrigerante / agua / lavado (3)</t>
  </si>
  <si>
    <t>no arranca bomba de retorno (1); fallo nivel (1); fallo niveles (1)</t>
  </si>
  <si>
    <t>Mecanica / desgaste / rotura (2); Refrigerante / agua / lavado (1)</t>
  </si>
  <si>
    <t>pulsador deteriorado (1); atascos pieza curva lavadora. (1); boton "arranque conectado" no va bien. (1)</t>
  </si>
  <si>
    <t>Otros (1); Refrigerante / agua / lavado (1)</t>
  </si>
  <si>
    <t>salta interruptor diferencial f31 (1); no sale agua de lavado (1)</t>
  </si>
  <si>
    <t>Robot / carga / manipulacion (1); Electrico / PLC / PC / comunicacion (1)</t>
  </si>
  <si>
    <t>no arranca (1); cableado suelto (1)</t>
  </si>
  <si>
    <t>Hidraulica / aceite (5); Electrico / PLC / PC / comunicacion (2)</t>
  </si>
  <si>
    <t>puerta descarga aceite (1); conectar motor (1); rele kc29 calentamiento aceite no entra (1)</t>
  </si>
  <si>
    <t>Mecanica / desgaste / rotura (2)</t>
  </si>
  <si>
    <t>no responde (1); no actúa el stop de máquina (1)</t>
  </si>
  <si>
    <t>no funciona la ilumionación (1)</t>
  </si>
  <si>
    <t>rotura tornillo garra robot univ (1); acondicionar stops paletas (1); modificar altura de 6 a 8 (1)</t>
  </si>
  <si>
    <t>Mecanica / desgaste / rotura (4)</t>
  </si>
  <si>
    <t>acondicionar arrastre cadena (1); fallo interruptor cpu (1); atascos a la salida (1)</t>
  </si>
  <si>
    <t>satélite no coge las piezas (1); satelite no graba codigos. (1)</t>
  </si>
  <si>
    <t>Otros (4); Refrigerante / agua / lavado (2)</t>
  </si>
  <si>
    <t>lavadora se desborda (2); piezas se enganchan en curva (1); piezas se enganchan en transfer (1)</t>
  </si>
  <si>
    <t>robot colaborador no decarga pieza (1); garras no cierran y tiran pieza al suelo (1); fallo de corriente en clavija de alimenc (1)</t>
  </si>
  <si>
    <t>Calidad / medicion / proceso (21); Neumatica / aire (3); Electrico / PLC / PC / comunicacion (3)</t>
  </si>
  <si>
    <t>no reconoce palpador 1 (2); fallo de eje al palpar con la pieza (1); no conecta armario renishaw (1)</t>
  </si>
  <si>
    <t>Otros (8); Hidraulica / aceite (8); Seguridad / puertas / protecciones (5)</t>
  </si>
  <si>
    <t>isla-2 fallo regulación presion final. (2); isla 2 extensimetro columna 2 (1); fuga de hyd llave de paso acumulador (1)</t>
  </si>
  <si>
    <t>Otros (7); Seguridad / puertas / protecciones (7); Robot / carga / manipulacion (2)</t>
  </si>
  <si>
    <t>modifiación tubos isla 8 (1); robot no entra en automatico (1); emergencia isla 9 (1)</t>
  </si>
  <si>
    <t>Otros (9); Electrico / PLC / PC / comunicacion (5); Seguridad / puertas / protecciones (1)</t>
  </si>
  <si>
    <t>averia sala rayos x, salta magneto (1); luz exterior sala de rx (1); luz externa rayo-x no funciona (1)</t>
  </si>
  <si>
    <t>Otros (8); Electrico / PLC / PC / comunicacion (4); Refrigerante / agua / lavado (1)</t>
  </si>
  <si>
    <t>hommel (1); jenoptik no mide (1); fallos por sobrecalentamiento (1)</t>
  </si>
  <si>
    <t>Otros (7); Electrico / PLC / PC / comunicacion (3); Hidraulica / aceite (1)</t>
  </si>
  <si>
    <t>cable motor aspiracion campana isla-9 (1); isla-9 no arranca ventilador campana. (1); averia campana isla-9 (1)</t>
  </si>
  <si>
    <t>Otros (5); Robot / carga / manipulacion (1); Seguridad / puertas / protecciones (1)</t>
  </si>
  <si>
    <t>trabaja sin bomba multimix isla 8 (1); averia multimix isla-7 no carga puro (1); isla 4 desborda mezcla multimix (1)</t>
  </si>
  <si>
    <t>Otros (3); Refrigerante / agua / lavado (2); Mecanica / desgaste / rotura (1)</t>
  </si>
  <si>
    <t>elevador no funciona (1); lavadora corta y no abre (1); piezas no caen por rampa a transferizado (1)</t>
  </si>
  <si>
    <t>Otros (2); Seguridad / puertas / protecciones (1); Refrigerante / agua / lavado (1)</t>
  </si>
  <si>
    <t>fallo seguridad puerta superior (1); manguera taladrina rota (1); motor quemado (1)</t>
  </si>
  <si>
    <t>laser no detecta llenado carro viruta (1); conector roto extracción viruta (1); virutero longitudinal 4 (1)</t>
  </si>
  <si>
    <t>Otros (5)</t>
  </si>
  <si>
    <t>fila acheson no corta (1); caudalimetro acheson (1); isla-7 acheson tapa cuadro eléctrico (1)</t>
  </si>
  <si>
    <t>Otros (3); Refrigerante / agua / lavado (1)</t>
  </si>
  <si>
    <t>anomalia en entrada de agua de lava (1); piezas por debajo del dosf. salida (1); algo empuja tapa lateral (1)</t>
  </si>
  <si>
    <t>Electrico / PLC / PC / comunicacion (2); Hidraulica / aceite (2)</t>
  </si>
  <si>
    <t>horno no respeta los parametros del lote (1); motor refrigeracion aceite no gira (1); calentamiento aceite no se activa (1)</t>
  </si>
  <si>
    <t>parada emergencia robot kuka (1); robot colisiona en estación rt09 (1); marca piezas robot elwema (1)</t>
  </si>
  <si>
    <t>Seguridad / puertas / protecciones (1); Otros (1); Hidraulica / aceite (1)</t>
  </si>
  <si>
    <t>construir protecciones (1); fallo volteador (1); rotura detector cilindro (1)</t>
  </si>
  <si>
    <t>Calidad / medicion / proceso (2); Robot / carga / manipulacion (1)</t>
  </si>
  <si>
    <t>fallo tope ewab carga robot 3 (1); corona de motor suelta (1); soldar soportes bandeja (1)</t>
  </si>
  <si>
    <t>cambio flotadores nivel agua ipsum (1); rearmar aspiracion ipsum (1); boya de nivel ipsum linea 1 se suelta (1)</t>
  </si>
  <si>
    <t>Neumatica / aire (3)</t>
  </si>
  <si>
    <t>fuga neumatica (2); fuga de aire (1)</t>
  </si>
  <si>
    <t>Electrico / PLC / PC / comunicacion (2)</t>
  </si>
  <si>
    <t>reparar fuente de alimentación generador (1); efd (1)</t>
  </si>
  <si>
    <t>puesta en marcha linea 5v. (1); 02 (1)</t>
  </si>
  <si>
    <t>isla 1 avería engrase pistón. (1); averia central de engrase piston (1)</t>
  </si>
  <si>
    <t>Horno / temperatura (2)</t>
  </si>
  <si>
    <t>averia horno (1); isla-2 averia horno (1)</t>
  </si>
  <si>
    <t>Refrigerante / agua / lavado (1); Electrico / PLC / PC / comunicacion (1)</t>
  </si>
  <si>
    <t>tpm-r 224028 ventilador zona1 clavado (1); tpm-r 199498 luminaria fundida (1)</t>
  </si>
  <si>
    <t>Hidraulica / aceite (1)</t>
  </si>
  <si>
    <t>electrovalvula no abre emulsion lavado (1)</t>
  </si>
  <si>
    <t>señal placa extractora no funciona. (1)</t>
  </si>
  <si>
    <t>averia robot cuentarrevoluciones (1); cambio de baterias (1); anomalia en garra 2 robot abb (1)</t>
  </si>
  <si>
    <t>Mecanica / desgaste / rotura (4); Electrico / PLC / PC / comunicacion (2); Robot / carga / manipulacion (1)</t>
  </si>
  <si>
    <t>fuga neumática (2); pantalla colgando. (1); no funciona stop (1)</t>
  </si>
  <si>
    <t>Otros (6); Refrigerante / agua / lavado (3); Preventivo / TPM (2)</t>
  </si>
  <si>
    <t>tpm-r 213282 fuga regulador bomba (1); falla refrigerante husillo1-2 (1); anular pulsador armario eléctrico y (1)</t>
  </si>
  <si>
    <t>Mecanica / desgaste / rotura (3); Electrico / PLC / PC / comunicacion (1)</t>
  </si>
  <si>
    <t>averia fuente alimentacion (1); construir soporte para expectometros (1); salta termico (1)</t>
  </si>
  <si>
    <t>Robot / carga / manipulacion (2); Electrico / PLC / PC / comunicacion (1)</t>
  </si>
  <si>
    <t>robot abb no conecta (1); anomalia sensor (1); robot abb no arranca (1)</t>
  </si>
  <si>
    <t>Otros (15); Electrico / PLC / PC / comunicacion (5); Hidraulica / aceite (4)</t>
  </si>
  <si>
    <t>averia prensa. isla-2 (2); fuga prensa isla 2 (2); fuga de hyd cilindro prensa (1)</t>
  </si>
  <si>
    <t>reparar chapa canaleta cables (1); elevador secado l2/h2 (1); fallo modo seguro no rearma (1)</t>
  </si>
  <si>
    <t>Robot / carga / manipulacion (2)</t>
  </si>
  <si>
    <t>colisión robot, realizar puntos (1); garra no cierra (1)</t>
  </si>
  <si>
    <t>no funciona estación hoffman (1)</t>
  </si>
  <si>
    <t>Horno / temperatura (1)</t>
  </si>
  <si>
    <t>fallo aspiracion horno (1)</t>
  </si>
  <si>
    <t>cambiar garras (1); fallo cogida piezas (1); ur caída de piezas (1)</t>
  </si>
  <si>
    <t>Otros (8); Refrigerante / agua / lavado (5); Mecanica / desgaste / rotura (4)</t>
  </si>
  <si>
    <t>modificar para que ande la cinta en off (1); no enclaba la puerta frontal (1); cambiar boton de la cadena. (1)</t>
  </si>
  <si>
    <t>Refrigerante / agua / lavado (15); Neumatica / aire (3)</t>
  </si>
  <si>
    <t>fuga de agua (2); transferizado roto (1); tpm-r 218943 display temperarura roto (1)</t>
  </si>
  <si>
    <t>Electrico / PLC / PC / comunicacion (2); Otros (1); Hidraulica / aceite (1)</t>
  </si>
  <si>
    <t>no arranca (1); no arranca disco duro plc (1); averia hidraulico (1)</t>
  </si>
  <si>
    <t>Mecanica / desgaste / rotura (2); Robot / carga / manipulacion (2); Neumatica / aire (1)</t>
  </si>
  <si>
    <t>rotura de cadena (1); uña descarga no sale (1); fuga neumatica (1)</t>
  </si>
  <si>
    <t>stop no para piezas en carga (1); acondicionar curva (1)</t>
  </si>
  <si>
    <t>sacar detector micro carros descarga (1)</t>
  </si>
  <si>
    <t>realizar instalaciòn electrica (1)</t>
  </si>
  <si>
    <t>Otros (13); Calidad / medicion / proceso (4); Electrico / PLC / PC / comunicacion (2)</t>
  </si>
  <si>
    <t>jenoptic fallo medidas. (2); jenoptic no mide bien altura total. (1); fallos control ejes (1)</t>
  </si>
  <si>
    <t>fallo en descarga colaborador (1); reacondicionar salida de humos (1); rotura pinchos (1)</t>
  </si>
  <si>
    <t>Proceso / ciclo / tiempo (2); Otros (1)</t>
  </si>
  <si>
    <t>armario transferizado zf 392 no conecta (1); no permite func. ni manual ni automatico (1); no funciona luz automatico (1)</t>
  </si>
  <si>
    <t>alinear torreta op 10 (1)</t>
  </si>
  <si>
    <t>Otros (10); Mecanica / desgaste / rotura (3); Refrigerante / agua / lavado (1)</t>
  </si>
  <si>
    <t>atranque transferizado (6); atranque de pieza (2); atranque pieza (2)</t>
  </si>
  <si>
    <t>Robot / carga / manipulacion (4); Electrico / PLC / PC / comunicacion (1)</t>
  </si>
  <si>
    <t>rotura garra robot (1); rotura soporte garras (1); variacion de medida en garras kuka desca (1)</t>
  </si>
  <si>
    <t>Neumatica / aire (1)</t>
  </si>
  <si>
    <t>fuga neumatica (1)</t>
  </si>
  <si>
    <t>Refrigerante / agua / lavado (9); Otros (3); Hidraulica / aceite (1)</t>
  </si>
  <si>
    <t>salta térmico q300 (1); caen piezas interior lavadora (1); no cierra valvula lavadora salida (1)</t>
  </si>
  <si>
    <t>Otros (2); Robot / carga / manipulacion (1)</t>
  </si>
  <si>
    <t>cinta no para en su sitio carga dos piez (1); falla retorno cinta transfer (1); cinta de entrada patina (1)</t>
  </si>
  <si>
    <t>Otros (12); Seguridad / puertas / protecciones (3); Neumatica / aire (3)</t>
  </si>
  <si>
    <t>averia prensa. isla-5 (2); general armario prensa no apaga bombas (1); seta botonera prensa no apaga bombas (1)</t>
  </si>
  <si>
    <t>Mecanica / desgaste / rotura (5); Robot / carga / manipulacion (3)</t>
  </si>
  <si>
    <t>no para el stop (1); stop descarga final no funciona (1); desgaste transferizado descarga (1)</t>
  </si>
  <si>
    <t>tpm-r 213054 medición comparador nok (1)</t>
  </si>
  <si>
    <t>Otros (6); Mecanica / desgaste / rotura (4); Seguridad / puertas / protecciones (1)</t>
  </si>
  <si>
    <t>seguridades torno (1); error en z (1); fallo eje z en torno (1)</t>
  </si>
  <si>
    <t>Refrigerante / agua / lavado (14); Neumatica / aire (8)</t>
  </si>
  <si>
    <t>fuga neumatica (4); hacer protección ent.sal lavadora (1); hacer protección motor (1)</t>
  </si>
  <si>
    <t>Seguridad / puertas / protecciones (6); Calidad / medicion / proceso (6); Otros (2)</t>
  </si>
  <si>
    <t>fallo fotogrametria gom (1); puerta acceso gom no cierra (1); puerta de acceso a máquina muy dura. rx (1)</t>
  </si>
  <si>
    <t>Refrigerante / agua / lavado (12); Hidraulica / aceite (1)</t>
  </si>
  <si>
    <t>anomalia retorno (1); sustituir valvula coach de entrada (1); lavadora se desborda (1)</t>
  </si>
  <si>
    <t>Horno / temperatura (9); Mecanica / desgaste / rotura (2); Electrico / PLC / PC / comunicacion (1)</t>
  </si>
  <si>
    <t>isla 7 tapa horno (1); averia horno (1); tapa tolva isla 7 no abre con mando (1)</t>
  </si>
  <si>
    <t>Mecanica / desgaste / rotura (7); Refrigerante / agua / lavado (3); Electrico / PLC / PC / comunicacion (2)</t>
  </si>
  <si>
    <t>cambiar pulsador "arranque conectado" (1); cinta se salta posiciones de paro (1); cable detector de llenado roto (1)</t>
  </si>
  <si>
    <t>Otros (6); Electrico / PLC / PC / comunicacion (2); Neumatica / aire (2)</t>
  </si>
  <si>
    <t>no funciona acheson isla 8 (1); isla-9 averia multimix (1); lubrificador entra tarde a lubricar.isl9 (1)</t>
  </si>
  <si>
    <t>Horno / temperatura (6); Mecanica / desgaste / rotura (4); Hidraulica / aceite (1)</t>
  </si>
  <si>
    <t>oscila mazarota (1); resistencia isla 5 (1); resistencia h. westofen isla 5 (1)</t>
  </si>
  <si>
    <t>Otros (8); Mecanica / desgaste / rotura (2); Proceso / ciclo / tiempo (1)</t>
  </si>
  <si>
    <t>modificar tiempo arranque de cinta (1); desviador piezas no actua (1); enganche en elevador (1)</t>
  </si>
  <si>
    <t>Robot / carga / manipulacion (5); Calidad / medicion / proceso (5)</t>
  </si>
  <si>
    <t>rev/mod tiempo micro presencia palet (1); error lectura antena piezas carga (1); montar marco panel mando (1)</t>
  </si>
  <si>
    <t>Mecanica / desgaste / rotura (3); Otros (2); Robot / carga / manipulacion (2)</t>
  </si>
  <si>
    <t>sustituir transferizado completo h-15 (1); cambiar cadena transferizado ewab (1); reparar eslabones cadena h15 (1)</t>
  </si>
  <si>
    <t>Otros (5); Robot / carga / manipulacion (2); Electrico / PLC / PC / comunicacion (1)</t>
  </si>
  <si>
    <t>modificar posicion 3 espectrometros (1); atranques palets (1); revisar señales palet´s , general. (1)</t>
  </si>
  <si>
    <t>revisar eje muñeca abb (1); fallo pulsador abb (1); no funciona bomba de drenaje bandeja (1)</t>
  </si>
  <si>
    <t>Otros (3); Robot / carga / manipulacion (1); Refrigerante / agua / lavado (1)</t>
  </si>
  <si>
    <t>motor descolgado (1); paros de pieza entrada satelite descarga (1); sanear transferizado (1)</t>
  </si>
  <si>
    <t>reparar cabeza abb nº7 (1); averia abb. (1); rtpm fuga abb con garra abierta (1)</t>
  </si>
  <si>
    <t>selector c1010.2 falla al pasar palet (1); se ha enganchado (1); se pasa freno (1)</t>
  </si>
  <si>
    <t>Calidad / medicion / proceso (4); Robot / carga / manipulacion (2)</t>
  </si>
  <si>
    <t>ingrávido con error (2); no funciona (1); garra rota de ingrávido (1)</t>
  </si>
  <si>
    <t>Robot / carga / manipulacion (2); Neumatica / aire (2); Otros (1)</t>
  </si>
  <si>
    <t>no paran los palets (1); pasan todas las piezas sin parar en stop (1); rotura cadena ewab diferenciales (1)</t>
  </si>
  <si>
    <t>Otros (4); Hidraulica / aceite (1); Refrigerante / agua / lavado (1)</t>
  </si>
  <si>
    <t>enganche en elevador de salida (1); maneta valvula manual entrada lavadora (1); no se lleva las pzas el elevador y esta (1)</t>
  </si>
  <si>
    <t>Neumatica / aire (3); Otros (2); Mecanica / desgaste / rotura (1)</t>
  </si>
  <si>
    <t>fuga neumatica (3); fuga neumática. (1); anomalia satelite 6.1 (1)</t>
  </si>
  <si>
    <t>no suelta el palet en la carga (2); avería ewab (1); cadena enganchada (1)</t>
  </si>
  <si>
    <t>fallo nivel maximo deposito (1); atranque cinta (1); error maximo nivel para ciclo (1)</t>
  </si>
  <si>
    <t>Neumatica / aire (4); Mecanica / desgaste / rotura (1)</t>
  </si>
  <si>
    <t>fuga neumatica (3); no arranca ewab (1); fugas neumaticas (1)</t>
  </si>
  <si>
    <t>isla 9 averia freno eje 3 abb (1); averia programa abb. isla-9 (1); isla 9 robot no abre garras (1)</t>
  </si>
  <si>
    <t>Otros (2); Hidraulica / aceite (1); Seguridad / puertas / protecciones (1)</t>
  </si>
  <si>
    <t>exceso de fuerza en prensado (1); fuga de aceite por el cilindro (1); puerta de acceso no abre (1)</t>
  </si>
  <si>
    <t>Mecanica / desgaste / rotura (2); Proceso / ciclo / tiempo (1); Otros (1)</t>
  </si>
  <si>
    <t>rebasado tiempo lubricacion minima (1); avería de escotilla (1); mantenimiento husillo (1)</t>
  </si>
  <si>
    <t>Otros (2); Electrico / PLC / PC / comunicacion (1)</t>
  </si>
  <si>
    <t>pantalla op no se ve nada (1); desmontar y despiezar transf. en desuso (1); da fallo y no se borra (1)</t>
  </si>
  <si>
    <t>Mecanica / desgaste / rotura (1); Robot / carga / manipulacion (1); Neumatica / aire (1)</t>
  </si>
  <si>
    <t>no funciona motor cinta transferizado (1); reparacion palets ejes negro (1); fuga neumatica (1)</t>
  </si>
  <si>
    <t>faltan nodos (1); stop no abre (1); averia robot universal fusible (1)</t>
  </si>
  <si>
    <t>Robot / carga / manipulacion (2); Mecanica / desgaste / rotura (1)</t>
  </si>
  <si>
    <t>brazo de carga no bloca pinza (1); acondicionar cargador. (1); panel de mando roto (1)</t>
  </si>
  <si>
    <t>Neumatica / aire (2); Otros (1)</t>
  </si>
  <si>
    <t>ataso ewab (1); fuga neumatica distribuidor (1); fuga neumatica por ewab (1)</t>
  </si>
  <si>
    <t>Otros (2); Mecanica / desgaste / rotura (1)</t>
  </si>
  <si>
    <t>transferizado golpeado (1); conector m2 ewab roto (1); anomalia volteador (1)</t>
  </si>
  <si>
    <t>fuga neumatica tranferizado de descarga (2); satelite enganches (1)</t>
  </si>
  <si>
    <t>manipulador de parrillas no actúa (1); fallo eléctrico manipulador (1); tpm-r 224002 garra manipulador suelta (1)</t>
  </si>
  <si>
    <t>Refrigerante / agua / lavado (2)</t>
  </si>
  <si>
    <t>sello bomba 2 (auxiliar) (1); no arranca (1)</t>
  </si>
  <si>
    <t>Otros (2)</t>
  </si>
  <si>
    <t>esta continuamente en funcionamiento (1); no conecta (1)</t>
  </si>
  <si>
    <t>2022, 2025</t>
  </si>
  <si>
    <t>fuga agua (1); goma puerta deteriorada. (1)</t>
  </si>
  <si>
    <t>Calidad / medicion / proceso (1); Robot / carga / manipulacion (1)</t>
  </si>
  <si>
    <t>cinta ewab atascada (1); fallo salida palet ascensor (1)</t>
  </si>
  <si>
    <t>Electrico / PLC / PC / comunicacion (1); Refrigerante / agua / lavado (1)</t>
  </si>
  <si>
    <t>sustitución cable elevador l5 (1); ewab se queda clavado (1)</t>
  </si>
  <si>
    <t>engrase pistón alrotec (1); isla-8 averia lubrificación inyección (1)</t>
  </si>
  <si>
    <t>Refrigerante / agua / lavado (1)</t>
  </si>
  <si>
    <t>anomalias niveles (1)</t>
  </si>
  <si>
    <t>paro entrada tira las piezas (1)</t>
  </si>
  <si>
    <t>sale humo motor (1)</t>
  </si>
  <si>
    <t>no enciende. (1)</t>
  </si>
  <si>
    <t>Preventivo / TPM (1)</t>
  </si>
  <si>
    <t>tpm-r 219340 pintado soportes platot (1)</t>
  </si>
  <si>
    <t>fallos espiral transversal (1)</t>
  </si>
  <si>
    <t>Otros (2); Proceso / ciclo / tiempo (1); Mecanica / desgaste / rotura (1)</t>
  </si>
  <si>
    <t>atranque transferizado (1); no coge el automático (1); se desconecta transferizado (1)</t>
  </si>
  <si>
    <t>no funciona cinta entrada (1)</t>
  </si>
  <si>
    <t>se sale cadena ewab (1)</t>
  </si>
  <si>
    <t>no arranca. emergencia (1)</t>
  </si>
  <si>
    <t>falla detector de placa (1)</t>
  </si>
  <si>
    <t>fallo detector valvula lavadora (2); salta térmico bomba retorno lavado (1); detector de puerta roto (1)</t>
  </si>
  <si>
    <t>Seguridad / puertas / protecciones (1)</t>
  </si>
  <si>
    <t>protección de motor disparado. (1)</t>
  </si>
  <si>
    <t>avería palet no entra y no deja pasar (1)</t>
  </si>
  <si>
    <t>tpm-r 219319 soporte akilux desmontado. (1)</t>
  </si>
  <si>
    <t>Calidad / medicion / proceso (16); Electrico / PLC / PC / comunicacion (1)</t>
  </si>
  <si>
    <t>prueba_zlt_1 (1); prueba 26/9 zlt1 (1); prueba zlt 29.09.2025 (1)</t>
  </si>
  <si>
    <t>Otros (10); Electrico / PLC / PC / comunicacion (1); Neumatica / aire (1)</t>
  </si>
  <si>
    <t>puerta armario electrico prensa (1); instalacion radiales (1); tpm- r isla 5 prensa fuga aire (1)</t>
  </si>
  <si>
    <t>Refrigerante / agua / lavado (6); Neumatica / aire (5)</t>
  </si>
  <si>
    <t>exceso ruido turbina (1); salta módulo transferizado lavadora (1); problemas cadena ewab lavadora (1)</t>
  </si>
  <si>
    <t>Calidad / medicion / proceso (8); Electrico / PLC / PC / comunicacion (2); Robot / carga / manipulacion (1)</t>
  </si>
  <si>
    <t>anomalía temperatura máquina (2); anomalía en medición (1); sensor de temperatura no funciona (1)</t>
  </si>
  <si>
    <t>Otros (5); Robot / carga / manipulacion (2); Neumatica / aire (1)</t>
  </si>
  <si>
    <t>paros de pieza entrada satelite descarga (1); saturacion pieza (1); fuga de aire (1)</t>
  </si>
  <si>
    <t>Calidad / medicion / proceso (3); Seguridad / puertas / protecciones (1)</t>
  </si>
  <si>
    <t>fallo funcionamiento laser (1); láser no funciona (1); puerta láser technifor averiada (1)</t>
  </si>
  <si>
    <t>fallo nivel cuba (1); fallo sonda nivel (1); paros continuos lavadora (1)</t>
  </si>
  <si>
    <t>reparar palets ejes negro 200 (1); célula no actúa (1); no entra secundario en granalladora (1)</t>
  </si>
  <si>
    <t>sustituir skimer (2); no funciona en automatico. (1)</t>
  </si>
  <si>
    <t>Neumatica / aire (2); Robot / carga / manipulacion (1)</t>
  </si>
  <si>
    <t>fuga neumatica (2); satelite de carga no libera pieza (1)</t>
  </si>
  <si>
    <t>maquina de soldar no funciona. (1); reparar piña y cable máquinas de soldar (1); fallo detector placa expulsora (1)</t>
  </si>
  <si>
    <t>tpm-r 213418 fuga neumática valvulas (1); se desborda deposito de aceite de corte (1)</t>
  </si>
  <si>
    <t>Refrigerante / agua / lavado (1); Calidad / medicion / proceso (1)</t>
  </si>
  <si>
    <t>señal filtro sucio agua frio (1); montar tirante exagonal husiillo mag (1)</t>
  </si>
  <si>
    <t>cambio insertos (1)</t>
  </si>
  <si>
    <t>cambio detector (1)</t>
  </si>
  <si>
    <t>robot con paro emergencia (1)</t>
  </si>
  <si>
    <t>error refrigerador no listo (1)</t>
  </si>
  <si>
    <t>tpm-r 213086 anomalia amarre cargador (1)</t>
  </si>
  <si>
    <t>Calidad / medicion / proceso (14); Electrico / PLC / PC / comunicacion (5)</t>
  </si>
  <si>
    <t>averia ejes (2); temperatura minima (2); fecha incorrecta de jenoptick (1)</t>
  </si>
  <si>
    <t>Hidraulica / aceite (2); Otros (2); Seguridad / puertas / protecciones (1)</t>
  </si>
  <si>
    <t>fuga de hyd cilindro prensa. isla-7 (1); fuga de hyd cilindro cierre prensa. (1); averia prensa no baja (1)</t>
  </si>
  <si>
    <t>pinza (1)</t>
  </si>
  <si>
    <t>cambio de micro detector de placa (1)</t>
  </si>
  <si>
    <t>Otros (1); Robot / carga / manipulacion (1)</t>
  </si>
  <si>
    <t>no suelta las paletas (1)</t>
  </si>
  <si>
    <t>Hidraulica / aceite (3); Mecanica / desgaste / rotura (2); Seguridad / puertas / protecciones (1)</t>
  </si>
  <si>
    <t>reparar puerta y tarima de prensa (1); fuga aceite prensa tepsa (1); fuga aceite prensa (1)</t>
  </si>
  <si>
    <t>reparar capto (1)</t>
  </si>
  <si>
    <t>robot deja mal las piezas en palet. (1); colision robot en bayer (1)</t>
  </si>
  <si>
    <t>fuga aire en tope previo entrada carc l6 (1)</t>
  </si>
  <si>
    <t>Proceso / ciclo / tiempo (1)</t>
  </si>
  <si>
    <t>no activa arranque (1)</t>
  </si>
  <si>
    <t>robot no vuelve a home (1); modificación concentrador señales alju (1); fallo sincronización robot boxes (1)</t>
  </si>
  <si>
    <t>Otros (1); Proceso / ciclo / tiempo (1)</t>
  </si>
  <si>
    <t>atasco en curva (1); tranferizado no arranca en automatico (1)</t>
  </si>
  <si>
    <t>consola no responde (1)</t>
  </si>
  <si>
    <t>prueba zlt 01/10/2025 (1)</t>
  </si>
  <si>
    <t>centrador de pieza doblado (1)</t>
  </si>
  <si>
    <t>Calidad / medicion / proceso (6); Electrico / PLC / PC / comunicacion (3); Neumatica / aire (2)</t>
  </si>
  <si>
    <t>salta termico (1); fuga aire zoller (1); fuga de aire por columna zoller (1)</t>
  </si>
  <si>
    <t>2022, 2024, 2026</t>
  </si>
  <si>
    <t>Otros (6); Proceso / ciclo / tiempo (1)</t>
  </si>
  <si>
    <t>fallo arranque máquina (1); no funciona el jostyck (1); p-40 sala nº1 (zona secc 659) (1)</t>
  </si>
  <si>
    <t>Electrico / PLC / PC / comunicacion (3)</t>
  </si>
  <si>
    <t>limpiar inyector (1); fallo de conexión ordenador con hornos (1); pirometro revenido averiado (1)</t>
  </si>
  <si>
    <t>Mecanica / desgaste / rotura (1); Seguridad / puertas / protecciones (1)</t>
  </si>
  <si>
    <t>anomalias movimiento eje x (1); rearme protecciones no funciona (1)</t>
  </si>
  <si>
    <t>Seguridad / puertas / protecciones (2)</t>
  </si>
  <si>
    <t>proteccion taladro no rearma. (2)</t>
  </si>
  <si>
    <t>construir detector de placa expulsora (1)</t>
  </si>
  <si>
    <t>Electrico / PLC / PC / comunicacion (17)</t>
  </si>
  <si>
    <t>lanza carro transporte rota (1); soldar y pintar gotibera bujes (1); tpm-r 199444 carro transporte nº1 (1)</t>
  </si>
  <si>
    <t>Otros (16)</t>
  </si>
  <si>
    <t>medidor de desp. y lamin. 3/6 no funcio. (1); contador piezas no va (1); fallo contador y cámaras medidor (1)</t>
  </si>
  <si>
    <t>Calidad / medicion / proceso (13); Electrico / PLC / PC / comunicacion (2)</t>
  </si>
  <si>
    <t>acondicionar cableado informático (1); se mueve en x y se desconecta (1); tpm-r 220980 guardapolvo eje x (1)</t>
  </si>
  <si>
    <t>Mecanica / desgaste / rotura (7); Otros (4); Hidraulica / aceite (2)</t>
  </si>
  <si>
    <t>fuga aceite torno 90 (2); ajustar freno del cabezal (1); ruido excesivo en transmisión vel. b (1)</t>
  </si>
  <si>
    <t>Horno / temperatura (9); Mecanica / desgaste / rotura (3); Electrico / PLC / PC / comunicacion (2)</t>
  </si>
  <si>
    <t>no corta dosificacion (1); alarma calefacion (1); fluctuaciones horno. (1)</t>
  </si>
  <si>
    <t>Calidad / medicion / proceso (9); Electrico / PLC / PC / comunicacion (3); Seguridad / puertas / protecciones (1)</t>
  </si>
  <si>
    <t>eje x ruidoso (2); conexión impresora con pc (1); teclado pc nok (1)</t>
  </si>
  <si>
    <t>Horno / temperatura (9); Mecanica / desgaste / rotura (3)</t>
  </si>
  <si>
    <t>isla 5 av. horno (1); isla-5 horno (1); cambiar resistencia en horno i-5 (1)</t>
  </si>
  <si>
    <t>Refrigerante / agua / lavado (12)</t>
  </si>
  <si>
    <t>atranque salida lavadora (2); limpieza filtro soplador (1); lavadora no lava correctamente (1)</t>
  </si>
  <si>
    <t>Refrigerante / agua / lavado (5); Otros (5); Hidraulica / aceite (1)</t>
  </si>
  <si>
    <t>no sale agua lavadora (1); lavadora vertical no sale agua (1); maneta valvula manual entrada lavadora (1)</t>
  </si>
  <si>
    <t>Otros (5); Electrico / PLC / PC / comunicacion (5); Seguridad / puertas / protecciones (1)</t>
  </si>
  <si>
    <t>acondicionar armario recambios (1); aumentar altura y montar puertas (1); colocar planchas en estantería (1)</t>
  </si>
  <si>
    <t>Otros (9); Mecanica / desgaste / rotura (1); Robot / carga / manipulacion (1)</t>
  </si>
  <si>
    <t>cinta de transporte no funciona en auto (1); reparar leva de pesencia de pieza (1); sustituir pulsador de tensión de mando (1)</t>
  </si>
  <si>
    <t>Otros (7); Proceso / ciclo / tiempo (3); Mecanica / desgaste / rotura (1)</t>
  </si>
  <si>
    <t>el tacon (stop cinta) a veces no se para (1); anom elevador salida wera fres 348 hacia (1); elevador pierde posicion incial salida w (1)</t>
  </si>
  <si>
    <t>Otros (8); Electrico / PLC / PC / comunicacion (1); Neumatica / aire (1)</t>
  </si>
  <si>
    <t>isla 5 averia multimix (1); multimix isla-6 no salta alarma desmolde (1); multimix isla 6 (1)</t>
  </si>
  <si>
    <t>Refrigerante / agua / lavado (9); Hidraulica / aceite (1)</t>
  </si>
  <si>
    <t>fuga en el transferizado (1); no tiene sonda limite, se desborda (1); fuga de agua importante (1)</t>
  </si>
  <si>
    <t>Calidad / medicion / proceso (10)</t>
  </si>
  <si>
    <t>placas led fundidas (1); tridimensional hace saltar diferencial (1); anomalía temperatura sala de medición. (1)</t>
  </si>
  <si>
    <t>Horno / temperatura (8); Neumatica / aire (2)</t>
  </si>
  <si>
    <t>isla x averia horno (3); fallos presion horno. isla-10 (1); averia horno (1)</t>
  </si>
  <si>
    <t>Otros (4); Hidraulica / aceite (2); Electrico / PLC / PC / comunicacion (2)</t>
  </si>
  <si>
    <t>prensa no llega a prensar correctamente (1); montar sopladores en matriz (1); alarma por sobre temperatura hidraulico (1)</t>
  </si>
  <si>
    <t>Otros (9)</t>
  </si>
  <si>
    <t>averia ingravido isla-7 (3); ingravido isla 7 (3); ingravido isla-7 (1)</t>
  </si>
  <si>
    <t>Otros (4); Robot / carga / manipulacion (2); Electrico / PLC / PC / comunicacion (1)</t>
  </si>
  <si>
    <t>averia cinta transporte (1); pantalla mando no funciona (1); botón roto de arranque de cuadro (1)</t>
  </si>
  <si>
    <t>Neumatica / aire (7); Otros (2)</t>
  </si>
  <si>
    <t>fuga neumatica (2); stop salida pieda ewab no libera (1); fuga neumatica tranferizado (1)</t>
  </si>
  <si>
    <t>Otros (6); Hidraulica / aceite (2); Seguridad / puertas / protecciones (1)</t>
  </si>
  <si>
    <t>isla 8 averia prensa seguridad mecanica (1); modificacion prensa i8 (1); fuga vastago prensa isla 8 (1)</t>
  </si>
  <si>
    <t>transportador de parrillas nº5 nok (2); remolque tt 4m nok (1); tpm-r 207741 lanza vagoneta no cierra (1)</t>
  </si>
  <si>
    <t>Otros (4); Preventivo / TPM (2); Horno / temperatura (1)</t>
  </si>
  <si>
    <t>tpm-r campana 6, portalamparas nok (1); averia termoresistencia campana isla-6 (1); fallo cpu no se enciende (1)</t>
  </si>
  <si>
    <t>Robot / carga / manipulacion (6); Neumatica / aire (1); Electrico / PLC / PC / comunicacion (1)</t>
  </si>
  <si>
    <t>manometro roto (1); isla 1 programa abb (1); averia multiplicador de presión abb. is1 (1)</t>
  </si>
  <si>
    <t>Calidad / medicion / proceso (6); Electrico / PLC / PC / comunicacion (2)</t>
  </si>
  <si>
    <t>cámara microscopio no operativa (2); microscopio digital leica (1); aumentar ram (1)</t>
  </si>
  <si>
    <t>Calidad / medicion / proceso (7); Refrigerante / agua / lavado (1)</t>
  </si>
  <si>
    <t>alarma en equipo de refrigeración zeiss (1); anomalía ruido al mover ejes (1); ruido al mover los ejes (1)</t>
  </si>
  <si>
    <t>Otros (8)</t>
  </si>
  <si>
    <t>ingravido isla 8 (2); isla-8 ingravido (1); is8 - util ingravido en mal estado (1)</t>
  </si>
  <si>
    <t>Otros (5); Neumatica / aire (1); Electrico / PLC / PC / comunicacion (1)</t>
  </si>
  <si>
    <t>fuga de aire en desviador piezas (1); no arranca el armario electrico (1); anom elev pzas salida kk 182 (1)</t>
  </si>
  <si>
    <t>Mecanica / desgaste / rotura (4); Horno / temperatura (4)</t>
  </si>
  <si>
    <t>fluctuaciones de la mazarota (1); fluctuaciones mazarota (1); averia horno (1)</t>
  </si>
  <si>
    <t>Preventivo / TPM (2); Refrigerante / agua / lavado (2); Seguridad / puertas / protecciones (1)</t>
  </si>
  <si>
    <t>seta de seguridad superior campana (1); tpmr 207897 excesivo gasto h20 camp x (1); isla x averia campana (1)</t>
  </si>
  <si>
    <t>Otros (5); Preventivo / TPM (1); Mecanica / desgaste / rotura (1)</t>
  </si>
  <si>
    <t>tpm-r 5. luz campana lcm nok (1); is5- averia alumbrado campana (1); idra 2. luz campana inyeccion nok (1)</t>
  </si>
  <si>
    <t>Otros (3); Electrico / PLC / PC / comunicacion (2); Neumatica / aire (1)</t>
  </si>
  <si>
    <t>formacion prl2 (1); impresion 3d prototipos (1); pc almacen calibres no enciende. (1)</t>
  </si>
  <si>
    <t>Horno / temperatura (5); Electrico / PLC / PC / comunicacion (1); Mecanica / desgaste / rotura (1)</t>
  </si>
  <si>
    <t>sustituir catenaria cableado horno (1); averia horno (1); isla 6 fluctua la mazarota. (1)</t>
  </si>
  <si>
    <t>instalar punto de luz (1); rotura de pieza y cordon metalico carros (1); rotua cable metalico (1)</t>
  </si>
  <si>
    <t>Mecanica / desgaste / rotura (4); Hidraulica / aceite (2); Refrigerante / agua / lavado (1)</t>
  </si>
  <si>
    <t>valvula no abre (2); pulsador roto (1); atranque transferizado (1)</t>
  </si>
  <si>
    <t>Calidad / medicion / proceso (4); Seguridad / puertas / protecciones (1); Electrico / PLC / PC / comunicacion (1)</t>
  </si>
  <si>
    <t>maneta puerta entrada sala medición rota (1); sensor tp200 tipo b (1); guardapolvos en mal estado (1)</t>
  </si>
  <si>
    <t>Hidraulica / aceite (2); Refrigerante / agua / lavado (2); Otros (2)</t>
  </si>
  <si>
    <t>averia valvula de descarga de agua is.4 (1); isla-4 no cierra valvula descarga campan (1); variador campana (1)</t>
  </si>
  <si>
    <t>Otros (4); Neumatica / aire (1); Mecanica / desgaste / rotura (1)</t>
  </si>
  <si>
    <t>fallo de presion neumatica (1); curva reenvio motor elevador 3/4ª rota (1); se caen piezas del elevador de salida (1)</t>
  </si>
  <si>
    <t>Electrico / PLC / PC / comunicacion (7)</t>
  </si>
  <si>
    <t>pantalla control no funciona (1); conectar ventilador ipsen n (1); puesta en marcha horno n (1)</t>
  </si>
  <si>
    <t>Refrigerante / agua / lavado (5); Hidraulica / aceite (2)</t>
  </si>
  <si>
    <t>fallo bomba filtro coalescencia (1); fuga de agua en bandeja de cuba (1); valvula de llenado no actua (1)</t>
  </si>
  <si>
    <t>Preventivo / TPM (2); Otros (2); Mecanica / desgaste / rotura (1)</t>
  </si>
  <si>
    <t>datos protocolo incorrectos (1); realizar punto preventivo (1); lubricar guias (1)</t>
  </si>
  <si>
    <t>Calidad / medicion / proceso (6)</t>
  </si>
  <si>
    <t>máquina parada (1); no arranca marform (1); colchón antivibratorio no funciona (1)</t>
  </si>
  <si>
    <t>averia abb isla-8 (1); resistencia de drenaje abb isla 8 (1); averia programa abb. isla-8 (1)</t>
  </si>
  <si>
    <t>Neumatica / aire (3); Otros (3)</t>
  </si>
  <si>
    <t>averia presostato lubrificacion (1); averia ventilador nck (1); reparar fuga de aire (1)</t>
  </si>
  <si>
    <t>Mecanica / desgaste / rotura (3); Otros (2); Neumatica / aire (1)</t>
  </si>
  <si>
    <t>lubricar guias de klingelmberg p40 (1); fuga pneumatica grupo mantenimiento (1); fallo eje z (1)</t>
  </si>
  <si>
    <t>Mecanica / desgaste / rotura (2); Otros (2); Refrigerante / agua / lavado (1)</t>
  </si>
  <si>
    <t>bandeja rota transf. salida (1); fallo caudal refrigerante (1); no sale aceite refrigerante (1)</t>
  </si>
  <si>
    <t>Otros (5); Hidraulica / aceite (1)</t>
  </si>
  <si>
    <t>averia multimix isla-5 (2); averia multimix. isla-5 (1); averia cilindro mezcla multimix. isla-6 (1)</t>
  </si>
  <si>
    <t>Otros (4); Mecanica / desgaste / rotura (2)</t>
  </si>
  <si>
    <t>taylor hobson no centra (1); taylor hobson no mide (1); no hace el contacto correctamente (1)</t>
  </si>
  <si>
    <t>Mecanica / desgaste / rotura (3); Otros (2); Preventivo / TPM (1)</t>
  </si>
  <si>
    <t>posiblemente se han quemado los motores (1); reparar ruedas delanteras giratorias rot (1); aspirador líqudos no funciona (1)</t>
  </si>
  <si>
    <t>Refrigerante / agua / lavado (3); Otros (3)</t>
  </si>
  <si>
    <t>tpm-r 220161 niveles lavadora nok (1); transferizado atascado (1); atranque transferizado (1)</t>
  </si>
  <si>
    <t>Otros (4); Hidraulica / aceite (1); Neumatica / aire (1)</t>
  </si>
  <si>
    <t>no hay botellero cuadro acheson (1); acheson no pulveriza bien (1); fuga de aceite (1)</t>
  </si>
  <si>
    <t>Horno / temperatura (4); Mecanica / desgaste / rotura (1); Neumatica / aire (1)</t>
  </si>
  <si>
    <t>tpm-r pulsador reseteo horno (1); fluctuacion de mazarota (1); resistencia h westofen isla 3 (1)</t>
  </si>
  <si>
    <t>Electrico / PLC / PC / comunicacion (6)</t>
  </si>
  <si>
    <t>poner final de carrera (1); tpm-r 199405 detector enfriamiento aceit (1); tpm-r 199415 engrasar juntas (1)</t>
  </si>
  <si>
    <t>Robot / carga / manipulacion (4); Hidraulica / aceite (1)</t>
  </si>
  <si>
    <t>tpm-r 213321 falta todos los ptos.preven (1); ingravido no funciona (1); tpm-r 200098 asa portavalvula rota (1)</t>
  </si>
  <si>
    <t>Calidad / medicion / proceso (4); Robot / carga / manipulacion (1)</t>
  </si>
  <si>
    <t>pila placa base ordenador agotada. (1); rugosímetro no mide correctamente (1); ruidos en eje z (1)</t>
  </si>
  <si>
    <t>Calidad / medicion / proceso (3); Hidraulica / aceite (2)</t>
  </si>
  <si>
    <t>perdida de aceite encastadora estruers (1); pistón suelto (1); fuga de hidraulico (1)</t>
  </si>
  <si>
    <t>anomalia garra (1); no descarga pieza (1); pinza no agarra pieza se cae (1)</t>
  </si>
  <si>
    <t>Mecanica / desgaste / rotura (4); Refrigerante / agua / lavado (1)</t>
  </si>
  <si>
    <t>atranque en la curva de salida (1); atranque en transferizado (1); cadena de transferizado rota (1)</t>
  </si>
  <si>
    <t>realizar punto preventivo (1); lubricar guias (1); no almacena protocolos (1)</t>
  </si>
  <si>
    <t>Otros (2); Hidraulica / aceite (1); Mecanica / desgaste / rotura (1)</t>
  </si>
  <si>
    <t>valvula coax de lavadora no cierra (1); muelle roto palanca posicion inicial (1); antiretorno salida bomba achique falla y (1)</t>
  </si>
  <si>
    <t>Otros (4); Electrico / PLC / PC / comunicacion (1)</t>
  </si>
  <si>
    <t>transformador no esta (1); falta transformador (1); repaso programas instalaciones (1)</t>
  </si>
  <si>
    <t>Otros (3); Electrico / PLC / PC / comunicacion (1); Preventivo / TPM (1)</t>
  </si>
  <si>
    <t>isla 2 cables llave seguridad euchner. (1); is2- averia campana lf (1); tpm-r 2. luz campana nok (1)</t>
  </si>
  <si>
    <t>Mecanica / desgaste / rotura (2); Refrigerante / agua / lavado (2); Hidraulica / aceite (1)</t>
  </si>
  <si>
    <t>cadena fuera de reenvio (1); lavadora se desborda (1); atranque de pieza (1)</t>
  </si>
  <si>
    <t>sustituir aluminio abollado (1); no abre salida de palets (1); soporte antena roto (1)</t>
  </si>
  <si>
    <t>Otros (4); Refrigerante / agua / lavado (1)</t>
  </si>
  <si>
    <t>retención de piezas transferizado (1); cinta se ha salido del reenvio (1); elevador de piezas atrancado (1)</t>
  </si>
  <si>
    <t>Electrico / PLC / PC / comunicacion (2); Otros (2); Seguridad / puertas / protecciones (1)</t>
  </si>
  <si>
    <t>isla-4 no funciona variador campana (1); isla-4 averia puerta campana. (1); campana isla 4 no abre (1)</t>
  </si>
  <si>
    <t>Electrico / PLC / PC / comunicacion (4); Hidraulica / aceite (1)</t>
  </si>
  <si>
    <t>puesta a punto l2/h2 (1); poner ventilador zona 4 (1); tpm-r 207733 mechero desahogo deteriorad (1)</t>
  </si>
  <si>
    <t>Refrigerante / agua / lavado (2); Preventivo / TPM (1); Otros (1)</t>
  </si>
  <si>
    <t>tpm.r 3. luz lcm campana nok (1); tpm-r 3. lavado campana (1); tpm.r 3. falta cierre filtros campana (1)</t>
  </si>
  <si>
    <t>Otros (4)</t>
  </si>
  <si>
    <t>reparacion multimix nº5 (1); isla-8 averia multimix (1); ip2 multimix (1)</t>
  </si>
  <si>
    <t>Calidad / medicion / proceso (4)</t>
  </si>
  <si>
    <t>falta de toner en impresora. (1); impresión con bandas negras (1); eje z desconecta accionamientos (1)</t>
  </si>
  <si>
    <t>anomalia mal mecanizado perfil (1); archivos nok robot abb (1); no funciona camara 6 plana (1)</t>
  </si>
  <si>
    <t>Otros (3); Electrico / PLC / PC / comunicacion (1)</t>
  </si>
  <si>
    <t>isla 5 averia multimix (1); multimix isla 5 (1); dosificador comunicado isla 5 (1)</t>
  </si>
  <si>
    <t>Mecanica / desgaste / rotura (2); Otros (1); Hidraulica / aceite (1)</t>
  </si>
  <si>
    <t>cadena repite cambio de giro (1); no arranca (1); cadena salida (1)</t>
  </si>
  <si>
    <t>Preventivo / TPM (2); Mecanica / desgaste / rotura (1); Otros (1)</t>
  </si>
  <si>
    <t>sobre mesa de chapa (1); no funciona iluminación (1); tpm-r 219204 fallo iluminación (1)</t>
  </si>
  <si>
    <t>Otros (3); Hidraulica / aceite (1)</t>
  </si>
  <si>
    <t>enganche con soporte detector paso paso (1); no para cinta de transferizado buje 1/2 (1); no actua valvula de lavado (1)</t>
  </si>
  <si>
    <t>fallo neumático en pulidora automática (1); electropulidor nok esporádicamente (1); pistón no baja (1)</t>
  </si>
  <si>
    <t>continuos paros por camara (1); camara anulado por fallo continuo (1); camara despuntado da nok cuando son ok (1)</t>
  </si>
  <si>
    <t>Otros (2); Mecanica / desgaste / rotura (1); Neumatica / aire (1)</t>
  </si>
  <si>
    <t>rotura cadena ewab (1); fuga neumatica por vaso (1); fuga nerumatica (1)</t>
  </si>
  <si>
    <t>ingravido se bloquea (1); averia fusible (1); fallo giro de cabezal (1)</t>
  </si>
  <si>
    <t>Proceso / ciclo / tiempo (2); Otros (1); Refrigerante / agua / lavado (1)</t>
  </si>
  <si>
    <t>no conecta arranque (2); acondicionar detector pulmon lleno (1); lavadora se desborda (1)</t>
  </si>
  <si>
    <t>Otros (3); Seguridad / puertas / protecciones (1)</t>
  </si>
  <si>
    <t>campana 1. no funcionan luces (1); seta de paro nok en armario eléctrico (1); campana isla 1 se para. (1)</t>
  </si>
  <si>
    <t>valvula lavadora 5/6 no abre (1); enganche cinta de salida bujes 5/6 v (1); transferizado no funciona (1)</t>
  </si>
  <si>
    <t>Robot / carga / manipulacion (3); Otros (1)</t>
  </si>
  <si>
    <t>problemas stop. no pasan palets (1); reparar transferizado (1); no pasan los palets en posicion de carga (1)</t>
  </si>
  <si>
    <t>falta un rodillo y se paran las piezas (1); enganche en elevador salida kk379 hacia (1); se ha producido vertido por rebose (1)</t>
  </si>
  <si>
    <t>Hidraulica / aceite (4)</t>
  </si>
  <si>
    <t>averia engrase piston isla-9 (1); dosificador de aceite pistón (1); alarma engrase pistón (1)</t>
  </si>
  <si>
    <t>cambiar piña conexion máquina tig (1); colocar pulsador de seta. (1); pierde fuerza en el giro (1)</t>
  </si>
  <si>
    <t>Otros (2); Refrigerante / agua / lavado (1); Electrico / PLC / PC / comunicacion (1)</t>
  </si>
  <si>
    <t>averia campana isla 9 (1); tpm-r campana isla-9 fuga agua en lavado (1); fusibles fundidos armario campana isla 9 (1)</t>
  </si>
  <si>
    <t>Refrigerante / agua / lavado (2); Otros (2)</t>
  </si>
  <si>
    <t>tpm-r 219419 isla 3 lavado campana (1); estructura campana en mal estado isla 3 (1); tpmr campana fuga agua (1)</t>
  </si>
  <si>
    <t>Preventivo / TPM (2); Otros (2)</t>
  </si>
  <si>
    <t>tpm-r 219576 campana isla 2 (1); tpm-r 219575 campana isla 2 (1); averia campana (1)</t>
  </si>
  <si>
    <t>Electrico / PLC / PC / comunicacion (3); Refrigerante / agua / lavado (1)</t>
  </si>
  <si>
    <t>piloto esclusa no da alarma (1); comprobar r.p.m motores agitacion ipsen (1); tpm-r 207505 levas de salida dobladas (1)</t>
  </si>
  <si>
    <t>potros con tubos trilogic obsoletos (1); tpm-r 199467 levas de potros (1); tpm-r 207721 potro desajustado (1)</t>
  </si>
  <si>
    <t>Electrico / PLC / PC / comunicacion (3); Hidraulica / aceite (1)</t>
  </si>
  <si>
    <t>tpm-r 199413 cambiar juntas y muelles (1); tpm-r 199422 cambio termopar tc1 aceite (1); tpm-r 199435 cambiar resistencia e4 (1)</t>
  </si>
  <si>
    <t>Otros (3)</t>
  </si>
  <si>
    <t>conectar detector de placa (1); m´quina de soldar no funciona (1); avería maquina de soldar (1)</t>
  </si>
  <si>
    <t>desconexión equipo de transformador (1); fallo sai de espectrómetro (1); espectrómetro icp no arranca (1)</t>
  </si>
  <si>
    <t>volante eje y no transmite movimiento. (1); fallo eje y (1); paro de emergencia roto (1)</t>
  </si>
  <si>
    <t>cambiar termico horno r (1); tpm-r 207560 faltan canaletas electricas (1); cambio termico horno r (1)</t>
  </si>
  <si>
    <t>Refrigerante / agua / lavado (2); Hidraulica / aceite (1)</t>
  </si>
  <si>
    <t>imprimir 3d pieza valvula (1); tpm-r 199417 llenado de lavador gases (1); rellenar cuba lavador de gases (1)</t>
  </si>
  <si>
    <t>bateria de placa base del pc (1); falta pantalla op (1); fallo pc (1)</t>
  </si>
  <si>
    <t>Refrigerante / agua / lavado (1); Otros (1); Electrico / PLC / PC / comunicacion (1)</t>
  </si>
  <si>
    <t>lavadora no actua correctamente (1); sustituir pulsador (1); sustituir electroválvula (1)</t>
  </si>
  <si>
    <t>Mecanica / desgaste / rotura (2); Otros (1)</t>
  </si>
  <si>
    <t>fallo tope de pza cerrado (1); se ha caido motor giro eje portalaminado (1); anom husillo portaherramienta abajo (1)</t>
  </si>
  <si>
    <t>no va uno de los giros de la muela (1); maquina sin tension (1); cambiar interruptor (1)</t>
  </si>
  <si>
    <t>mala iluminación (1); no funciona monitor (1); no se gradua la luz (1)</t>
  </si>
  <si>
    <t>garra sin fuerza (1); robot no actua bien garra (1); se le escapa la pieza (1)</t>
  </si>
  <si>
    <t>Otros (2); Seguridad / puertas / protecciones (1)</t>
  </si>
  <si>
    <t>no arranca y cabezal caído (1); taladro tago (1); protección metraquilato taladro rota (1)</t>
  </si>
  <si>
    <t>sustituir eslabones (1); cadena transferizado rota (1); eslabones rotos (1)</t>
  </si>
  <si>
    <t>isla 2 averia robot abb (1); averia abb por temperatura ventilador i2 (1); robot abb isla 2 (1)</t>
  </si>
  <si>
    <t>Otros (2); Neumatica / aire (1)</t>
  </si>
  <si>
    <t>is2- fuga de aire acheson (1); averia acheson. isla-2 (1); isla 2 averia acheson (1)</t>
  </si>
  <si>
    <t>Robot / carga / manipulacion (1); Neumatica / aire (1); Mecanica / desgaste / rotura (1)</t>
  </si>
  <si>
    <t>no entran los palets (1); fuga neumatica (1); aguja tranferizado (1)</t>
  </si>
  <si>
    <t>Preventivo / TPM (1); Electrico / PLC / PC / comunicacion (1); Horno / temperatura (1)</t>
  </si>
  <si>
    <t>tpm-r 7 luz campana nok (1); tpm-r 7 cableado nok (1); tpm-r isla 7 termorresistencia campana (1)</t>
  </si>
  <si>
    <t>ingravido isla 9 (1); ingravido averiado (1); ingravido isla-9 (1)</t>
  </si>
  <si>
    <t>fallo modulo de transferizado (1); aguja desviadora (1); stop no sale (1)</t>
  </si>
  <si>
    <t>Refrigerante / agua / lavado (2); Proceso / ciclo / tiempo (1)</t>
  </si>
  <si>
    <t>no sale agua de lavado (2); anom cuadro transf cae el arranque (1)</t>
  </si>
  <si>
    <t>Otros (1); Mecanica / desgaste / rotura (1); Hidraulica / aceite (1)</t>
  </si>
  <si>
    <t>transfer se engancha en cuchilla cinta (1); cinta de cadena fuera (1); electrovalvula yp10 no abre emulsion lav (1)</t>
  </si>
  <si>
    <t>multimix isla 2 circuito 2 (1); seta armario multimix suelta (1); isla x averia multimix (1)</t>
  </si>
  <si>
    <t>Otros (1); Refrigerante / agua / lavado (1); Mecanica / desgaste / rotura (1)</t>
  </si>
  <si>
    <t>fallo de iluminación (1); electroválvula de lavadora no corta (1); sustituir muelle roto de retroceso leva (1)</t>
  </si>
  <si>
    <t>Otros (2); Hidraulica / aceite (1)</t>
  </si>
  <si>
    <t>reparar bomba (1); varios paros por central aceite (1); cambiar acoplamiento hoffmann (1)</t>
  </si>
  <si>
    <t>Mecanica / desgaste / rotura (1); Robot / carga / manipulacion (1); Electrico / PLC / PC / comunicacion (1)</t>
  </si>
  <si>
    <t>sanear transferizado (1); cambiar pulsador zona carga (1); soporte roto fotocelula (1)</t>
  </si>
  <si>
    <t>falla dosificador de entrada (1); no arranca (1); transferizado pierde secuencia (1)</t>
  </si>
  <si>
    <t>fallos abb (1); averia consola abb. isla-5 (1); isla 5 cabeza abb revisar estado (1)</t>
  </si>
  <si>
    <t>Hidraulica / aceite (3)</t>
  </si>
  <si>
    <t>isla-8 averia engrase piston (1); no funciona el engrase del pistón (1); averia dosificador piston isla-8 (1)</t>
  </si>
  <si>
    <t>manguera rota (1); acondicionar aspiradora de liquidos (1); no funcionan los motores y no aspira (1)</t>
  </si>
  <si>
    <t>fuga neumatica (2); se pasan los palets de sexta (1)</t>
  </si>
  <si>
    <t>atranque de cinta via 1a y 2a (1); enganches en cinta de bujes de 1/2 v. (1); anom elevador salida tubus a recman buj1 (1)</t>
  </si>
  <si>
    <t>dosiificador entrada falla (1); falta de aire neumatico (1); faltan eslabones (1)</t>
  </si>
  <si>
    <t>Otros (2); Refrigerante / agua / lavado (1)</t>
  </si>
  <si>
    <t>fuga staubli nº3 de isla4 (1); fuga agua tubo circuito atemperador (1); atempemperadores isla-x no cambian (1)</t>
  </si>
  <si>
    <t>averia dosificador de aceite piston.isl7 (1); averia engrase piston isla-7 (1); averia central engrase isla-7 (1)</t>
  </si>
  <si>
    <t>enganche en elevador de salida zf391 (1); enganche elevador de salida zf 391 (1); enganche en elevador salida zf 391 a wer (1)</t>
  </si>
  <si>
    <t>isla-2 averia prensa (1); extensimetro columna 2 isla 2 (1); prensa 2 programar sopladores (1)</t>
  </si>
  <si>
    <t>montar sopladores en matriz (1); soporte y botella desagüe aire armario (1); iluminacion prensa externa (1)</t>
  </si>
  <si>
    <t>Otros (2); Horno / temperatura (1)</t>
  </si>
  <si>
    <t>averia acheson (1); sobretemperatura motor (1); acheson no pulveriza (1)</t>
  </si>
  <si>
    <t>Otros (2); Proceso / ciclo / tiempo (1)</t>
  </si>
  <si>
    <t>no funciona transferizado 178 a 177 (1); no eleva las pzas (1); no conecta modo automatico (1)</t>
  </si>
  <si>
    <t>cargador lámpara de uv (2)</t>
  </si>
  <si>
    <t>construir protector metalico (2)</t>
  </si>
  <si>
    <t>Otros (1); Electrico / PLC / PC / comunicacion (1)</t>
  </si>
  <si>
    <t>colocar micro detector de pìeza (1); cambiar cable pinza( cortado) (1)</t>
  </si>
  <si>
    <t>Hidraulica / aceite (1); Otros (1)</t>
  </si>
  <si>
    <t>fallo señal deposito aceite limpio (1)</t>
  </si>
  <si>
    <t>paralelismo isla 5 (1); acondicionar el fluorescente (1)</t>
  </si>
  <si>
    <t>Refrigerante / agua / lavado (1); Otros (1)</t>
  </si>
  <si>
    <t>tpm-r 219726 fuga de agua campana isla 7 (1); aspira a 2kw (1)</t>
  </si>
  <si>
    <t>Electrico / PLC / PC / comunicacion (1); Robot / carga / manipulacion (1)</t>
  </si>
  <si>
    <t>pantalla no funciona (1); no funciona cargador (1)</t>
  </si>
  <si>
    <t>problemas captador (1); ruido en eje x cuando se utiliza el rugo (1)</t>
  </si>
  <si>
    <t>averia roscadora cma (90) (1); roscadora cma no enciende. (1)</t>
  </si>
  <si>
    <t>faltan láminas (1); transferizado clavado (1)</t>
  </si>
  <si>
    <t>Robot / carga / manipulacion (1); Neumatica / aire (1)</t>
  </si>
  <si>
    <t>mesa no desplaza (1); construir soporte aire (1)</t>
  </si>
  <si>
    <t>lector par y ángulo no funciona (1); no funciona cargador (1)</t>
  </si>
  <si>
    <t>transferizado no funciona (1); cinta ewab no arranca (1)</t>
  </si>
  <si>
    <t>pales rozan en curvas. (1); avería cinta transferizado máquina (1)</t>
  </si>
  <si>
    <t>Electrico / PLC / PC / comunicacion (1); Otros (1)</t>
  </si>
  <si>
    <t>señal electrica matriz (1); colocar detector placa (1)</t>
  </si>
  <si>
    <t>fallo medidor (1); monitor calibre efd averiado (1)</t>
  </si>
  <si>
    <t>120 revenido l2-h1 (1); tpm-r 207614 conectores rotos (1)</t>
  </si>
  <si>
    <t>reparar fugas neumáticas (1); reparar palets (1)</t>
  </si>
  <si>
    <t>puesta ben marcha (1); comprobar salto cortador (1)</t>
  </si>
  <si>
    <t>cambiar señal micro machos (1); detector placa (1)</t>
  </si>
  <si>
    <t>carrilera barquillas caen mal (1); fluorescente estropeado (1)</t>
  </si>
  <si>
    <t>Mecanica / desgaste / rotura (1); Otros (1)</t>
  </si>
  <si>
    <t>manguera rota (1); junta de estanqueidad despegada (1)</t>
  </si>
  <si>
    <t>Proceso / ciclo / tiempo (1); Otros (1)</t>
  </si>
  <si>
    <t>sincronizar tiempo ciclo (1); atranque transferizado (1)</t>
  </si>
  <si>
    <t>Electrico / PLC / PC / comunicacion (1); Hidraulica / aceite (1)</t>
  </si>
  <si>
    <t>no conecta cuadro electrico (1); reparar electrovalvula 2/2 mk25 1" (1)</t>
  </si>
  <si>
    <t>Neumatica / aire (2)</t>
  </si>
  <si>
    <t>fuga neumatica (1); fuga neumatica traferizado lavadora (1)</t>
  </si>
  <si>
    <t>detector señal extractores no funciona (1)</t>
  </si>
  <si>
    <t>Otros (1); Seguridad / puertas / protecciones (1)</t>
  </si>
  <si>
    <t>isx- averia ingravido (1); falta seta ingravido (1)</t>
  </si>
  <si>
    <t>Neumatica / aire (1); Calidad / medicion / proceso (1)</t>
  </si>
  <si>
    <t>fuga neumatica cinta ewab (1); averia transportador de viruta l6 carcas (1)</t>
  </si>
  <si>
    <t>no tiene tensión (2)</t>
  </si>
  <si>
    <t>Electrico / PLC / PC / comunicacion (1); Neumatica / aire (1)</t>
  </si>
  <si>
    <t>retirar elevadores (1); instalación con derivaciones eléctricas (1)</t>
  </si>
  <si>
    <t>puesta en marcha linea 5v (1); no coje tensión de mando (1)</t>
  </si>
  <si>
    <t>rotura final de carrera (1); cortar soporte ingravido (1)</t>
  </si>
  <si>
    <t>Otros (1); Neumatica / aire (1)</t>
  </si>
  <si>
    <t>anomalia distribuidor (1); fuga neumatica (1)</t>
  </si>
  <si>
    <t>anomalia central trasvase aceite (1); equipo hoffmann depósito sucio (1)</t>
  </si>
  <si>
    <t>Calidad / medicion / proceso (1); Neumatica / aire (1)</t>
  </si>
  <si>
    <t>durezas patrón hrc fuera prescrito (1); fuga de aire interior equipo (1)</t>
  </si>
  <si>
    <t>elevador entrada carcasa. (1); colisión robot columna g-29 (ggh) (1)</t>
  </si>
  <si>
    <t>fuga neumatica (1); fuga neumatica ewab carga 3ª cono (1)</t>
  </si>
  <si>
    <t>Neumatica / aire (1); Mecanica / desgaste / rotura (1)</t>
  </si>
  <si>
    <t>fugas neumaticas varias (1); transferizado a trompicones (1)</t>
  </si>
  <si>
    <t>ir no operativo (1); fuente alimentación equipo no funciona (1)</t>
  </si>
  <si>
    <t>no arranca sistema (1); robot sin cpu (1)</t>
  </si>
  <si>
    <t>cambio pila rodadora cr2032 (1); rodadora no mide juego radial (1)</t>
  </si>
  <si>
    <t>fallo central de engrase pistón (1); alarma engrase pistón (1)</t>
  </si>
  <si>
    <t>problemas con boya de nivel (1); fuga neumática tubín entrada reguladora (1)</t>
  </si>
  <si>
    <t>falta una iluminación en puesto medición (2)</t>
  </si>
  <si>
    <t>satelite no funciona (1); foto celula rota (1)</t>
  </si>
  <si>
    <t>Calidad / medicion / proceso (1); Otros (1)</t>
  </si>
  <si>
    <t>rodadora de medicion no funciona (1); no funciona rodadura salto de pieza (1)</t>
  </si>
  <si>
    <t>transf ewab va a tirones false señales (1); fuga neumatica (1)</t>
  </si>
  <si>
    <t>no sale paro palet ewab descarga (1); no pasan palets (1)</t>
  </si>
  <si>
    <t>Proceso / ciclo / tiempo (1); Refrigerante / agua / lavado (1)</t>
  </si>
  <si>
    <t>transf. salida ekin 90229 no automatico (1); se ha desbordado la lavadora tubus ekin (1)</t>
  </si>
  <si>
    <t>Hidraulica / aceite (1); Electrico / PLC / PC / comunicacion (1)</t>
  </si>
  <si>
    <t>conectar y probar bomba 1 aceite viejo (1); desmontaje paneles box antiguo (1)</t>
  </si>
  <si>
    <t>Hidraulica / aceite (1); Neumatica / aire (1)</t>
  </si>
  <si>
    <t>rotura racord (1); entran palets vacios (1)</t>
  </si>
  <si>
    <t>Calidad / medicion / proceso (1); Electrico / PLC / PC / comunicacion (1)</t>
  </si>
  <si>
    <t>calibre no repite (1); pantalla no funciona (1)</t>
  </si>
  <si>
    <t>Seguridad / puertas / protecciones (1); Robot / carga / manipulacion (1)</t>
  </si>
  <si>
    <t>euchner no rearma (1); ewab fleje gastado no pasan los palets (1)</t>
  </si>
  <si>
    <t>Mecanica / desgaste / rotura (1); Refrigerante / agua / lavado (1)</t>
  </si>
  <si>
    <t>campana isla 1. excesivo ruido (1); averia lavado campana (1)</t>
  </si>
  <si>
    <t>no descarga cuba lavado campana (1); campana isla-6 cables quemados (1)</t>
  </si>
  <si>
    <t>alarma dosificador de aceite pistón.is10 (1); averia engrase piston (1)</t>
  </si>
  <si>
    <t>no dosifica lo suficiente. (1); pantalla del cuadro del engrase piston (1)</t>
  </si>
  <si>
    <t>no funciona en modo automatico (1); no conecta lavadora fluterma 88720/44 (1)</t>
  </si>
  <si>
    <t>microscopio electrónico laboratorio (2)</t>
  </si>
  <si>
    <t>fuga robot isla x (1); reparar cabeza robot (1)</t>
  </si>
  <si>
    <t>avería portatil (1); máquina de soldar averiada (1)</t>
  </si>
  <si>
    <t>cinta previa entrada nok (1); desviador sc2180 no funciona (1)</t>
  </si>
  <si>
    <t>Preventivo / TPM (2)</t>
  </si>
  <si>
    <t>recogida muestras laborat.preventivo (2)</t>
  </si>
  <si>
    <t>tpm-r 199273 carrilera no funciona (1); tpm-r 207740 carro elevador roto (1)</t>
  </si>
  <si>
    <t>isla 5 no tiene pantalla engrase piston (1); engrase piston isla 5 (1)</t>
  </si>
  <si>
    <t>tpm-r 199382 cadena rodillos rota (1); tpm-r 199442 levas en mal estado (1)</t>
  </si>
  <si>
    <t>Otros (1); Mecanica / desgaste / rotura (1)</t>
  </si>
  <si>
    <t>cierre armario campana isla 10 (1); maneta cierre campana rota (1)</t>
  </si>
  <si>
    <t>pc scada central térmica no funciona (1)</t>
  </si>
  <si>
    <t>cinta ewab sin tapar (1)</t>
  </si>
  <si>
    <t>actualizar fecha de artis de todas maqui (1)</t>
  </si>
  <si>
    <t>motnar "t" en bomba desaceitadora (1)</t>
  </si>
  <si>
    <t>cambiar ruedas a carro platos (1)</t>
  </si>
  <si>
    <t>chasis bici partido (1)</t>
  </si>
  <si>
    <t>desconfiguración pather pañol (1)</t>
  </si>
  <si>
    <t>instalar gsd's y comprobar batería pg (1)</t>
  </si>
  <si>
    <t>armario suma (1)</t>
  </si>
  <si>
    <t>filtro 3 alarma (1)</t>
  </si>
  <si>
    <t>vibracion en sistema de aspirado (1)</t>
  </si>
  <si>
    <t>fuga de abrasivo (1)</t>
  </si>
  <si>
    <t>térmica (1)</t>
  </si>
  <si>
    <t>tpm-r-199742-fuga arena granallado (1)</t>
  </si>
  <si>
    <t>reparar difusor quemador (1)</t>
  </si>
  <si>
    <t>comprobar funcionamiento (1)</t>
  </si>
  <si>
    <t>cambiar tubo de protección (1)</t>
  </si>
  <si>
    <t>error micromaster (1)</t>
  </si>
  <si>
    <t>subir fluorescente ,0,50cm aprox (1)</t>
  </si>
  <si>
    <t>pantalla wetron (1)</t>
  </si>
  <si>
    <t>osciloscopio no funciona (1)</t>
  </si>
  <si>
    <t>fuga hidraulico prensa. (1)</t>
  </si>
  <si>
    <t>error de enfriamiento (1)</t>
  </si>
  <si>
    <t>fuga neumática (1)</t>
  </si>
  <si>
    <t>fuga de hidraulico por tapa (1)</t>
  </si>
  <si>
    <t>no arranca programa (1)</t>
  </si>
  <si>
    <t>grupo de mantenimiento antiguo (1)</t>
  </si>
  <si>
    <t>colocar prensaestopa en cables equipo (1)</t>
  </si>
  <si>
    <t>sala de medicion fudicion (1)</t>
  </si>
  <si>
    <t>quitar tornillo utilaje banco scs (1)</t>
  </si>
  <si>
    <t>rebajar 2mm (2 utillajes) (1)</t>
  </si>
  <si>
    <t>av. sonda tp-200 nº2c1054 tridimensional (1)</t>
  </si>
  <si>
    <t>tirante no funciona (1)</t>
  </si>
  <si>
    <t>reparar plataforma carro dta (1)</t>
  </si>
  <si>
    <t>reparación brazo romer. 812473/02 (1)</t>
  </si>
  <si>
    <t>reparar micro (1)</t>
  </si>
  <si>
    <t>control giro elevadores (1)</t>
  </si>
  <si>
    <t>lavador de gases no funciona (1)</t>
  </si>
  <si>
    <t>microdurómetro no funciona (1)</t>
  </si>
  <si>
    <t>pales rozan en curvas. (1)</t>
  </si>
  <si>
    <t>minitec 1ª velocidad tapa en mal estado (1)</t>
  </si>
  <si>
    <t>reparar final de carrera (1)</t>
  </si>
  <si>
    <t>modificacion mesa oficina (1)</t>
  </si>
  <si>
    <t>cambio de mesas de medicion/control (1)</t>
  </si>
  <si>
    <t>falla bomba de retorno. (1)</t>
  </si>
  <si>
    <t>cambiar actuadores de protecccion (1)</t>
  </si>
  <si>
    <t>modificacion control override (1)</t>
  </si>
  <si>
    <t>calibre interior no funciona (1)</t>
  </si>
  <si>
    <t>recambio codificador mod. profisafe (1)</t>
  </si>
  <si>
    <t>construccion centrador lavadora (1)</t>
  </si>
  <si>
    <t>212 (1)</t>
  </si>
  <si>
    <t>reparar pinchazo bicicleta (1)</t>
  </si>
  <si>
    <t>falta de reset con palet vacío (1)</t>
  </si>
  <si>
    <t>centrador lavadora (1)</t>
  </si>
  <si>
    <t>reubicar calibres (1)</t>
  </si>
  <si>
    <t>tapar hueco desague lavamanos (1)</t>
  </si>
  <si>
    <t>cadena enganchada (1)</t>
  </si>
  <si>
    <t>no funciona el ingravido. isla-3 (1)</t>
  </si>
  <si>
    <t>reparar colector (1)</t>
  </si>
  <si>
    <t>intervencion en box celula (1)</t>
  </si>
  <si>
    <t>averia ingravido isla-2 (1)</t>
  </si>
  <si>
    <t>enclavamiento seguridad desalineado (1)</t>
  </si>
  <si>
    <t>averia taladro y radial (1)</t>
  </si>
  <si>
    <t>anomalía iluminación puesto de control (1)</t>
  </si>
  <si>
    <t>armario equipo de derrames quimicos roto (1)</t>
  </si>
  <si>
    <t>no pàsan las piezas (1)</t>
  </si>
  <si>
    <t>reparar detector de placa expulsora (1)</t>
  </si>
  <si>
    <t>fallo lubrificacion (1)</t>
  </si>
  <si>
    <t>sacar tubo matriz (1)</t>
  </si>
  <si>
    <t>sobrevelocidad eje z (1)</t>
  </si>
  <si>
    <t>reparar carro soldar (1)</t>
  </si>
  <si>
    <t>no funciona lampara led (1)</t>
  </si>
  <si>
    <t>desmontaje y reciclaje medidor 1ª/2ª (1)</t>
  </si>
  <si>
    <t>sustituir pila mitutoyo. (1)</t>
  </si>
  <si>
    <t>en línea 6 sustituir expresión (1)</t>
  </si>
  <si>
    <t>cinta ewab atascada (1)</t>
  </si>
  <si>
    <t>contruir latiguillo hidráulico s/muestra (1)</t>
  </si>
  <si>
    <t>sustituir canalón corto provoca gotera (1)</t>
  </si>
  <si>
    <t>anomalias neumaticas. (1)</t>
  </si>
  <si>
    <t>multimix isla 8 trabaja sin bomba (1)</t>
  </si>
  <si>
    <t>fallo comunicación estación aceite (1)</t>
  </si>
  <si>
    <t>coloca mal corona sincro (1)</t>
  </si>
  <si>
    <t>averia engrase pistón. isla-4 (1)</t>
  </si>
  <si>
    <t>error medición caudalímetro (1)</t>
  </si>
  <si>
    <t>sensor optoelectronico en mal estado (1)</t>
  </si>
  <si>
    <t>pc microscopio no arranca y pita (1)</t>
  </si>
  <si>
    <t>averia alarma atemperador 1. isla-2 (1)</t>
  </si>
  <si>
    <t>mal funcionamiento vibrador pcb (1)</t>
  </si>
  <si>
    <t>colocar stop parrillas. (1)</t>
  </si>
  <si>
    <t>reparar porta-herramientas (1)</t>
  </si>
  <si>
    <t>extraccion cinta transferizado (1)</t>
  </si>
  <si>
    <t>caja suelta del soporte (1)</t>
  </si>
  <si>
    <t>piston via deshechos e.f.d 3ªy4ª (1)</t>
  </si>
  <si>
    <t>operanting systrm not found (1)</t>
  </si>
  <si>
    <t>cambio sobre y pintar puesto control (1)</t>
  </si>
  <si>
    <t>puestos de control sin luz (1)</t>
  </si>
  <si>
    <t>impresora suma no funciona bien (1)</t>
  </si>
  <si>
    <t>fallo stop (1)</t>
  </si>
  <si>
    <t>sustituir pulsador (1)</t>
  </si>
  <si>
    <t>acondicionar mesa medicion vincos (1)</t>
  </si>
  <si>
    <t>acondicionar box (1)</t>
  </si>
  <si>
    <t>construir protector metalico y colocacio (1)</t>
  </si>
  <si>
    <t>sala medicion 1 (1)</t>
  </si>
  <si>
    <t>recoger muestras aceite (1)</t>
  </si>
  <si>
    <t>sustituir pila comparador (1)</t>
  </si>
  <si>
    <t>fallo atemperador circuito 5-6 (1)</t>
  </si>
  <si>
    <t>reparacion palets zona planas (1)</t>
  </si>
  <si>
    <t>tomar y llevar muestras a laboratorio (1)</t>
  </si>
  <si>
    <t>reparar captos (1)</t>
  </si>
  <si>
    <t>construccion soporte (1)</t>
  </si>
  <si>
    <t>metacrilato (1)</t>
  </si>
  <si>
    <t>pales (1)</t>
  </si>
  <si>
    <t>acondicionar y pintar (1)</t>
  </si>
  <si>
    <t>averia caja conexion atemperador (1)</t>
  </si>
  <si>
    <t>desincronización de palets en vacío. (1)</t>
  </si>
  <si>
    <t>cambiar detector de placa expulsora (1)</t>
  </si>
  <si>
    <t>sistema de soplado (1)</t>
  </si>
  <si>
    <t>montar acheson isla 4 (1)</t>
  </si>
  <si>
    <t>colocacion goma protectora (1)</t>
  </si>
  <si>
    <t>13032023 (1)</t>
  </si>
  <si>
    <t>pintar mesas de control (1)</t>
  </si>
  <si>
    <t>construccion para golpes (1)</t>
  </si>
  <si>
    <t>impresora suma no tiene toner (1)</t>
  </si>
  <si>
    <t>conector enchufe fuera posición (1)</t>
  </si>
  <si>
    <t>colocar 2 fotocelulas. (1)</t>
  </si>
  <si>
    <t>fallo amarre palpador (1)</t>
  </si>
  <si>
    <t>reparar pales (1)</t>
  </si>
  <si>
    <t>cambiar micro detector de placa (1)</t>
  </si>
  <si>
    <t>no funciona bien (1)</t>
  </si>
  <si>
    <t>electrovalvula refrigerante no actua. (1)</t>
  </si>
  <si>
    <t>isla -4 (1)</t>
  </si>
  <si>
    <t>cambio "sobre" puesto medición bujes (1)</t>
  </si>
  <si>
    <t>isla-1 (1)</t>
  </si>
  <si>
    <t>sustituir luminaria (1)</t>
  </si>
  <si>
    <t>falla luz puesto control (1)</t>
  </si>
  <si>
    <t>disco duro nok (1)</t>
  </si>
  <si>
    <t>camara no funciona (1)</t>
  </si>
  <si>
    <t>colocar puente en matriz (1)</t>
  </si>
  <si>
    <t>ordenadores sin luz (1)</t>
  </si>
  <si>
    <t>sustituir 2 pantallas/luminarias (1)</t>
  </si>
  <si>
    <t>atemperador 27 av.llenado circuito 2 (1)</t>
  </si>
  <si>
    <t>no va luminaria (1)</t>
  </si>
  <si>
    <t>revisar y ajustar calibres (1)</t>
  </si>
  <si>
    <t>pinzas de almacen defectuosas linea 4 (1)</t>
  </si>
  <si>
    <t>ventilador estufa funcionamiento nok (1)</t>
  </si>
  <si>
    <t>el medidor no funciona no le llega tensi (1)</t>
  </si>
  <si>
    <t>kardex no funciona en automatico (1)</t>
  </si>
  <si>
    <t>fallo tope cruce m4 (1)</t>
  </si>
  <si>
    <t>reparar micros (1)</t>
  </si>
  <si>
    <t>pérdida aire en grupo mtto sala 2 (1)</t>
  </si>
  <si>
    <t>anomalia pinza noris (1)</t>
  </si>
  <si>
    <t>reparar curvas y uniones ewab (1)</t>
  </si>
  <si>
    <t>no funciona (1)</t>
  </si>
  <si>
    <t>no enciende pc (1)</t>
  </si>
  <si>
    <t>atascos en curva (1)</t>
  </si>
  <si>
    <t>fallo conexión a red. (1)</t>
  </si>
  <si>
    <t>fallo satelite ewab (1)</t>
  </si>
  <si>
    <t>anomalia neumatica (1)</t>
  </si>
  <si>
    <t>fuga staubli e y s nº23 (1)</t>
  </si>
  <si>
    <t>fallo iluminación puesto control (1)</t>
  </si>
  <si>
    <t>revisión de puntos descarga de ejes (1)</t>
  </si>
  <si>
    <t>rampa isla 2 - fundición (1)</t>
  </si>
  <si>
    <t>calibre de mdk no repite medida (1)</t>
  </si>
  <si>
    <t>fallo señal final de carrera expulsores (1)</t>
  </si>
  <si>
    <t>colocar protecciones barras (1)</t>
  </si>
  <si>
    <t>entrega recambio mag l7 (1)</t>
  </si>
  <si>
    <t>dispositivo medición mal ajustado (1)</t>
  </si>
  <si>
    <t>desplegable de pantalla sin texto (1)</t>
  </si>
  <si>
    <t>tpm-r 213055 iluminación no funciona (1)</t>
  </si>
  <si>
    <t>falla liberacion palet (1)</t>
  </si>
  <si>
    <t>no arranca cuadro de mando (1)</t>
  </si>
  <si>
    <t>isla 2. fuga aire robot abb (1)</t>
  </si>
  <si>
    <t>fuga neumatica vaso (1)</t>
  </si>
  <si>
    <t>fuga neumatica en enlace (1)</t>
  </si>
  <si>
    <t>anom elevador no funciona (1)</t>
  </si>
  <si>
    <t>descarga 1, fuga neumática (1)</t>
  </si>
  <si>
    <t>carro viruta lleno no avisa (1)</t>
  </si>
  <si>
    <t>modificación armario ++vis 7016420007 (1)</t>
  </si>
  <si>
    <t>con señal presente sin palet (1)</t>
  </si>
  <si>
    <t>ruedas rotas mastermover (1)</t>
  </si>
  <si>
    <t>configurar impresora suma torneado (1)</t>
  </si>
  <si>
    <t>tapa portapistón en mal estado isla 5 (1)</t>
  </si>
  <si>
    <t>realizar backup (1)</t>
  </si>
  <si>
    <t>modificar pulmón de entrada material (1)</t>
  </si>
  <si>
    <t>isla-2 averia engrase pistón inyección. (1)</t>
  </si>
  <si>
    <t>averia atemperador nº18 (1)</t>
  </si>
  <si>
    <t>falla señal de garra abajo en descarga (1)</t>
  </si>
  <si>
    <t>atemperador nº15 (1)</t>
  </si>
  <si>
    <t>problema aprendizage mandrino acabado (1)</t>
  </si>
  <si>
    <t>fuga en curva ewab (1)</t>
  </si>
  <si>
    <t>tpm-r sanear cable transpalet suma (1)</t>
  </si>
  <si>
    <t>colaboracion ejes negro mq281 (1)</t>
  </si>
  <si>
    <t>saltan fusibles (1)</t>
  </si>
  <si>
    <t>acondicionar fases cuadro electrico.i-6 (1)</t>
  </si>
  <si>
    <t>sustituir caja pulsadores (1)</t>
  </si>
  <si>
    <t>averia bomba de hyd (1)</t>
  </si>
  <si>
    <t>reparar final carrera matriz (1)</t>
  </si>
  <si>
    <t>rotura tornillo fijacion plaquita. (1)</t>
  </si>
  <si>
    <t>mi (1)</t>
  </si>
  <si>
    <t>no funciona altimetro (1)</t>
  </si>
  <si>
    <t>detector roto. (1)</t>
  </si>
  <si>
    <t>error (1)</t>
  </si>
  <si>
    <t>fuga de aire por manguera pistola (1)</t>
  </si>
  <si>
    <t>isla-6 fuga agua colector caudalímetros (1)</t>
  </si>
  <si>
    <t>tubo refrigerante sierra danobat rajado (1)</t>
  </si>
  <si>
    <t>persiana rota (1)</t>
  </si>
  <si>
    <t>tpm-r 219180 construir vastagos (1)</t>
  </si>
  <si>
    <t>cuba de sosa ( 3d ) no calienta el agua (1)</t>
  </si>
  <si>
    <t>el pistón no engrasa cunado acompaña (1)</t>
  </si>
  <si>
    <t>fallo apertura campana isla 8 (1)</t>
  </si>
  <si>
    <t>fuga neumatica ewab (1)</t>
  </si>
  <si>
    <t>tpm-r 219217 construir boca conexión (1)</t>
  </si>
  <si>
    <t>rotura soporte detector salida pieza (1)</t>
  </si>
  <si>
    <t>pulsador de seta (1)</t>
  </si>
  <si>
    <t>isla-9 toma tierra camara inyección (1)</t>
  </si>
  <si>
    <t>luz puesto control no funciona (1)</t>
  </si>
  <si>
    <t>tpm-r 219803 no funciona iluminación (1)</t>
  </si>
  <si>
    <t>tpm-r 219812 dispositivo no mide (1)</t>
  </si>
  <si>
    <t>robot no continua ciclo (1)</t>
  </si>
  <si>
    <t>no cierra campana lado fijo (1)</t>
  </si>
  <si>
    <t>atasco ewab (1)</t>
  </si>
  <si>
    <t>tope ewab no abre con carga de palets (1)</t>
  </si>
  <si>
    <t>comprobar centradores apoyo pieza (1)</t>
  </si>
  <si>
    <t>no funciona transferizado (1)</t>
  </si>
  <si>
    <t>tpm-r 219864 reparación captos (1)</t>
  </si>
  <si>
    <t>tpm-r cambio pilas comparadores (1)</t>
  </si>
  <si>
    <t>seta multimix isla 2 mal estado (1)</t>
  </si>
  <si>
    <t>extraer aceite hidraulico (1)</t>
  </si>
  <si>
    <t>tpm-r 219875 carro bloqueado en elevador (1)</t>
  </si>
  <si>
    <t>disco duro lleno (1)</t>
  </si>
  <si>
    <t>problemas ordenador impresora (1)</t>
  </si>
  <si>
    <t>amortiguadores puerta defectuosos (1)</t>
  </si>
  <si>
    <t>tpm-r-220680-presostato en mal estado. (1)</t>
  </si>
  <si>
    <t>tpm-r 219898 cambiar pila comparador (1)</t>
  </si>
  <si>
    <t>averia consola acheson (1)</t>
  </si>
  <si>
    <t>presión insuficiente sobre aguja (1)</t>
  </si>
  <si>
    <t>transferizado ruidoso (1)</t>
  </si>
  <si>
    <t>sustitución interruptor cuba (1)</t>
  </si>
  <si>
    <t>instalar balizas (1)</t>
  </si>
  <si>
    <t>no funciona satelite (1)</t>
  </si>
  <si>
    <t>tope 2s50 no abre (1)</t>
  </si>
  <si>
    <t>rueda carro conjunto diferencial (1)</t>
  </si>
  <si>
    <t>pc scada térmica no arranca (1)</t>
  </si>
  <si>
    <t>reparacion transferizado y palets (1)</t>
  </si>
  <si>
    <t>reductor mesa fuga (1)</t>
  </si>
  <si>
    <t>acondicionar cables ewab (1)</t>
  </si>
  <si>
    <t>liberar espacio medición (1)</t>
  </si>
  <si>
    <t>limpieza camaras (1)</t>
  </si>
  <si>
    <t>transf. motor potro salida 1ª vel (h15) (1)</t>
  </si>
  <si>
    <t>puesto de control nok g16-1303 (1)</t>
  </si>
  <si>
    <t>no coge las piezas (1)</t>
  </si>
  <si>
    <t>sobreesfuerzo transportador de viruta (1)</t>
  </si>
  <si>
    <t>carro de montaje roto (1)</t>
  </si>
  <si>
    <t>sustituir grifo lava manos (1)</t>
  </si>
  <si>
    <t>error de programa (dea3) (1)</t>
  </si>
  <si>
    <t>batería baja mesa de medición g16-1303 (1)</t>
  </si>
  <si>
    <t>fallos continuos mesa giratoria zona tap (1)</t>
  </si>
  <si>
    <t>reparar finales de carrera. (1)</t>
  </si>
  <si>
    <t>luces azules de preaviso no funcionan (1)</t>
  </si>
  <si>
    <t>alarma engrase pistón (1)</t>
  </si>
  <si>
    <t>colocar interruptor iluminación (1)</t>
  </si>
  <si>
    <t>tpm-r 199313 contruir trilogic (1)</t>
  </si>
  <si>
    <t>piezas marcadas en casquillo de 12 (1)</t>
  </si>
  <si>
    <t>reparar fuga manguera (1)</t>
  </si>
  <si>
    <t>averia atemperador nº19 (1)</t>
  </si>
  <si>
    <t>fallo sistema de aspiracion (1)</t>
  </si>
  <si>
    <t>sustituir fusibles isla 6 italpresse (1)</t>
  </si>
  <si>
    <t>isla 2 averia abb (1)</t>
  </si>
  <si>
    <t>limpiar charco aceite columna o23 (1)</t>
  </si>
  <si>
    <t>revisar funcionamiento ingrávido (1)</t>
  </si>
  <si>
    <t>si interrup. ciclo, tirar piezas en auto (1)</t>
  </si>
  <si>
    <t>tpm-r 207709 antitanque roto (1)</t>
  </si>
  <si>
    <t>Todos los cuellos son A1 por definición. No se fuerza mapeo dudoso contra SAP.</t>
  </si>
  <si>
    <t>Línea</t>
  </si>
  <si>
    <t>Nombre CB</t>
  </si>
  <si>
    <t>OEE</t>
  </si>
  <si>
    <t>5ªVC-B-281</t>
  </si>
  <si>
    <t>A1 - Crítico por cuello de botella</t>
  </si>
  <si>
    <t>5ªVP-B-281</t>
  </si>
  <si>
    <t>6ªV.P-N-281</t>
  </si>
  <si>
    <t>MANGUITO 3/6</t>
  </si>
  <si>
    <t>MANGUITO 1ª 2ª</t>
  </si>
  <si>
    <t>M.A-N-281</t>
  </si>
  <si>
    <t>SEC-TW2-N-281</t>
  </si>
  <si>
    <t>PRIM-N-281</t>
  </si>
  <si>
    <t>SEC-TW1-N-281</t>
  </si>
  <si>
    <t>H-15</t>
  </si>
  <si>
    <t>3ªVP-TORN-200-3ªP</t>
  </si>
  <si>
    <t>4ªVP-TORN-200</t>
  </si>
  <si>
    <t>5ªV.P-N-281</t>
  </si>
  <si>
    <t>3ªVC-N-281</t>
  </si>
  <si>
    <t>4ªVC-N-281</t>
  </si>
  <si>
    <t>4ªVC-B-281</t>
  </si>
  <si>
    <t>M.A-B-281</t>
  </si>
  <si>
    <t>2ªV-B-281</t>
  </si>
  <si>
    <t>6ªVC-B-281</t>
  </si>
  <si>
    <t>4ªVP-B-281</t>
  </si>
  <si>
    <t>1ªV-B-281</t>
  </si>
  <si>
    <t>3ªVC-B-281</t>
  </si>
  <si>
    <t>3ªVP-B-281</t>
  </si>
  <si>
    <t>6ªVP-B-281</t>
  </si>
  <si>
    <t>C.RED-B-281-0</t>
  </si>
  <si>
    <t>C.RED-B-281-1</t>
  </si>
  <si>
    <t>PRIM-B-281</t>
  </si>
  <si>
    <t>SEC.TW1-B-281</t>
  </si>
  <si>
    <t>SEC.TW2-B-281</t>
  </si>
  <si>
    <t>C.SINC.N-281</t>
  </si>
  <si>
    <t>C.RED-B-200-1</t>
  </si>
  <si>
    <t>C.RED-B-200-2</t>
  </si>
  <si>
    <t>6ªVP-B-200</t>
  </si>
  <si>
    <t>3ªVP-B-200</t>
  </si>
  <si>
    <t>TAPA 6ª</t>
  </si>
  <si>
    <t>PRIM-B-200</t>
  </si>
  <si>
    <t>ISLA - 10</t>
  </si>
  <si>
    <t>ISLA - 3</t>
  </si>
  <si>
    <t>ISLA - 5</t>
  </si>
  <si>
    <t>ISLA - 6-C</t>
  </si>
  <si>
    <t>ISLA - 7</t>
  </si>
  <si>
    <t>ISLA - 8</t>
  </si>
  <si>
    <t>ISLA - 9</t>
  </si>
  <si>
    <t>BUJES</t>
  </si>
  <si>
    <t>L4 CAJA</t>
  </si>
  <si>
    <t>L4 CARCASA</t>
  </si>
  <si>
    <t>L5 CAJAS</t>
  </si>
  <si>
    <t>L5 CARCASAS</t>
  </si>
  <si>
    <t>SEC-N-200</t>
  </si>
  <si>
    <t>5ªVP-B-200</t>
  </si>
  <si>
    <t>4ªVP-B-200</t>
  </si>
  <si>
    <t>6ªVC-B-200</t>
  </si>
  <si>
    <t>4ªVC-B-200</t>
  </si>
  <si>
    <t>L7MGH 40</t>
  </si>
  <si>
    <t>L7MGH 41</t>
  </si>
  <si>
    <t>L7GGH 46</t>
  </si>
  <si>
    <t>L7GGH 50</t>
  </si>
  <si>
    <t>L7GGH 51</t>
  </si>
  <si>
    <t>L7MGH 53</t>
  </si>
  <si>
    <t>L7MGH 54</t>
  </si>
  <si>
    <t>L7GGH 55</t>
  </si>
  <si>
    <t>L7GGH 56</t>
  </si>
  <si>
    <t>L7MGH 57</t>
  </si>
  <si>
    <t>L7GGH 45</t>
  </si>
  <si>
    <t>ML-1</t>
  </si>
  <si>
    <t>ML-3</t>
  </si>
  <si>
    <t>BUJE-3/4-TORN-200</t>
  </si>
  <si>
    <t>BUJE-5/6-TORN-200</t>
  </si>
  <si>
    <t>BUJE-1/2-TORN-200</t>
  </si>
  <si>
    <t>M.A.-TORN-200-MA</t>
  </si>
  <si>
    <t>1ªv-TORN-281-COM</t>
  </si>
  <si>
    <t>2ªV-TORN-281-COM</t>
  </si>
  <si>
    <t>3ªVC-TORN-281-3ªC</t>
  </si>
  <si>
    <t>5ªVP-TORN-281</t>
  </si>
  <si>
    <t>2ªV-TORN-281</t>
  </si>
  <si>
    <t>4ªVP-TORN-281</t>
  </si>
  <si>
    <t>3ªVC-TORN-281</t>
  </si>
  <si>
    <t>5ªVP-TORN-200-5ªP</t>
  </si>
  <si>
    <t>6ªVP-TORN-200-6ªP</t>
  </si>
  <si>
    <t>M.A.TORN-281</t>
  </si>
  <si>
    <t>5ªVC-TORN-281</t>
  </si>
  <si>
    <t>4ªVC-TORN-281</t>
  </si>
  <si>
    <t>4ªVC-TORN-200-4ª</t>
  </si>
  <si>
    <t>6ªVC-TORN-200-6ª</t>
  </si>
  <si>
    <t>4ªVC-TORN-281-4ªC</t>
  </si>
  <si>
    <t>3ªVP-TORN-281</t>
  </si>
  <si>
    <t>1ªV-TORN-281</t>
  </si>
  <si>
    <t>6ªVC-TORN-281</t>
  </si>
  <si>
    <t>4ª V.P-N-281</t>
  </si>
  <si>
    <t>3ª V.P-N-281</t>
  </si>
  <si>
    <t>3ªVC-B-200</t>
  </si>
  <si>
    <t>2ªV-B-200</t>
  </si>
  <si>
    <t>5ªVC-TORN-200</t>
  </si>
  <si>
    <t>3ªVC-TORN-200-1ªC</t>
  </si>
  <si>
    <t>PRIM-N-200</t>
  </si>
  <si>
    <t>5ªVC-N-200-33</t>
  </si>
  <si>
    <t>5ªVC-N-200-34</t>
  </si>
  <si>
    <t>M.A.B-200</t>
  </si>
  <si>
    <t>1ªV-B-200</t>
  </si>
  <si>
    <t>PROBEAM</t>
  </si>
  <si>
    <t>C.SIN-B-281</t>
  </si>
  <si>
    <t>SEC-B-200</t>
  </si>
  <si>
    <t>5ªVC-B-200</t>
  </si>
  <si>
    <t>6ªVC-N-200</t>
  </si>
  <si>
    <t>4ªVC-N-200</t>
  </si>
  <si>
    <t>3ªVP-N-200</t>
  </si>
  <si>
    <t>3ªVC-N-200</t>
  </si>
  <si>
    <t>4ªVP-N-200</t>
  </si>
  <si>
    <t>2ªV-N-200</t>
  </si>
  <si>
    <t>5ª/6ªVP-N-200</t>
  </si>
  <si>
    <t>C.DIF-N-200</t>
  </si>
  <si>
    <t>C.DIF-N-281/2</t>
  </si>
  <si>
    <t>C.DIF-N-281</t>
  </si>
  <si>
    <t>1ªV-N-200</t>
  </si>
  <si>
    <t>6ªVC-N-281</t>
  </si>
  <si>
    <t>5ªVC-N-281</t>
  </si>
  <si>
    <t>2ª V. N-281</t>
  </si>
  <si>
    <t>1ª V. N-281</t>
  </si>
  <si>
    <t>C.DIF-N-200-2</t>
  </si>
  <si>
    <t>C.DIF-N-200-1</t>
  </si>
  <si>
    <t>2ªV-TORN-200</t>
  </si>
  <si>
    <t>1ªV-TORN-200</t>
  </si>
  <si>
    <t>6ªVP-TORN-281</t>
  </si>
  <si>
    <t>Contexto global de planta</t>
  </si>
  <si>
    <t>Datos globales del alcance real. Sirven para dimensionamiento, aunque no haya inventario fila a fila.</t>
  </si>
  <si>
    <t>Descripción</t>
  </si>
  <si>
    <t>Dimensionamiento orientativo</t>
  </si>
  <si>
    <t>Separado entre carga base, PM/TPM y plantilla actual. Hablar de mantenedores equivalentes, no de contratación directa.</t>
  </si>
  <si>
    <t>Mantenedores equivalentes</t>
  </si>
  <si>
    <t>Dato facilitado por usuario</t>
  </si>
  <si>
    <t>Carga ponderada mínima defendible</t>
  </si>
  <si>
    <t>Carga ponderada equilibrada</t>
  </si>
  <si>
    <t>Gap base mínimo</t>
  </si>
  <si>
    <t>100 - 80</t>
  </si>
  <si>
    <t>Gap base máximo</t>
  </si>
  <si>
    <t>114 - 80</t>
  </si>
  <si>
    <t>Referencia con PM/TPM no absorbidos - baja</t>
  </si>
  <si>
    <t>Si PM/TPM no está absorbido</t>
  </si>
  <si>
    <t>Referencia con PM/TPM no absorbidos - alta</t>
  </si>
  <si>
    <t>Gap con PM/TPM mínimo</t>
  </si>
  <si>
    <t>110 - 80</t>
  </si>
  <si>
    <t>Gap con PM/TPM máximo</t>
  </si>
  <si>
    <t>124 - 80</t>
  </si>
  <si>
    <t>Carga estructural</t>
  </si>
  <si>
    <t>Planes PM</t>
  </si>
  <si>
    <t>&gt; 9.000</t>
  </si>
  <si>
    <t>Dato global</t>
  </si>
  <si>
    <t>&gt; 50.000</t>
  </si>
  <si>
    <t>Intervenciones TPM/año</t>
  </si>
  <si>
    <t>&gt; 3.000</t>
  </si>
  <si>
    <t>Avisos/año</t>
  </si>
  <si>
    <t>&gt; 10.000</t>
  </si>
  <si>
    <t>Horas productivas/FTE usadas en estimación</t>
  </si>
  <si>
    <t>Supuesto revisable</t>
  </si>
  <si>
    <t>Reglas, criterios y jerarquía</t>
  </si>
  <si>
    <t>Control para que el maestro no vuelva a desvirtuar los datos de negocio.</t>
  </si>
  <si>
    <t>Tipo</t>
  </si>
  <si>
    <t>Elemento</t>
  </si>
  <si>
    <t>Criterio</t>
  </si>
  <si>
    <t>Jerarquía</t>
  </si>
  <si>
    <t>15 estaciones de montaje críticas.</t>
  </si>
  <si>
    <t>14 estaciones de montaje críticas.</t>
  </si>
  <si>
    <t>10 estaciones de montaje críticas + 4 rectificadoras Reishauer críticas.</t>
  </si>
  <si>
    <t>17 estaciones de montaje críticas.</t>
  </si>
  <si>
    <t>15 máquinas críticas de mecanizado.</t>
  </si>
  <si>
    <t>Montaje convencional</t>
  </si>
  <si>
    <t>Fabricante KRAUSE.</t>
  </si>
  <si>
    <t>Fabricante SCHMID.</t>
  </si>
  <si>
    <t>Cuello de botella</t>
  </si>
  <si>
    <t>A1 siempre.</t>
  </si>
  <si>
    <t>Inventario no identificado</t>
  </si>
  <si>
    <t>No se inventa. Se deja pendiente visible.</t>
  </si>
  <si>
    <t>Dimensionamiento</t>
  </si>
  <si>
    <t>Se compara carga vs plantilla, no contratación directa.</t>
  </si>
  <si>
    <t>Dimensionamiento mantenimiento PK-16 | Parque completo + carga real + fuentes externas</t>
  </si>
  <si>
    <t>KPIs principales</t>
  </si>
  <si>
    <t>Métrica</t>
  </si>
  <si>
    <t>Unidad</t>
  </si>
  <si>
    <t>Fuente / cálculo</t>
  </si>
  <si>
    <t>Validación</t>
  </si>
  <si>
    <t>Parque global visible</t>
  </si>
  <si>
    <t>activos</t>
  </si>
  <si>
    <t>Todo el parque visible considerado</t>
  </si>
  <si>
    <t>Importado</t>
  </si>
  <si>
    <t>OK</t>
  </si>
  <si>
    <t>Incluye mecanizado, robots, montaje, calidad, transporte, lavadoras y auxiliares</t>
  </si>
  <si>
    <t>Activos clasificados</t>
  </si>
  <si>
    <t>Con criticidad A/B/C/D en maestro</t>
  </si>
  <si>
    <t>No clasificados incluidos</t>
  </si>
  <si>
    <t>Tratados como D/ruta para no perder carga</t>
  </si>
  <si>
    <t>Cálculo: parque visible - clasificados</t>
  </si>
  <si>
    <t>Derivado</t>
  </si>
  <si>
    <t>Criterio conservador de cobertura mínima</t>
  </si>
  <si>
    <t>Horas avería 2025→actual</t>
  </si>
  <si>
    <t>h</t>
  </si>
  <si>
    <t>Dato de soporte, no único driver</t>
  </si>
  <si>
    <t>MAESTRO_CRITICIDAD_MAQUINAS.xlsx</t>
  </si>
  <si>
    <t>Campo Años contiene 2025/2026</t>
  </si>
  <si>
    <t>Base ratio parque completo</t>
  </si>
  <si>
    <t>FTE por criticidad completa</t>
  </si>
  <si>
    <t>SUMA A/12 + B/20 + C/35 + D/60</t>
  </si>
  <si>
    <t>Fórmula</t>
  </si>
  <si>
    <t>PM + avisos</t>
  </si>
  <si>
    <t>Carga central anual adicional</t>
  </si>
  <si>
    <t>60.000 / 6.300 unidades FTE/año</t>
  </si>
  <si>
    <t>TPM excluido</t>
  </si>
  <si>
    <t>Formación anual</t>
  </si>
  <si>
    <t>Pérdida de capacidad por formación</t>
  </si>
  <si>
    <t>80 pers. × 55 h / 1.450 h</t>
  </si>
  <si>
    <t>Sábados + libranza</t>
  </si>
  <si>
    <t>Cobertura sábado y descanso semanal</t>
  </si>
  <si>
    <t>10 pers/sábado × 45 / 220</t>
  </si>
  <si>
    <t>Cobertura real mínima</t>
  </si>
  <si>
    <t>Especialidades, turnos, ausencias</t>
  </si>
  <si>
    <t>15% sobre base + PM/avisos</t>
  </si>
  <si>
    <t>Cobertura real máxima</t>
  </si>
  <si>
    <t>25% sobre base + PM/avisos</t>
  </si>
  <si>
    <t>Necesidad final mínima</t>
  </si>
  <si>
    <t>Escenario defendible bajo</t>
  </si>
  <si>
    <t>Base + PM + formación + sábados + cobertura mín.</t>
  </si>
  <si>
    <t>Necesidad final máxima</t>
  </si>
  <si>
    <t>Escenario defendible alto</t>
  </si>
  <si>
    <t>Base + PM + formación + sábados + cobertura máx.</t>
  </si>
  <si>
    <t>Gap mínimo vs 80 nominales</t>
  </si>
  <si>
    <t>Déficit mínimo estimado</t>
  </si>
  <si>
    <t>Necesidad mínima - 80</t>
  </si>
  <si>
    <t>Gap máximo vs 80 nominales</t>
  </si>
  <si>
    <t>Déficit máximo estimado</t>
  </si>
  <si>
    <t>Necesidad máxima - 80</t>
  </si>
  <si>
    <t>Conclusión para dirección</t>
  </si>
  <si>
    <t>Necesidad estimada: 94-102 FTE. Frente a 80 personas nominales, el gap defendible queda en +14 a +22 FTE. El cálculo usa parque completo, activos no clasificados como D/ruta, PM+avisos, formación, sábados/libranza y cobertura real.</t>
  </si>
  <si>
    <t>Supuestos, fuentes y trazabilidad</t>
  </si>
  <si>
    <t>Supuestos editables</t>
  </si>
  <si>
    <t>Variable</t>
  </si>
  <si>
    <t>Plantilla nominal actual</t>
  </si>
  <si>
    <t>personas</t>
  </si>
  <si>
    <t>Plantilla de referencia comunicada por usuario</t>
  </si>
  <si>
    <t>Usuario / conversación</t>
  </si>
  <si>
    <t>Input</t>
  </si>
  <si>
    <t>Formación anual por persona</t>
  </si>
  <si>
    <t>h/persona/año</t>
  </si>
  <si>
    <t>Horas de formación anual por mantenedor</t>
  </si>
  <si>
    <t>Supuesto usuario / modelo</t>
  </si>
  <si>
    <t>Horas productivas por FTE</t>
  </si>
  <si>
    <t>h/FTE/año</t>
  </si>
  <si>
    <t>Horas productivas anuales usadas para convertir horas a FTE</t>
  </si>
  <si>
    <t>Supuesto modelo</t>
  </si>
  <si>
    <t>Personas por sábado</t>
  </si>
  <si>
    <t>personas/sábado</t>
  </si>
  <si>
    <t>Cobertura media requerida por sábado</t>
  </si>
  <si>
    <t>Sábados trabajados/año</t>
  </si>
  <si>
    <t>sábados/año</t>
  </si>
  <si>
    <t>Sábados anuales con cobertura</t>
  </si>
  <si>
    <t>Días laborables/año</t>
  </si>
  <si>
    <t>días/año</t>
  </si>
  <si>
    <t>Base para convertir libranza de sábados a FTE</t>
  </si>
  <si>
    <t>PM + avisos central</t>
  </si>
  <si>
    <t>unidades/año</t>
  </si>
  <si>
    <t>50.000 PM + 10.000 avisos</t>
  </si>
  <si>
    <t>Productividad PM/avisos por FTE</t>
  </si>
  <si>
    <t>unidades/FTE/año</t>
  </si>
  <si>
    <t>Hipótesis de conversión PM+avisos a FTE</t>
  </si>
  <si>
    <t>%</t>
  </si>
  <si>
    <t>Factor por turnos, especialidades, vacaciones, ausencias, simultaneidad</t>
  </si>
  <si>
    <t>Fuentes externas para defender metodología</t>
  </si>
  <si>
    <t>Uso en defensa</t>
  </si>
  <si>
    <t>URL</t>
  </si>
  <si>
    <t>Mensaje para dirección</t>
  </si>
  <si>
    <t>Aplicación al modelo</t>
  </si>
  <si>
    <t>Nota</t>
  </si>
  <si>
    <t>SMRP Best Practices Metrics &amp; Guidelines</t>
  </si>
  <si>
    <t>Métricas y benchmarking de mantenimiento y fiabilidad</t>
  </si>
  <si>
    <t>https://smrp.org/Learning-Resources/SMRP-Library/Best-Practices-Metrics-Guidelines/</t>
  </si>
  <si>
    <t>SMRP estandariza métricas y benchmarks para programas de mantenimiento y fiabilidad.</t>
  </si>
  <si>
    <t>Se cita como fuente externa de benchmarking y métrica, no como ratio universal máquinas/mantenedor.</t>
  </si>
  <si>
    <t>Usar literalmente como “referencia externa de benchmark”.</t>
  </si>
  <si>
    <t>NASA NPR 8831.2F Facilities Maintenance and Operations Management</t>
  </si>
  <si>
    <t>Dimensionamiento por carga de trabajo, work requirements, work orders y staffing</t>
  </si>
  <si>
    <t>https://nodis3.gsfc.nasa.gov/displayDir.cfm?t=NPR&amp;c=8831&amp;s=2F</t>
  </si>
  <si>
    <t>NASA estructura mantenimiento por recursos, staffing, plan anual, requisitos de trabajo y ejecución.</t>
  </si>
  <si>
    <t>Se cita como fuente externa oficial para justificar cálculo por workload, PM/correctivo y recursos.</t>
  </si>
  <si>
    <t>Usar literalmente como “metodología de workload/staffing”.</t>
  </si>
  <si>
    <t>Datos internos de parque, PM, avisos, MEB ECO</t>
  </si>
  <si>
    <t>Archivo interno</t>
  </si>
  <si>
    <t>Parque completo y carga anual de mantenimiento.</t>
  </si>
  <si>
    <t>Base de datos principal para conteo de activos y carga central.</t>
  </si>
  <si>
    <t>Fuente interna.</t>
  </si>
  <si>
    <t>Criticidad, ratios internos, averías 2025→actual</t>
  </si>
  <si>
    <t>Criterio interno A/B/C/D aplicado a la cartera.</t>
  </si>
  <si>
    <t>Base de ratio interno y evidencia de averías/paros.</t>
  </si>
  <si>
    <t>Parque completo y criticidad</t>
  </si>
  <si>
    <t>Contexto por familias de activo</t>
  </si>
  <si>
    <t>Familia de activo</t>
  </si>
  <si>
    <t>Incluido en parque global visible</t>
  </si>
  <si>
    <t>Tratamientos/fundición</t>
  </si>
  <si>
    <t>Calidad/control</t>
  </si>
  <si>
    <t>Inst. transporte</t>
  </si>
  <si>
    <t>Medios transporte</t>
  </si>
  <si>
    <t>Auxiliares prod.</t>
  </si>
  <si>
    <t>TOTAL PARQUE VISIBLE</t>
  </si>
  <si>
    <t>Debe cuadrar con 2.043</t>
  </si>
  <si>
    <t>Criticidad completa usada para cálculo</t>
  </si>
  <si>
    <t>Ratio aplicado</t>
  </si>
  <si>
    <t>Críticos / cuello / alta criticidad</t>
  </si>
  <si>
    <t>Críticos medios</t>
  </si>
  <si>
    <t>Carga media</t>
  </si>
  <si>
    <t>Baja criticidad + no clasificados como D/ruta</t>
  </si>
  <si>
    <t>Secciones / productos</t>
  </si>
  <si>
    <t>FTE base por sección / producto</t>
  </si>
  <si>
    <t>Sección / producto</t>
  </si>
  <si>
    <t>A_MEB</t>
  </si>
  <si>
    <t>MQ200</t>
  </si>
  <si>
    <t>Incluye parque histórico identificado y/o MEB ECO si aplica</t>
  </si>
  <si>
    <t>MQ281</t>
  </si>
  <si>
    <t>MANGUETAS</t>
  </si>
  <si>
    <t>CONJ. DIF.</t>
  </si>
  <si>
    <t>ALUMINIO GGH/MGH</t>
  </si>
  <si>
    <t>RESTO PLANTA / SOPORTE GLOBAL</t>
  </si>
  <si>
    <t>Resto de activos de fábrica para cuadrar contra parque completo</t>
  </si>
  <si>
    <t>TOTAL BASE PARQUE COMPLETO</t>
  </si>
  <si>
    <t>Debe cuadrar con base por criticidad completa</t>
  </si>
  <si>
    <t>Cálculo FTE final</t>
  </si>
  <si>
    <t>Cálculo final con fórmulas</t>
  </si>
  <si>
    <t>Concepto</t>
  </si>
  <si>
    <t>Fórmula / valor</t>
  </si>
  <si>
    <t>03_Secciones</t>
  </si>
  <si>
    <t>A/12 + B/20 + C/35 + D/60 + no clasificados como D/ruta</t>
  </si>
  <si>
    <t>Supuestos</t>
  </si>
  <si>
    <t>plantilla nominal × horas formación / horas productivas</t>
  </si>
  <si>
    <t>personas sábado × sábados / días laborables</t>
  </si>
  <si>
    <t>Gap mín.</t>
  </si>
  <si>
    <t>15% por turnos, vacaciones, especialidades y simultaneidad</t>
  </si>
  <si>
    <t>Gap máx.</t>
  </si>
  <si>
    <t>25% por turnos, vacaciones, especialidades y simultaneidad</t>
  </si>
  <si>
    <t>Cálculo</t>
  </si>
  <si>
    <t>base + PM/avisos + formación + sábados + cobertura mín.</t>
  </si>
  <si>
    <t>base + PM/avisos + formación + sábados + cobertura máx.</t>
  </si>
  <si>
    <t>Usuario</t>
  </si>
  <si>
    <t>plantilla de referencia</t>
  </si>
  <si>
    <t>necesidad mínima - plantilla actual</t>
  </si>
  <si>
    <t>necesidad máxima - plantilla actual</t>
  </si>
  <si>
    <t>Datos averías 2025→actual</t>
  </si>
  <si>
    <t>Resumen de datos filtrados por campo Años 2025/2026</t>
  </si>
  <si>
    <t>Registros/activos con actividad</t>
  </si>
  <si>
    <t>activos/registros</t>
  </si>
  <si>
    <t>Campo Años contiene 2025 o 2026</t>
  </si>
  <si>
    <t>Horas paro analizadas</t>
  </si>
  <si>
    <t>Suma Horas paro filtradas</t>
  </si>
  <si>
    <t>Registros avería</t>
  </si>
  <si>
    <t>registros</t>
  </si>
  <si>
    <t>Suma Registros avería filtrados</t>
  </si>
  <si>
    <t>Distribución reciente A/B/C/D</t>
  </si>
  <si>
    <t>Activos recientes</t>
  </si>
  <si>
    <t>Puntos equivalentes</t>
  </si>
  <si>
    <t>Dimensionamiento de mantenimiento</t>
  </si>
  <si>
    <t>Modelo final basado en los 2.043 activos clasificados A/B/C/D y los supuestos facilitados.</t>
  </si>
  <si>
    <t>Fuente / lógica</t>
  </si>
  <si>
    <t>Observación</t>
  </si>
  <si>
    <t>Activos A</t>
  </si>
  <si>
    <t>Entrada</t>
  </si>
  <si>
    <t>Datos proporcionados</t>
  </si>
  <si>
    <t>Activos B</t>
  </si>
  <si>
    <t>Activos C</t>
  </si>
  <si>
    <t>Activos D</t>
  </si>
  <si>
    <t>Suma A:B:C:D</t>
  </si>
  <si>
    <t>Ratio A</t>
  </si>
  <si>
    <t>activos/FTE</t>
  </si>
  <si>
    <t>Modelo dimensionamiento</t>
  </si>
  <si>
    <t>Ratio B</t>
  </si>
  <si>
    <t>Ratio C</t>
  </si>
  <si>
    <t>Ratio D</t>
  </si>
  <si>
    <t>FTE base A</t>
  </si>
  <si>
    <t>Activos / ratio</t>
  </si>
  <si>
    <t>FTE base B</t>
  </si>
  <si>
    <t>FTE base C</t>
  </si>
  <si>
    <t>FTE base D</t>
  </si>
  <si>
    <t>Suma FTE por criticidad</t>
  </si>
  <si>
    <t>intervenciones/año</t>
  </si>
  <si>
    <t>Carga anual utilizada</t>
  </si>
  <si>
    <t>Productividad</t>
  </si>
  <si>
    <t>intervenciones/FTE/año</t>
  </si>
  <si>
    <t>Supuesto de productividad</t>
  </si>
  <si>
    <t>FTE PM + avisos</t>
  </si>
  <si>
    <t>Carga / productividad</t>
  </si>
  <si>
    <t>Dato proporcionado</t>
  </si>
  <si>
    <t>Formación</t>
  </si>
  <si>
    <t>Horas productivas</t>
  </si>
  <si>
    <t>FTE formación</t>
  </si>
  <si>
    <t>Plantilla x horas / horas productivas</t>
  </si>
  <si>
    <t>Sábados/año</t>
  </si>
  <si>
    <t>Días laborables</t>
  </si>
  <si>
    <t>FTE sábados + libranza</t>
  </si>
  <si>
    <t>Personas x sábados / días</t>
  </si>
  <si>
    <t>Cobertura mínima</t>
  </si>
  <si>
    <t>Turnos, vacaciones, especialización, simultaneidad</t>
  </si>
  <si>
    <t>Cobertura máxima</t>
  </si>
  <si>
    <t>FTE cobertura mínima</t>
  </si>
  <si>
    <t>(Base + PM) x cobertura mínima</t>
  </si>
  <si>
    <t>FTE cobertura máxima</t>
  </si>
  <si>
    <t>(Base + PM) x cobertura máxima</t>
  </si>
  <si>
    <t>Base + PM + formación + sábados + cobertura</t>
  </si>
  <si>
    <t>Necesidad mínima - plantilla</t>
  </si>
  <si>
    <t>Necesidad máxima - plantilla</t>
  </si>
  <si>
    <t>Análisis multidimensional</t>
  </si>
  <si>
    <t>Tablas de análisis actualizables mediante fórmulas estructuradas sobre las tablas limpias.</t>
  </si>
  <si>
    <t>Máquinas / objetos</t>
  </si>
  <si>
    <t>Identificados</t>
  </si>
  <si>
    <t>Pendientes</t>
  </si>
  <si>
    <t>Top máquina por horas</t>
  </si>
  <si>
    <t>Diccionario de datos</t>
  </si>
  <si>
    <t>Definición funcional, unidad y tipo de cada campo en las capas limpias.</t>
  </si>
  <si>
    <t>Hoja</t>
  </si>
  <si>
    <t>Columna</t>
  </si>
  <si>
    <t>Representa</t>
  </si>
  <si>
    <t>Unidad / formato</t>
  </si>
  <si>
    <t>Tipo de dato</t>
  </si>
  <si>
    <t>Relación principal</t>
  </si>
  <si>
    <t>20_Maestro_Estructurado</t>
  </si>
  <si>
    <t>Origen funcional del registro</t>
  </si>
  <si>
    <t>Texto</t>
  </si>
  <si>
    <t>Categoría</t>
  </si>
  <si>
    <t>Segmenta contexto, MEB, montaje, cuellos y paros</t>
  </si>
  <si>
    <t>Entidad o agrupación principal</t>
  </si>
  <si>
    <t>Relaciona producto/familia/activo</t>
  </si>
  <si>
    <t>Proceso o localización</t>
  </si>
  <si>
    <t>Relaciona con montaje y paros</t>
  </si>
  <si>
    <t>Número asociado al registro</t>
  </si>
  <si>
    <t>unidades</t>
  </si>
  <si>
    <t>Número</t>
  </si>
  <si>
    <t>Agregaciones por bloque</t>
  </si>
  <si>
    <t>Puede representar conteo agregado</t>
  </si>
  <si>
    <t>Nivel de criticidad</t>
  </si>
  <si>
    <t>A/A1/B/C/D</t>
  </si>
  <si>
    <t>Procedencia del dato</t>
  </si>
  <si>
    <t>Trazabilidad</t>
  </si>
  <si>
    <t>Nivel de confianza declarado</t>
  </si>
  <si>
    <t>Control de calidad</t>
  </si>
  <si>
    <t>22_Montaje</t>
  </si>
  <si>
    <t>Identificador actual del activo</t>
  </si>
  <si>
    <t>ID</t>
  </si>
  <si>
    <t>Clave con detalle/paros cuando coincide</t>
  </si>
  <si>
    <t>Identificador histórico</t>
  </si>
  <si>
    <t>Programa industrial</t>
  </si>
  <si>
    <t>Convencional/MEB ECO</t>
  </si>
  <si>
    <t>Producto asociado</t>
  </si>
  <si>
    <t>MEB y análisis</t>
  </si>
  <si>
    <t>Proceso técnico</t>
  </si>
  <si>
    <t>Fabricante del equipo</t>
  </si>
  <si>
    <t>Análisis de parque</t>
  </si>
  <si>
    <t>Año del activo</t>
  </si>
  <si>
    <t>AAAA</t>
  </si>
  <si>
    <t>Entero</t>
  </si>
  <si>
    <t>Antigüedad</t>
  </si>
  <si>
    <t>Situación del registro</t>
  </si>
  <si>
    <t>Control y validación</t>
  </si>
  <si>
    <t>23_Paros</t>
  </si>
  <si>
    <t>Equipo u objeto agrupado</t>
  </si>
  <si>
    <t>Clave de análisis de paros</t>
  </si>
  <si>
    <t>Grupo o ubicación dominante</t>
  </si>
  <si>
    <t>Relación con proceso</t>
  </si>
  <si>
    <t>Duración total agregada</t>
  </si>
  <si>
    <t>Decimal</t>
  </si>
  <si>
    <t>Ranking y tendencia</t>
  </si>
  <si>
    <t>min</t>
  </si>
  <si>
    <t>Debe ser coherente con horas x 60</t>
  </si>
  <si>
    <t>Número de eventos</t>
  </si>
  <si>
    <t>Frecuencia</t>
  </si>
  <si>
    <t>Proporción de registros P=X</t>
  </si>
  <si>
    <t>Indicador de clasificación</t>
  </si>
  <si>
    <t>Duración media por evento</t>
  </si>
  <si>
    <t>min/registro</t>
  </si>
  <si>
    <t>Minutos / registros</t>
  </si>
  <si>
    <t>Mayor paro individual</t>
  </si>
  <si>
    <t>Valores atípicos</t>
  </si>
  <si>
    <t>Años incluidos en la agregación</t>
  </si>
  <si>
    <t>AAAA / lista</t>
  </si>
  <si>
    <t>Filtro temporal</t>
  </si>
  <si>
    <t>24_Cuellos_Botella</t>
  </si>
  <si>
    <t>Modelo o familia</t>
  </si>
  <si>
    <t>Análisis de línea</t>
  </si>
  <si>
    <t>Línea productiva</t>
  </si>
  <si>
    <t>Ubicación</t>
  </si>
  <si>
    <t>Nombre del cuello de botella</t>
  </si>
  <si>
    <t>Activo crítico</t>
  </si>
  <si>
    <t>Eficiencia global</t>
  </si>
  <si>
    <t>Comparativa de desempeño</t>
  </si>
  <si>
    <t>Regla de criticidad</t>
  </si>
  <si>
    <t>Todos A1 por definición del origen</t>
  </si>
  <si>
    <t>30_Dimensionamiento</t>
  </si>
  <si>
    <t>Valor de entrada o resultado</t>
  </si>
  <si>
    <t>según Unidad</t>
  </si>
  <si>
    <t>Cálculos FTE</t>
  </si>
  <si>
    <t>Azul = entrada; negro = fórmula</t>
  </si>
  <si>
    <t>Unidad de medida</t>
  </si>
  <si>
    <t>Interpretación</t>
  </si>
  <si>
    <t>Entrada o fórmula</t>
  </si>
  <si>
    <t>Gobierno del modelo</t>
  </si>
  <si>
    <t>Comprobaciones de calidad</t>
  </si>
  <si>
    <t>Alertas visibles. No se eliminan registros dudosos; se cuantifican para revisión.</t>
  </si>
  <si>
    <t>Control</t>
  </si>
  <si>
    <t>Resultado</t>
  </si>
  <si>
    <t>Acción recomendada</t>
  </si>
  <si>
    <t>Suma A+B+C+D</t>
  </si>
  <si>
    <t>Debe ser 2.043</t>
  </si>
  <si>
    <t>Revisar entradas de criticidad</t>
  </si>
  <si>
    <t>MEB ECO total crítico</t>
  </si>
  <si>
    <t>Debe ser 75 según criterio facilitado</t>
  </si>
  <si>
    <t>Revisar tabla oficial</t>
  </si>
  <si>
    <t>MEB montaje + mecanizado</t>
  </si>
  <si>
    <t>Desglose debe igualar total</t>
  </si>
  <si>
    <t>Revisar proceso MEB</t>
  </si>
  <si>
    <t>Paros: horas vs minutos</t>
  </si>
  <si>
    <t>Diferencia absoluta inferior a 1 min</t>
  </si>
  <si>
    <t>Revisar agregaciones</t>
  </si>
  <si>
    <t>Paros sin máquina</t>
  </si>
  <si>
    <t>No deberían existir claves vacías</t>
  </si>
  <si>
    <t>Completar identificación</t>
  </si>
  <si>
    <t>Montaje sin inventario</t>
  </si>
  <si>
    <t>Registros sin ID</t>
  </si>
  <si>
    <t>Mantener para revisión, no eliminar</t>
  </si>
  <si>
    <t>Montaje inventario duplicado</t>
  </si>
  <si>
    <t>REVISAR</t>
  </si>
  <si>
    <t>Duplicados adicionales por inventario. Cálculo de control generado desde la tabla de montaje.</t>
  </si>
  <si>
    <t>Comprobar reservas, standby o IDs repetidos</t>
  </si>
  <si>
    <t>Necesidad mín. &lt;= máx.</t>
  </si>
  <si>
    <t>Rango no negativo</t>
  </si>
  <si>
    <t>Revisar coberturas</t>
  </si>
  <si>
    <t>Gap mínimo positivo</t>
  </si>
  <si>
    <t>Déficit si es mayor que cero</t>
  </si>
  <si>
    <t>Planificar cobertura</t>
  </si>
  <si>
    <t>Relaciones, criterios y limitaciones</t>
  </si>
  <si>
    <t>Mapa funcional para actualizar el libro sin romper el modelo.</t>
  </si>
  <si>
    <t>Clave</t>
  </si>
  <si>
    <t>Detalle</t>
  </si>
  <si>
    <t>Relación 1</t>
  </si>
  <si>
    <t>Inventario / Máquina</t>
  </si>
  <si>
    <t>22_Montaje, 21_MEB_ECO_Detalle y 23_Paros pueden relacionarse cuando el identificador coincide. No se fuerza una unión si los textos difieren.</t>
  </si>
  <si>
    <t>Relación 2</t>
  </si>
  <si>
    <t>MEB ECO oficial, detalle MEB, montaje y maestro consolidado comparten producto como dimensión principal.</t>
  </si>
  <si>
    <t>Relación 3</t>
  </si>
  <si>
    <t>Proceso y ubicación permiten cruzar montaje, mecanizado, líneas y paros de forma analítica.</t>
  </si>
  <si>
    <t>Relación 4</t>
  </si>
  <si>
    <t>A/B/C/D gobierna el cálculo estructural de FTE. A1 se conserva como subnivel crítico en hojas operativas.</t>
  </si>
  <si>
    <t>Relación 5</t>
  </si>
  <si>
    <t>Fuentes y veracidad</t>
  </si>
  <si>
    <t>Fuente, comentario y veracidad preservan trazabilidad y evitan presentar datos agregados como inventarios individuales.</t>
  </si>
  <si>
    <t>Criterio validado</t>
  </si>
  <si>
    <t>Clasificación completa</t>
  </si>
  <si>
    <t>Los 2.043 activos se consideran clasificados. Se elimina cualquier tratamiento de activos no clasificados.</t>
  </si>
  <si>
    <t>Limitación</t>
  </si>
  <si>
    <t>Histórico temporal</t>
  </si>
  <si>
    <t>23_Paros contiene datos agregados por máquina y campo Años, no eventos fechados individualmente. Por ello no se inventa una serie mensual.</t>
  </si>
  <si>
    <t>Inventarios MEB</t>
  </si>
  <si>
    <t>La hoja oficial conserva identificados y pendientes exactamente como aparecen en el origen. Los pendientes no se rellenan artificialmente.</t>
  </si>
  <si>
    <t>Actualización</t>
  </si>
  <si>
    <t>Tablas limpias</t>
  </si>
  <si>
    <t>Añadir filas dentro de las tablas. Las fórmulas de análisis usan referencias estructuradas y absorberán la ampliación.</t>
  </si>
  <si>
    <t>Modelo FTE</t>
  </si>
  <si>
    <t>Modificar solo las celdas azules de 30_Dimensionamiento cuando cambien supuestos aprobados.</t>
  </si>
  <si>
    <t xml:space="preserve">Programa global de nuevos productos. </t>
  </si>
  <si>
    <t>15.000 operaciones FTE/año 2025</t>
  </si>
  <si>
    <t>Horas Preventivas</t>
  </si>
  <si>
    <t>Fines de Semana y 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</si>
</sst>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18"/>
      <color rgb="FFFFFFFF"/>
      <name val="Cambria"/>
      <family val="1"/>
    </font>
    <font>
      <i/>
      <sz val="10"/>
      <color rgb="FF666666"/>
      <name val="Cambria"/>
      <family val="1"/>
    </font>
    <font>
      <b/>
      <sz val="11"/>
      <color rgb="FFFFFFFF"/>
      <name val="Cambria"/>
      <family val="1"/>
    </font>
    <font>
      <b/>
      <sz val="11"/>
      <color rgb="FF17365D"/>
      <name val="Cambria"/>
      <family val="1"/>
    </font>
    <font>
      <b/>
      <sz val="11"/>
      <name val="Cambria"/>
      <family val="1"/>
    </font>
    <font>
      <b/>
      <sz val="20"/>
      <color rgb="FF17365D"/>
      <name val="Cambria"/>
      <family val="1"/>
    </font>
    <font>
      <sz val="12"/>
      <name val="Cambria"/>
      <family val="1"/>
    </font>
    <font>
      <b/>
      <sz val="22"/>
      <color rgb="FF17365D"/>
      <name val="Cambria"/>
      <family val="1"/>
    </font>
    <font>
      <b/>
      <sz val="16"/>
      <color rgb="FF17365D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Aptos Display"/>
      <family val="2"/>
    </font>
    <font>
      <i/>
      <sz val="10"/>
      <color rgb="FF6B7280"/>
      <name val="Calibri"/>
      <family val="2"/>
    </font>
    <font>
      <b/>
      <sz val="11"/>
      <color rgb="FF008000"/>
      <name val="Calibri"/>
      <family val="2"/>
    </font>
    <font>
      <b/>
      <sz val="11"/>
      <color rgb="FF000000"/>
      <name val="Calibri"/>
      <family val="2"/>
    </font>
    <font>
      <b/>
      <sz val="12"/>
      <color rgb="FF17202A"/>
      <name val="Calibri"/>
      <family val="2"/>
    </font>
    <font>
      <b/>
      <sz val="11"/>
      <color rgb="FF0067B8"/>
      <name val="Calibri"/>
      <family val="2"/>
    </font>
    <font>
      <sz val="12"/>
      <color theme="10"/>
      <name val="Calibri"/>
      <family val="2"/>
      <charset val="1"/>
    </font>
    <font>
      <b/>
      <sz val="11"/>
      <color rgb="FF003366"/>
      <name val="Calibri"/>
      <family val="2"/>
    </font>
    <font>
      <b/>
      <sz val="11"/>
      <color rgb="FF17202A"/>
      <name val="Calibri"/>
      <family val="2"/>
    </font>
    <font>
      <sz val="11"/>
      <color rgb="FF008000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</fonts>
  <fills count="17">
    <fill>
      <patternFill patternType="none"/>
    </fill>
    <fill>
      <patternFill patternType="gray125"/>
    </fill>
    <fill>
      <patternFill patternType="solid">
        <fgColor rgb="FF17365D"/>
        <bgColor rgb="FF003366"/>
      </patternFill>
    </fill>
    <fill>
      <patternFill patternType="solid">
        <fgColor rgb="FF0F6B78"/>
        <bgColor rgb="FF008080"/>
      </patternFill>
    </fill>
    <fill>
      <patternFill patternType="solid">
        <fgColor rgb="FFE4DFEC"/>
        <bgColor rgb="FFE7E6E6"/>
      </patternFill>
    </fill>
    <fill>
      <patternFill patternType="solid">
        <fgColor rgb="FFE2F0D9"/>
        <bgColor rgb="FFD9EAD3"/>
      </patternFill>
    </fill>
    <fill>
      <patternFill patternType="solid">
        <fgColor rgb="FFFFFFFF"/>
        <bgColor rgb="FFFFF7E6"/>
      </patternFill>
    </fill>
    <fill>
      <patternFill patternType="solid">
        <fgColor rgb="FFD9EA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EAD3"/>
        <bgColor rgb="FFE2F0D9"/>
      </patternFill>
    </fill>
    <fill>
      <patternFill patternType="solid">
        <fgColor rgb="FFFFF2CC"/>
        <bgColor rgb="FFFFF7E6"/>
      </patternFill>
    </fill>
    <fill>
      <patternFill patternType="solid">
        <fgColor rgb="FFE7E6E6"/>
        <bgColor rgb="FFE4DFEC"/>
      </patternFill>
    </fill>
    <fill>
      <patternFill patternType="solid">
        <fgColor rgb="FF003366"/>
        <bgColor rgb="FF17365D"/>
      </patternFill>
    </fill>
    <fill>
      <patternFill patternType="solid">
        <fgColor rgb="FFFFF7E6"/>
        <bgColor rgb="FFFFF2CC"/>
      </patternFill>
    </fill>
    <fill>
      <patternFill patternType="solid">
        <fgColor rgb="FF1CA7A8"/>
        <bgColor rgb="FF33CCCC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10" borderId="0" xfId="0" applyFont="1" applyFill="1"/>
    <xf numFmtId="0" fontId="3" fillId="10" borderId="0" xfId="0" applyFont="1" applyFill="1" applyAlignment="1">
      <alignment horizontal="center" vertical="center" wrapText="1"/>
    </xf>
    <xf numFmtId="2" fontId="0" fillId="0" borderId="0" xfId="0" applyNumberFormat="1"/>
    <xf numFmtId="0" fontId="3" fillId="2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3" fontId="0" fillId="0" borderId="1" xfId="0" applyNumberFormat="1" applyBorder="1" applyAlignment="1">
      <alignment horizontal="center" vertical="top" wrapText="1"/>
    </xf>
    <xf numFmtId="3" fontId="0" fillId="0" borderId="1" xfId="0" applyNumberFormat="1" applyBorder="1" applyAlignment="1">
      <alignment vertical="top" wrapText="1"/>
    </xf>
    <xf numFmtId="0" fontId="10" fillId="0" borderId="0" xfId="0" applyFont="1" applyAlignment="1">
      <alignment vertical="top"/>
    </xf>
    <xf numFmtId="0" fontId="0" fillId="9" borderId="1" xfId="0" applyFill="1" applyBorder="1" applyAlignment="1">
      <alignment vertical="top" wrapText="1"/>
    </xf>
    <xf numFmtId="3" fontId="0" fillId="9" borderId="1" xfId="0" applyNumberForma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3" fontId="0" fillId="11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3" fontId="0" fillId="8" borderId="1" xfId="0" applyNumberFormat="1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3" fontId="0" fillId="12" borderId="1" xfId="0" applyNumberForma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3" fontId="0" fillId="13" borderId="1" xfId="0" applyNumberFormat="1" applyFill="1" applyBorder="1" applyAlignment="1">
      <alignment vertical="top" wrapText="1"/>
    </xf>
    <xf numFmtId="0" fontId="9" fillId="0" borderId="0" xfId="0" applyFont="1" applyAlignment="1">
      <alignment vertical="top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5" fontId="0" fillId="9" borderId="1" xfId="0" applyNumberFormat="1" applyFill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1" fillId="14" borderId="0" xfId="0" applyFont="1" applyFill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3" fontId="14" fillId="0" borderId="2" xfId="0" applyNumberFormat="1" applyFont="1" applyBorder="1" applyAlignment="1">
      <alignment vertical="top" wrapText="1"/>
    </xf>
    <xf numFmtId="3" fontId="15" fillId="0" borderId="2" xfId="0" applyNumberFormat="1" applyFont="1" applyBorder="1" applyAlignment="1">
      <alignment vertical="top" wrapText="1"/>
    </xf>
    <xf numFmtId="164" fontId="14" fillId="0" borderId="2" xfId="0" applyNumberFormat="1" applyFont="1" applyBorder="1" applyAlignment="1">
      <alignment vertical="top" wrapText="1"/>
    </xf>
    <xf numFmtId="164" fontId="15" fillId="0" borderId="2" xfId="0" applyNumberFormat="1" applyFont="1" applyBorder="1" applyAlignment="1">
      <alignment vertical="top" wrapText="1"/>
    </xf>
    <xf numFmtId="3" fontId="17" fillId="0" borderId="2" xfId="0" applyNumberFormat="1" applyFont="1" applyBorder="1" applyAlignment="1">
      <alignment vertical="top" wrapText="1"/>
    </xf>
    <xf numFmtId="164" fontId="17" fillId="0" borderId="2" xfId="0" applyNumberFormat="1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20" fillId="15" borderId="2" xfId="0" applyFont="1" applyFill="1" applyBorder="1" applyAlignment="1">
      <alignment vertical="top" wrapText="1"/>
    </xf>
    <xf numFmtId="164" fontId="20" fillId="15" borderId="2" xfId="0" applyNumberFormat="1" applyFont="1" applyFill="1" applyBorder="1" applyAlignment="1">
      <alignment vertical="top" wrapText="1"/>
    </xf>
    <xf numFmtId="0" fontId="21" fillId="0" borderId="0" xfId="0" applyFont="1"/>
    <xf numFmtId="1" fontId="21" fillId="0" borderId="0" xfId="0" applyNumberFormat="1" applyFont="1"/>
    <xf numFmtId="4" fontId="21" fillId="0" borderId="0" xfId="0" applyNumberFormat="1" applyFont="1"/>
    <xf numFmtId="165" fontId="21" fillId="0" borderId="0" xfId="0" applyNumberFormat="1" applyFont="1"/>
    <xf numFmtId="0" fontId="22" fillId="7" borderId="0" xfId="0" applyFont="1" applyFill="1"/>
    <xf numFmtId="0" fontId="23" fillId="6" borderId="0" xfId="0" applyFont="1" applyFill="1"/>
    <xf numFmtId="2" fontId="23" fillId="6" borderId="0" xfId="0" applyNumberFormat="1" applyFont="1" applyFill="1"/>
    <xf numFmtId="165" fontId="22" fillId="7" borderId="0" xfId="0" applyNumberFormat="1" applyFont="1" applyFill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0" xfId="0"/>
    <xf numFmtId="0" fontId="7" fillId="0" borderId="0" xfId="0" applyFont="1" applyAlignment="1">
      <alignment vertical="top" wrapText="1"/>
    </xf>
    <xf numFmtId="0" fontId="3" fillId="3" borderId="0" xfId="0" applyFont="1" applyFill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3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top" wrapText="1"/>
    </xf>
    <xf numFmtId="3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2" fillId="14" borderId="0" xfId="0" applyFont="1" applyFill="1" applyAlignment="1">
      <alignment vertical="top" wrapText="1"/>
    </xf>
    <xf numFmtId="0" fontId="11" fillId="14" borderId="0" xfId="0" applyFont="1" applyFill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0" fillId="0" borderId="2" xfId="0" applyBorder="1"/>
    <xf numFmtId="0" fontId="16" fillId="15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D9E2F3"/>
      <rgbColor rgb="FF666666"/>
      <rgbColor rgb="FF9999FF"/>
      <rgbColor rgb="FF993366"/>
      <rgbColor rgb="FFFFF2CC"/>
      <rgbColor rgb="FFD9EAF7"/>
      <rgbColor rgb="FF660066"/>
      <rgbColor rgb="FFFF8080"/>
      <rgbColor rgb="FF0067B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E2F0D9"/>
      <rgbColor rgb="FFFFF7E6"/>
      <rgbColor rgb="FFE4DFEC"/>
      <rgbColor rgb="FFFCE4D6"/>
      <rgbColor rgb="FFE7E6E6"/>
      <rgbColor rgb="FFF4CCCC"/>
      <rgbColor rgb="FF3366FF"/>
      <rgbColor rgb="FF33CCCC"/>
      <rgbColor rgb="FF99CC00"/>
      <rgbColor rgb="FFFFCC00"/>
      <rgbColor rgb="FFFF9900"/>
      <rgbColor rgb="FFFF6600"/>
      <rgbColor rgb="FF6B7280"/>
      <rgbColor rgb="FFA5A5A5"/>
      <rgbColor rgb="FF003366"/>
      <rgbColor rgb="FF1CA7A8"/>
      <rgbColor rgb="FF17202A"/>
      <rgbColor rgb="FF333300"/>
      <rgbColor rgb="FF993300"/>
      <rgbColor rgb="FF993366"/>
      <rgbColor rgb="FF1F4E78"/>
      <rgbColor rgb="FF17365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Distribución de activos por criticidad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  <a:prstDash val="solid"/>
            </a:ln>
          </c:spPr>
          <c:extLst>
            <c:ext xmlns:c16="http://schemas.microsoft.com/office/drawing/2014/chart" uri="{C3380CC4-5D6E-409C-BE32-E72D297353CC}">
              <c16:uniqueId val="{00000000-49E1-4DA3-9675-0862EC5A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Plantilla frente a necesidad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53A2-4E5C-BF7A-E48C0123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88184"/>
        <c:axId val="27688266"/>
      </c:barChart>
      <c:catAx>
        <c:axId val="89488184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688266"/>
        <c:crosses val="autoZero"/>
        <c:auto val="1"/>
        <c:lblAlgn val="ctr"/>
        <c:lblOffset val="100"/>
        <c:noMultiLvlLbl val="0"/>
      </c:catAx>
      <c:valAx>
        <c:axId val="27688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FTE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48818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MEB ECO: activos críticos por producto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prstDash val="solid"/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72D7-4192-B682-7B6A0266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388634"/>
        <c:axId val="82976477"/>
      </c:barChart>
      <c:catAx>
        <c:axId val="613886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Activos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[$-409]mm/dd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976477"/>
        <c:crosses val="autoZero"/>
        <c:auto val="1"/>
        <c:lblAlgn val="ctr"/>
        <c:lblOffset val="100"/>
        <c:noMultiLvlLbl val="0"/>
      </c:catAx>
      <c:valAx>
        <c:axId val="829764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138863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490680</xdr:colOff>
      <xdr:row>22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9</xdr:row>
      <xdr:rowOff>0</xdr:rowOff>
    </xdr:from>
    <xdr:to>
      <xdr:col>9</xdr:col>
      <xdr:colOff>490680</xdr:colOff>
      <xdr:row>22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294480</xdr:colOff>
      <xdr:row>38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estro" displayName="tblMaestro" ref="A1:J1661" totalsRowShown="0">
  <autoFilter ref="A1:J1661" xr:uid="{00000000-0009-0000-0100-000001000000}"/>
  <tableColumns count="10">
    <tableColumn id="1" xr3:uid="{00000000-0010-0000-0000-000001000000}" name="Bloque"/>
    <tableColumn id="2" xr3:uid="{00000000-0010-0000-0000-000002000000}" name="Producto / Familia / Activo"/>
    <tableColumn id="3" xr3:uid="{00000000-0010-0000-0000-000003000000}" name="Proceso / Ubicación"/>
    <tableColumn id="4" xr3:uid="{00000000-0010-0000-0000-000004000000}" name="Cantidad"/>
    <tableColumn id="5" xr3:uid="{00000000-0010-0000-0000-000005000000}" name="Descripción / Inventario"/>
    <tableColumn id="6" xr3:uid="{00000000-0010-0000-0000-000006000000}" name="Criticidad"/>
    <tableColumn id="7" xr3:uid="{00000000-0010-0000-0000-000007000000}" name="Estado"/>
    <tableColumn id="8" xr3:uid="{00000000-0010-0000-0000-000008000000}" name="Fuente"/>
    <tableColumn id="9" xr3:uid="{00000000-0010-0000-0000-000009000000}" name="Veracidad"/>
    <tableColumn id="10" xr3:uid="{00000000-0010-0000-0000-00000A000000}" name="Comentari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EBDetalle" displayName="tblMEBDetalle" ref="A1:K55" totalsRowShown="0">
  <autoFilter ref="A1:K55" xr:uid="{00000000-0009-0000-0100-000002000000}"/>
  <tableColumns count="11">
    <tableColumn id="1" xr3:uid="{00000000-0010-0000-0100-000001000000}" name="Inventario / Activo"/>
    <tableColumn id="2" xr3:uid="{00000000-0010-0000-0100-000002000000}" name="Producto"/>
    <tableColumn id="3" xr3:uid="{00000000-0010-0000-0100-000003000000}" name="Proceso"/>
    <tableColumn id="4" xr3:uid="{00000000-0010-0000-0100-000004000000}" name="Fabricante"/>
    <tableColumn id="5" xr3:uid="{00000000-0010-0000-0100-000005000000}" name="Modelo"/>
    <tableColumn id="6" xr3:uid="{00000000-0010-0000-0100-000006000000}" name="Grupo / Ubicación"/>
    <tableColumn id="7" xr3:uid="{00000000-0010-0000-0100-000007000000}" name="Año"/>
    <tableColumn id="8" xr3:uid="{00000000-0010-0000-0100-000008000000}" name="Tecnología"/>
    <tableColumn id="9" xr3:uid="{00000000-0010-0000-0100-000009000000}" name="Estado"/>
    <tableColumn id="10" xr3:uid="{00000000-0010-0000-0100-00000A000000}" name="Comentario / carga"/>
    <tableColumn id="11" xr3:uid="{00000000-0010-0000-0100-00000B000000}" name="Fuente product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ontaje" displayName="tblMontaje" ref="A1:M265" totalsRowShown="0">
  <autoFilter ref="A1:M265" xr:uid="{00000000-0009-0000-0100-000003000000}"/>
  <tableColumns count="13">
    <tableColumn id="1" xr3:uid="{00000000-0010-0000-0200-000001000000}" name="Inventario"/>
    <tableColumn id="2" xr3:uid="{00000000-0010-0000-0200-000002000000}" name="Inventario antiguo"/>
    <tableColumn id="3" xr3:uid="{00000000-0010-0000-0200-000003000000}" name="Programa"/>
    <tableColumn id="4" xr3:uid="{00000000-0010-0000-0200-000004000000}" name="Producto"/>
    <tableColumn id="5" xr3:uid="{00000000-0010-0000-0200-000005000000}" name="Proceso"/>
    <tableColumn id="6" xr3:uid="{00000000-0010-0000-0200-000006000000}" name="Fabricante"/>
    <tableColumn id="7" xr3:uid="{00000000-0010-0000-0200-000007000000}" name="Modelo"/>
    <tableColumn id="8" xr3:uid="{00000000-0010-0000-0200-000008000000}" name="Grupo"/>
    <tableColumn id="9" xr3:uid="{00000000-0010-0000-0200-000009000000}" name="Año"/>
    <tableColumn id="10" xr3:uid="{00000000-0010-0000-0200-00000A000000}" name="Tecnología"/>
    <tableColumn id="11" xr3:uid="{00000000-0010-0000-0200-00000B000000}" name="Estado"/>
    <tableColumn id="12" xr3:uid="{00000000-0010-0000-0200-00000C000000}" name="Comentario"/>
    <tableColumn id="13" xr3:uid="{00000000-0010-0000-0200-00000D000000}" name="Regla product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ros" displayName="tblParos" ref="A1:L1248" totalsRowShown="0">
  <autoFilter ref="A1:L1248" xr:uid="{00000000-0009-0000-0100-000004000000}"/>
  <tableColumns count="12">
    <tableColumn id="1" xr3:uid="{00000000-0010-0000-0300-000001000000}" name="Máquina"/>
    <tableColumn id="2" xr3:uid="{00000000-0010-0000-0300-000002000000}" name="Ubicación principal"/>
    <tableColumn id="3" xr3:uid="{00000000-0010-0000-0300-000003000000}" name="Horas paro"/>
    <tableColumn id="4" xr3:uid="{00000000-0010-0000-0300-000004000000}" name="Minutos paro"/>
    <tableColumn id="5" xr3:uid="{00000000-0010-0000-0300-000005000000}" name="Registros"/>
    <tableColumn id="6" xr3:uid="{00000000-0010-0000-0300-000006000000}" name="Registros P=X"/>
    <tableColumn id="7" xr3:uid="{00000000-0010-0000-0300-000007000000}" name="% P=X"/>
    <tableColumn id="8" xr3:uid="{00000000-0010-0000-0300-000008000000}" name="Media min/reg"/>
    <tableColumn id="9" xr3:uid="{00000000-0010-0000-0300-000009000000}" name="Máx min paro"/>
    <tableColumn id="10" xr3:uid="{00000000-0010-0000-0300-00000A000000}" name="Categorías principales"/>
    <tableColumn id="11" xr3:uid="{00000000-0010-0000-0300-00000B000000}" name="Comentarios frecuentes"/>
    <tableColumn id="12" xr3:uid="{00000000-0010-0000-0300-00000C000000}" name="Año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uellos" displayName="tblCuellos" ref="A1:E130" totalsRowShown="0">
  <autoFilter ref="A1:E130" xr:uid="{00000000-0009-0000-0100-000005000000}"/>
  <tableColumns count="5">
    <tableColumn id="1" xr3:uid="{00000000-0010-0000-0400-000001000000}" name="Modelo"/>
    <tableColumn id="2" xr3:uid="{00000000-0010-0000-0400-000002000000}" name="Línea"/>
    <tableColumn id="3" xr3:uid="{00000000-0010-0000-0400-000003000000}" name="Nombre CB"/>
    <tableColumn id="4" xr3:uid="{00000000-0010-0000-0400-000004000000}" name="OEE"/>
    <tableColumn id="5" xr3:uid="{00000000-0010-0000-0400-000005000000}" name="Criticida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BOficial" displayName="tblMEBOficial" ref="A1:J7" totalsRowShown="0">
  <autoFilter ref="A1:J7" xr:uid="{00000000-0009-0000-0100-000006000000}"/>
  <tableColumns count="10">
    <tableColumn id="1" xr3:uid="{00000000-0010-0000-0500-000001000000}" name="Programa"/>
    <tableColumn id="2" xr3:uid="{00000000-0010-0000-0500-000002000000}" name="Producto"/>
    <tableColumn id="3" xr3:uid="{00000000-0010-0000-0500-000003000000}" name="Proceso"/>
    <tableColumn id="4" xr3:uid="{00000000-0010-0000-0500-000004000000}" name="Tipo activo crítico"/>
    <tableColumn id="5" xr3:uid="{00000000-0010-0000-0500-000005000000}" name="Total crítico confirmado"/>
    <tableColumn id="6" xr3:uid="{00000000-0010-0000-0500-000006000000}" name="Identificados en ficheros"/>
    <tableColumn id="7" xr3:uid="{00000000-0010-0000-0500-000007000000}" name="Pendientes inventario exacto"/>
    <tableColumn id="8" xr3:uid="{00000000-0010-0000-0500-000008000000}" name="Criticidad"/>
    <tableColumn id="9" xr3:uid="{00000000-0010-0000-0500-000009000000}" name="Estado trazabilidad"/>
    <tableColumn id="10" xr3:uid="{00000000-0010-0000-0500-00000A000000}" name="Fuente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imensionamiento" displayName="tblDimensionamiento" ref="A4:G37" totalsRowShown="0">
  <autoFilter ref="A4:G37" xr:uid="{00000000-0009-0000-0100-000007000000}"/>
  <tableColumns count="7">
    <tableColumn id="1" xr3:uid="{00000000-0010-0000-0600-000001000000}" name="Concepto"/>
    <tableColumn id="2" xr3:uid="{00000000-0010-0000-0600-000002000000}" name="Valor"/>
    <tableColumn id="3" xr3:uid="{00000000-0010-0000-0600-000003000000}" name="Unidad"/>
    <tableColumn id="4" xr3:uid="{00000000-0010-0000-0600-000004000000}" name="Tipo"/>
    <tableColumn id="5" xr3:uid="{00000000-0010-0000-0600-000005000000}" name="Fuente / lógica"/>
    <tableColumn id="6" xr3:uid="{00000000-0010-0000-0600-000006000000}" name="Validación"/>
    <tableColumn id="7" xr3:uid="{00000000-0010-0000-0600-000007000000}" name="Observació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iccionario" displayName="tblDiccionario" ref="A4:G36" totalsRowShown="0">
  <autoFilter ref="A4:G36" xr:uid="{00000000-0009-0000-0100-000008000000}"/>
  <tableColumns count="7">
    <tableColumn id="1" xr3:uid="{00000000-0010-0000-0700-000001000000}" name="Hoja"/>
    <tableColumn id="2" xr3:uid="{00000000-0010-0000-0700-000002000000}" name="Columna"/>
    <tableColumn id="3" xr3:uid="{00000000-0010-0000-0700-000003000000}" name="Representa"/>
    <tableColumn id="4" xr3:uid="{00000000-0010-0000-0700-000004000000}" name="Unidad / formato"/>
    <tableColumn id="5" xr3:uid="{00000000-0010-0000-0700-000005000000}" name="Tipo de dato"/>
    <tableColumn id="6" xr3:uid="{00000000-0010-0000-0700-000006000000}" name="Relación principal"/>
    <tableColumn id="7" xr3:uid="{00000000-0010-0000-0700-000007000000}" name="Nota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mprobaciones" displayName="tblComprobaciones" ref="A4:E13" totalsRowShown="0">
  <autoFilter ref="A4:E13" xr:uid="{00000000-0009-0000-0100-000009000000}"/>
  <tableColumns count="5">
    <tableColumn id="1" xr3:uid="{00000000-0010-0000-0800-000001000000}" name="Control"/>
    <tableColumn id="2" xr3:uid="{00000000-0010-0000-0800-000002000000}" name="Resultado"/>
    <tableColumn id="3" xr3:uid="{00000000-0010-0000-0800-000003000000}" name="Estado"/>
    <tableColumn id="4" xr3:uid="{00000000-0010-0000-0800-000004000000}" name="Criterio"/>
    <tableColumn id="5" xr3:uid="{00000000-0010-0000-0800-000005000000}" name="Acción recomendad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Notas" displayName="tblNotas" ref="A4:C14" totalsRowShown="0">
  <autoFilter ref="A4:C14" xr:uid="{00000000-0009-0000-0100-00000A000000}"/>
  <tableColumns count="3">
    <tableColumn id="1" xr3:uid="{00000000-0010-0000-0900-000001000000}" name="Tipo"/>
    <tableColumn id="2" xr3:uid="{00000000-0010-0000-0900-000002000000}" name="Clave"/>
    <tableColumn id="3" xr3:uid="{00000000-0010-0000-0900-000003000000}" name="Deta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H21"/>
  <sheetViews>
    <sheetView showGridLines="0" zoomScale="90" zoomScaleNormal="90" workbookViewId="0">
      <pane ySplit="3" topLeftCell="A4" activePane="bottomLeft" state="frozen"/>
      <selection pane="bottomLeft" activeCell="J40" sqref="J40"/>
    </sheetView>
  </sheetViews>
  <sheetFormatPr baseColWidth="10" defaultColWidth="8.7265625" defaultRowHeight="14.5" x14ac:dyDescent="0.35"/>
  <cols>
    <col min="1" max="1" width="28" customWidth="1"/>
    <col min="2" max="8" width="16" customWidth="1"/>
  </cols>
  <sheetData>
    <row r="1" spans="1:8" ht="30" customHeight="1" x14ac:dyDescent="0.35">
      <c r="A1" s="64" t="s">
        <v>0</v>
      </c>
      <c r="B1" s="65"/>
      <c r="C1" s="65"/>
      <c r="D1" s="65"/>
      <c r="E1" s="65"/>
      <c r="F1" s="65"/>
      <c r="G1" s="65"/>
      <c r="H1" s="65"/>
    </row>
    <row r="2" spans="1:8" ht="30" customHeight="1" x14ac:dyDescent="0.35">
      <c r="A2" s="69" t="s">
        <v>1</v>
      </c>
      <c r="B2" s="65"/>
      <c r="C2" s="65"/>
      <c r="D2" s="65"/>
      <c r="E2" s="65"/>
      <c r="F2" s="65"/>
      <c r="G2" s="65"/>
      <c r="H2" s="65"/>
    </row>
    <row r="4" spans="1:8" ht="15" customHeight="1" x14ac:dyDescent="0.35">
      <c r="A4" s="1" t="s">
        <v>2</v>
      </c>
    </row>
    <row r="5" spans="1:8" ht="15" customHeight="1" x14ac:dyDescent="0.35">
      <c r="A5" s="71" t="s">
        <v>3</v>
      </c>
      <c r="B5" s="65"/>
      <c r="C5" s="65"/>
      <c r="D5" s="65"/>
      <c r="E5" s="65"/>
      <c r="F5" s="65"/>
      <c r="G5" s="65"/>
      <c r="H5" s="65"/>
    </row>
    <row r="6" spans="1:8" ht="15" customHeight="1" x14ac:dyDescent="0.35">
      <c r="A6" s="65"/>
      <c r="B6" s="65"/>
      <c r="C6" s="65"/>
      <c r="D6" s="65"/>
      <c r="E6" s="65"/>
      <c r="F6" s="65"/>
      <c r="G6" s="65"/>
      <c r="H6" s="65"/>
    </row>
    <row r="8" spans="1:8" ht="15" customHeight="1" x14ac:dyDescent="0.35">
      <c r="A8" s="3" t="s">
        <v>4</v>
      </c>
      <c r="B8" s="65" t="s">
        <v>5</v>
      </c>
      <c r="C8" s="65"/>
      <c r="D8" s="65"/>
      <c r="E8" s="65"/>
      <c r="F8" s="65"/>
      <c r="G8" s="65"/>
      <c r="H8" s="65"/>
    </row>
    <row r="9" spans="1:8" ht="15" customHeight="1" x14ac:dyDescent="0.35">
      <c r="A9" s="3" t="s">
        <v>6</v>
      </c>
      <c r="B9" s="65" t="s">
        <v>7</v>
      </c>
      <c r="C9" s="65"/>
      <c r="D9" s="65"/>
      <c r="E9" s="65"/>
      <c r="F9" s="65"/>
      <c r="G9" s="65"/>
      <c r="H9" s="65"/>
    </row>
    <row r="10" spans="1:8" ht="15" customHeight="1" x14ac:dyDescent="0.35">
      <c r="A10" s="3" t="s">
        <v>8</v>
      </c>
      <c r="B10" s="65" t="s">
        <v>9</v>
      </c>
      <c r="C10" s="65"/>
      <c r="D10" s="65"/>
      <c r="E10" s="65"/>
      <c r="F10" s="65"/>
      <c r="G10" s="65"/>
      <c r="H10" s="65"/>
    </row>
    <row r="11" spans="1:8" ht="15" customHeight="1" x14ac:dyDescent="0.35">
      <c r="A11" s="3" t="s">
        <v>10</v>
      </c>
      <c r="B11" s="65" t="s">
        <v>11</v>
      </c>
      <c r="C11" s="65"/>
      <c r="D11" s="65"/>
      <c r="E11" s="65"/>
      <c r="F11" s="65"/>
      <c r="G11" s="65"/>
      <c r="H11" s="65"/>
    </row>
    <row r="12" spans="1:8" ht="15" customHeight="1" x14ac:dyDescent="0.35">
      <c r="A12" s="3" t="s">
        <v>12</v>
      </c>
      <c r="B12" s="65" t="s">
        <v>13</v>
      </c>
      <c r="C12" s="65"/>
      <c r="D12" s="65"/>
      <c r="E12" s="65"/>
      <c r="F12" s="65"/>
      <c r="G12" s="65"/>
      <c r="H12" s="65"/>
    </row>
    <row r="13" spans="1:8" ht="15" customHeight="1" x14ac:dyDescent="0.35">
      <c r="A13" s="3" t="s">
        <v>14</v>
      </c>
      <c r="B13" s="65" t="s">
        <v>15</v>
      </c>
      <c r="C13" s="65"/>
      <c r="D13" s="65"/>
      <c r="E13" s="65"/>
      <c r="F13" s="65"/>
      <c r="G13" s="65"/>
      <c r="H13" s="65"/>
    </row>
    <row r="16" spans="1:8" ht="15" customHeight="1" x14ac:dyDescent="0.35">
      <c r="A16" s="4" t="s">
        <v>16</v>
      </c>
    </row>
    <row r="17" spans="1:2" ht="15" customHeight="1" x14ac:dyDescent="0.35">
      <c r="A17" t="s">
        <v>17</v>
      </c>
      <c r="B17" s="5"/>
    </row>
    <row r="18" spans="1:2" ht="15" customHeight="1" x14ac:dyDescent="0.35">
      <c r="A18" t="s">
        <v>18</v>
      </c>
      <c r="B18" s="6"/>
    </row>
    <row r="19" spans="1:2" ht="15" customHeight="1" x14ac:dyDescent="0.35">
      <c r="A19" t="s">
        <v>19</v>
      </c>
      <c r="B19" s="7"/>
    </row>
    <row r="20" spans="1:2" ht="15" customHeight="1" x14ac:dyDescent="0.35">
      <c r="A20" t="s">
        <v>20</v>
      </c>
      <c r="B20" s="8"/>
    </row>
    <row r="21" spans="1:2" ht="15" customHeight="1" x14ac:dyDescent="0.35">
      <c r="A21" t="s">
        <v>21</v>
      </c>
      <c r="B21" s="9"/>
    </row>
  </sheetData>
  <mergeCells count="9">
    <mergeCell ref="B13:H13"/>
    <mergeCell ref="A2:H2"/>
    <mergeCell ref="B12:H12"/>
    <mergeCell ref="B10:H10"/>
    <mergeCell ref="A1:H1"/>
    <mergeCell ref="B11:H11"/>
    <mergeCell ref="A5:H6"/>
    <mergeCell ref="B8:H8"/>
    <mergeCell ref="B9:H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H25"/>
  <sheetViews>
    <sheetView showGridLines="0" zoomScale="90" zoomScaleNormal="90" workbookViewId="0">
      <pane ySplit="3" topLeftCell="A4" activePane="bottomLeft" state="frozen"/>
      <selection pane="bottomLeft" activeCell="K17" sqref="K17"/>
    </sheetView>
  </sheetViews>
  <sheetFormatPr baseColWidth="10" defaultColWidth="8.7265625" defaultRowHeight="14.5" x14ac:dyDescent="0.35"/>
  <cols>
    <col min="1" max="8" width="16" customWidth="1"/>
  </cols>
  <sheetData>
    <row r="1" spans="1:8" ht="30" customHeight="1" x14ac:dyDescent="0.35">
      <c r="A1" s="64" t="s">
        <v>22</v>
      </c>
      <c r="B1" s="65"/>
      <c r="C1" s="65"/>
      <c r="D1" s="65"/>
      <c r="E1" s="65"/>
      <c r="F1" s="65"/>
      <c r="G1" s="65"/>
      <c r="H1" s="65"/>
    </row>
    <row r="2" spans="1:8" ht="30" customHeight="1" x14ac:dyDescent="0.35">
      <c r="A2" s="69" t="s">
        <v>23</v>
      </c>
      <c r="B2" s="65"/>
      <c r="C2" s="65"/>
      <c r="D2" s="65"/>
      <c r="E2" s="65"/>
      <c r="F2" s="65"/>
      <c r="G2" s="65"/>
      <c r="H2" s="65"/>
    </row>
    <row r="4" spans="1:8" ht="15" customHeight="1" x14ac:dyDescent="0.35">
      <c r="A4" s="67" t="s">
        <v>24</v>
      </c>
      <c r="B4" s="65"/>
      <c r="D4" s="67" t="s">
        <v>25</v>
      </c>
      <c r="E4" s="65"/>
      <c r="G4" s="67" t="s">
        <v>26</v>
      </c>
      <c r="H4" s="65"/>
    </row>
    <row r="5" spans="1:8" ht="15" customHeight="1" x14ac:dyDescent="0.35">
      <c r="A5" s="70">
        <f>'30_Dimensionamiento'!B9</f>
        <v>2043</v>
      </c>
      <c r="B5" s="65"/>
      <c r="D5" s="70">
        <f>'30_Dimensionamiento'!B22</f>
        <v>80</v>
      </c>
      <c r="E5" s="65"/>
      <c r="G5" s="68">
        <f>'30_Dimensionamiento'!B34</f>
        <v>114.20672301836095</v>
      </c>
      <c r="H5" s="65"/>
    </row>
    <row r="6" spans="1:8" ht="15" customHeight="1" x14ac:dyDescent="0.35">
      <c r="A6" s="65"/>
      <c r="B6" s="65"/>
      <c r="D6" s="65"/>
      <c r="E6" s="65"/>
      <c r="G6" s="65"/>
      <c r="H6" s="65"/>
    </row>
    <row r="8" spans="1:8" ht="15" customHeight="1" x14ac:dyDescent="0.35">
      <c r="A8" s="67" t="s">
        <v>27</v>
      </c>
      <c r="B8" s="65"/>
      <c r="D8" s="67" t="s">
        <v>28</v>
      </c>
      <c r="E8" s="65"/>
      <c r="G8" s="67" t="s">
        <v>29</v>
      </c>
      <c r="H8" s="65"/>
    </row>
    <row r="9" spans="1:8" ht="15" customHeight="1" x14ac:dyDescent="0.35">
      <c r="A9" s="68">
        <f>'30_Dimensionamiento'!B35</f>
        <v>123.69600873264665</v>
      </c>
      <c r="B9" s="65"/>
      <c r="D9" s="68">
        <f>'30_Dimensionamiento'!B36</f>
        <v>34.206723018360947</v>
      </c>
      <c r="E9" s="65"/>
      <c r="G9" s="68">
        <f>'30_Dimensionamiento'!B37</f>
        <v>43.696008732646646</v>
      </c>
      <c r="H9" s="65"/>
    </row>
    <row r="10" spans="1:8" ht="15" customHeight="1" x14ac:dyDescent="0.35">
      <c r="A10" s="65"/>
      <c r="B10" s="65"/>
      <c r="D10" s="65"/>
      <c r="E10" s="65"/>
      <c r="G10" s="65"/>
      <c r="H10" s="65"/>
    </row>
    <row r="13" spans="1:8" ht="15" customHeight="1" x14ac:dyDescent="0.35">
      <c r="A13" s="10" t="s">
        <v>30</v>
      </c>
      <c r="E13" s="10" t="s">
        <v>31</v>
      </c>
    </row>
    <row r="14" spans="1:8" ht="15" customHeight="1" x14ac:dyDescent="0.35">
      <c r="A14" s="11" t="s">
        <v>32</v>
      </c>
      <c r="B14" s="11" t="s">
        <v>33</v>
      </c>
      <c r="C14" s="11" t="s">
        <v>34</v>
      </c>
      <c r="E14" s="11" t="s">
        <v>35</v>
      </c>
      <c r="F14" s="11" t="s">
        <v>36</v>
      </c>
    </row>
    <row r="15" spans="1:8" ht="15" customHeight="1" x14ac:dyDescent="0.35">
      <c r="A15" t="s">
        <v>37</v>
      </c>
      <c r="B15">
        <f>'30_Dimensionamiento'!B5</f>
        <v>418</v>
      </c>
      <c r="C15" s="12">
        <f>'30_Dimensionamiento'!B14</f>
        <v>34.833333333333336</v>
      </c>
      <c r="E15" t="s">
        <v>38</v>
      </c>
      <c r="F15">
        <v>15</v>
      </c>
    </row>
    <row r="16" spans="1:8" ht="15" customHeight="1" x14ac:dyDescent="0.35">
      <c r="A16" t="s">
        <v>39</v>
      </c>
      <c r="B16">
        <f>'30_Dimensionamiento'!B6</f>
        <v>275</v>
      </c>
      <c r="C16" s="12">
        <f>'30_Dimensionamiento'!B15</f>
        <v>13.75</v>
      </c>
      <c r="E16" t="s">
        <v>40</v>
      </c>
      <c r="F16">
        <v>14</v>
      </c>
    </row>
    <row r="17" spans="1:8" ht="15" customHeight="1" x14ac:dyDescent="0.35">
      <c r="A17" t="s">
        <v>41</v>
      </c>
      <c r="B17">
        <f>'30_Dimensionamiento'!B7</f>
        <v>1200</v>
      </c>
      <c r="C17" s="12">
        <f>'30_Dimensionamiento'!B16</f>
        <v>34.285714285714285</v>
      </c>
      <c r="E17" t="s">
        <v>42</v>
      </c>
      <c r="F17">
        <v>14</v>
      </c>
    </row>
    <row r="18" spans="1:8" ht="15" customHeight="1" x14ac:dyDescent="0.35">
      <c r="A18" t="s">
        <v>43</v>
      </c>
      <c r="B18">
        <f>'30_Dimensionamiento'!B8</f>
        <v>150</v>
      </c>
      <c r="C18" s="12">
        <f>'30_Dimensionamiento'!B17</f>
        <v>2.5</v>
      </c>
      <c r="E18" t="s">
        <v>44</v>
      </c>
      <c r="F18">
        <v>17</v>
      </c>
    </row>
    <row r="19" spans="1:8" ht="15" customHeight="1" x14ac:dyDescent="0.35">
      <c r="E19" t="s">
        <v>45</v>
      </c>
      <c r="F19">
        <v>15</v>
      </c>
    </row>
    <row r="21" spans="1:8" ht="15" customHeight="1" x14ac:dyDescent="0.35">
      <c r="A21" s="13" t="s">
        <v>46</v>
      </c>
    </row>
    <row r="22" spans="1:8" ht="15" customHeight="1" x14ac:dyDescent="0.35">
      <c r="A22" s="66" t="s">
        <v>47</v>
      </c>
      <c r="B22" s="65"/>
      <c r="C22" s="65"/>
      <c r="D22" s="65"/>
      <c r="E22" s="65"/>
      <c r="F22" s="65"/>
      <c r="G22" s="65"/>
      <c r="H22" s="65"/>
    </row>
    <row r="23" spans="1:8" ht="15" customHeight="1" x14ac:dyDescent="0.35">
      <c r="A23" s="65"/>
      <c r="B23" s="65"/>
      <c r="C23" s="65"/>
      <c r="D23" s="65"/>
      <c r="E23" s="65"/>
      <c r="F23" s="65"/>
      <c r="G23" s="65"/>
      <c r="H23" s="65"/>
    </row>
    <row r="24" spans="1:8" ht="15" customHeight="1" x14ac:dyDescent="0.35">
      <c r="A24" s="65"/>
      <c r="B24" s="65"/>
      <c r="C24" s="65"/>
      <c r="D24" s="65"/>
      <c r="E24" s="65"/>
      <c r="F24" s="65"/>
      <c r="G24" s="65"/>
      <c r="H24" s="65"/>
    </row>
    <row r="25" spans="1:8" ht="15" customHeight="1" x14ac:dyDescent="0.35">
      <c r="A25" s="65"/>
      <c r="B25" s="65"/>
      <c r="C25" s="65"/>
      <c r="D25" s="65"/>
      <c r="E25" s="65"/>
      <c r="F25" s="65"/>
      <c r="G25" s="65"/>
      <c r="H25" s="65"/>
    </row>
  </sheetData>
  <mergeCells count="15">
    <mergeCell ref="A1:H1"/>
    <mergeCell ref="A22:H25"/>
    <mergeCell ref="A8:B8"/>
    <mergeCell ref="A9:B10"/>
    <mergeCell ref="G9:H10"/>
    <mergeCell ref="D9:E10"/>
    <mergeCell ref="A4:B4"/>
    <mergeCell ref="G4:H4"/>
    <mergeCell ref="D8:E8"/>
    <mergeCell ref="G8:H8"/>
    <mergeCell ref="A2:H2"/>
    <mergeCell ref="D5:E6"/>
    <mergeCell ref="A5:B6"/>
    <mergeCell ref="G5:H6"/>
    <mergeCell ref="D4:E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L37"/>
  <sheetViews>
    <sheetView showGridLines="0" zoomScale="90" zoomScaleNormal="90" workbookViewId="0">
      <pane ySplit="3" topLeftCell="A4" activePane="bottomLeft" state="frozen"/>
      <selection pane="bottomLeft" activeCell="J37" sqref="J37"/>
    </sheetView>
  </sheetViews>
  <sheetFormatPr baseColWidth="10" defaultColWidth="8.7265625" defaultRowHeight="14.5" outlineLevelRow="1" x14ac:dyDescent="0.35"/>
  <cols>
    <col min="1" max="12" width="13" customWidth="1"/>
  </cols>
  <sheetData>
    <row r="1" spans="1:12" ht="30" customHeight="1" x14ac:dyDescent="0.35">
      <c r="A1" s="64" t="s">
        <v>48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0" customHeight="1" x14ac:dyDescent="0.35">
      <c r="A2" s="69" t="s">
        <v>49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4" spans="1:12" ht="15" customHeight="1" x14ac:dyDescent="0.35">
      <c r="A4" s="67" t="s">
        <v>24</v>
      </c>
      <c r="B4" s="65"/>
      <c r="D4" s="67" t="s">
        <v>50</v>
      </c>
      <c r="E4" s="65"/>
      <c r="G4" s="67" t="s">
        <v>28</v>
      </c>
      <c r="H4" s="65"/>
      <c r="J4" s="67" t="s">
        <v>29</v>
      </c>
      <c r="K4" s="65"/>
    </row>
    <row r="5" spans="1:12" ht="15" customHeight="1" x14ac:dyDescent="0.35">
      <c r="A5" s="72">
        <f>'30_Dimensionamiento'!B9</f>
        <v>2043</v>
      </c>
      <c r="B5" s="65"/>
      <c r="D5" s="73">
        <f>'30_Dimensionamiento'!B18</f>
        <v>85.36904761904762</v>
      </c>
      <c r="E5" s="65"/>
      <c r="G5" s="73">
        <f>'30_Dimensionamiento'!B36</f>
        <v>34.206723018360947</v>
      </c>
      <c r="H5" s="65"/>
      <c r="J5" s="73">
        <f>'30_Dimensionamiento'!B37</f>
        <v>43.696008732646646</v>
      </c>
      <c r="K5" s="65"/>
    </row>
    <row r="6" spans="1:12" ht="15" customHeight="1" x14ac:dyDescent="0.35">
      <c r="A6" s="65"/>
      <c r="B6" s="65"/>
      <c r="D6" s="65"/>
      <c r="E6" s="65"/>
      <c r="G6" s="65"/>
      <c r="H6" s="65"/>
      <c r="J6" s="65"/>
      <c r="K6" s="65"/>
    </row>
    <row r="7" spans="1:12" ht="15" customHeight="1" x14ac:dyDescent="0.35">
      <c r="A7" s="65"/>
      <c r="B7" s="65"/>
      <c r="D7" s="65"/>
      <c r="E7" s="65"/>
      <c r="G7" s="65"/>
      <c r="H7" s="65"/>
      <c r="J7" s="65"/>
      <c r="K7" s="65"/>
    </row>
    <row r="30" spans="1:8" ht="15" hidden="1" customHeight="1" outlineLevel="1" x14ac:dyDescent="0.35">
      <c r="A30" s="11" t="s">
        <v>32</v>
      </c>
      <c r="B30" s="11" t="s">
        <v>33</v>
      </c>
      <c r="D30" s="11" t="s">
        <v>51</v>
      </c>
      <c r="E30" s="11" t="s">
        <v>52</v>
      </c>
      <c r="G30" s="11" t="s">
        <v>35</v>
      </c>
      <c r="H30" s="11" t="s">
        <v>53</v>
      </c>
    </row>
    <row r="31" spans="1:8" ht="15" hidden="1" customHeight="1" outlineLevel="1" x14ac:dyDescent="0.35">
      <c r="A31" t="s">
        <v>37</v>
      </c>
      <c r="B31">
        <f>'31_Analisis'!G5</f>
        <v>418</v>
      </c>
      <c r="D31" t="s">
        <v>54</v>
      </c>
      <c r="E31">
        <f>'30_Dimensionamiento'!B22</f>
        <v>80</v>
      </c>
      <c r="G31" t="s">
        <v>38</v>
      </c>
      <c r="H31">
        <f>'31_Analisis'!B13</f>
        <v>15</v>
      </c>
    </row>
    <row r="32" spans="1:8" ht="15" hidden="1" customHeight="1" outlineLevel="1" x14ac:dyDescent="0.35">
      <c r="A32" t="s">
        <v>39</v>
      </c>
      <c r="B32">
        <f>'31_Analisis'!G6</f>
        <v>275</v>
      </c>
      <c r="D32" t="s">
        <v>55</v>
      </c>
      <c r="E32" s="12">
        <f>'30_Dimensionamiento'!B34</f>
        <v>114.20672301836095</v>
      </c>
      <c r="G32" t="s">
        <v>40</v>
      </c>
      <c r="H32">
        <f>'31_Analisis'!B14</f>
        <v>14</v>
      </c>
    </row>
    <row r="33" spans="1:8" ht="15" hidden="1" customHeight="1" outlineLevel="1" x14ac:dyDescent="0.35">
      <c r="A33" t="s">
        <v>41</v>
      </c>
      <c r="B33">
        <f>'31_Analisis'!G7</f>
        <v>1200</v>
      </c>
      <c r="D33" t="s">
        <v>56</v>
      </c>
      <c r="E33" s="12">
        <f>'30_Dimensionamiento'!B35</f>
        <v>123.69600873264665</v>
      </c>
      <c r="G33" t="s">
        <v>42</v>
      </c>
      <c r="H33">
        <f>'31_Analisis'!B15</f>
        <v>14</v>
      </c>
    </row>
    <row r="34" spans="1:8" ht="15" hidden="1" customHeight="1" outlineLevel="1" x14ac:dyDescent="0.35">
      <c r="A34" t="s">
        <v>43</v>
      </c>
      <c r="B34">
        <f>'31_Analisis'!G8</f>
        <v>150</v>
      </c>
      <c r="G34" t="s">
        <v>44</v>
      </c>
      <c r="H34">
        <f>'31_Analisis'!B16</f>
        <v>17</v>
      </c>
    </row>
    <row r="35" spans="1:8" ht="15" hidden="1" customHeight="1" outlineLevel="1" x14ac:dyDescent="0.35">
      <c r="G35" t="s">
        <v>45</v>
      </c>
      <c r="H35">
        <f>'31_Analisis'!B17</f>
        <v>15</v>
      </c>
    </row>
    <row r="36" spans="1:8" ht="15" hidden="1" customHeight="1" outlineLevel="1" x14ac:dyDescent="0.35"/>
    <row r="37" spans="1:8" collapsed="1" x14ac:dyDescent="0.35"/>
  </sheetData>
  <mergeCells count="10">
    <mergeCell ref="A1:L1"/>
    <mergeCell ref="A5:B7"/>
    <mergeCell ref="J5:K7"/>
    <mergeCell ref="D4:E4"/>
    <mergeCell ref="A4:B4"/>
    <mergeCell ref="G4:H4"/>
    <mergeCell ref="A2:L2"/>
    <mergeCell ref="J4:K4"/>
    <mergeCell ref="D5:E7"/>
    <mergeCell ref="G5:H7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A5A5A5"/>
    <pageSetUpPr fitToPage="1"/>
  </sheetPr>
  <dimension ref="A1:D25"/>
  <sheetViews>
    <sheetView showGridLines="0" zoomScale="90" zoomScaleNormal="90" workbookViewId="0">
      <pane ySplit="3" topLeftCell="A4" activePane="bottomLeft" state="frozen"/>
      <selection pane="bottomLeft" activeCell="A30" sqref="A30"/>
    </sheetView>
  </sheetViews>
  <sheetFormatPr baseColWidth="10" defaultColWidth="8.7265625" defaultRowHeight="14.5" x14ac:dyDescent="0.35"/>
  <cols>
    <col min="1" max="1" width="113.453125" customWidth="1"/>
    <col min="2" max="2" width="16.1796875" customWidth="1"/>
    <col min="3" max="3" width="54.26953125" customWidth="1"/>
    <col min="4" max="4" width="14" customWidth="1"/>
  </cols>
  <sheetData>
    <row r="1" spans="1:4" ht="19.5" customHeight="1" x14ac:dyDescent="0.35">
      <c r="A1" s="14" t="s">
        <v>57</v>
      </c>
      <c r="B1" s="2"/>
      <c r="C1" s="2"/>
      <c r="D1" s="2"/>
    </row>
    <row r="2" spans="1:4" ht="19.5" customHeight="1" x14ac:dyDescent="0.35">
      <c r="A2" s="15" t="s">
        <v>58</v>
      </c>
      <c r="B2" s="2"/>
      <c r="C2" s="2"/>
      <c r="D2" s="2"/>
    </row>
    <row r="3" spans="1:4" ht="19.5" customHeight="1" x14ac:dyDescent="0.35">
      <c r="A3" s="16"/>
      <c r="B3" s="16"/>
      <c r="C3" s="16"/>
      <c r="D3" s="16"/>
    </row>
    <row r="4" spans="1:4" ht="19.5" customHeight="1" x14ac:dyDescent="0.35">
      <c r="A4" s="17" t="s">
        <v>59</v>
      </c>
      <c r="B4" s="17" t="s">
        <v>60</v>
      </c>
      <c r="C4" s="17" t="s">
        <v>61</v>
      </c>
      <c r="D4" s="16"/>
    </row>
    <row r="5" spans="1:4" ht="19.5" customHeight="1" x14ac:dyDescent="0.35">
      <c r="A5" s="16" t="s">
        <v>62</v>
      </c>
      <c r="B5" s="18">
        <v>1247</v>
      </c>
      <c r="C5" s="16" t="s">
        <v>63</v>
      </c>
      <c r="D5" s="16"/>
    </row>
    <row r="6" spans="1:4" ht="19.5" customHeight="1" x14ac:dyDescent="0.35">
      <c r="A6" s="16" t="s">
        <v>64</v>
      </c>
      <c r="B6" s="18">
        <v>264</v>
      </c>
      <c r="C6" s="16" t="s">
        <v>65</v>
      </c>
      <c r="D6" s="16"/>
    </row>
    <row r="7" spans="1:4" ht="19.5" customHeight="1" x14ac:dyDescent="0.35">
      <c r="A7" s="16" t="s">
        <v>66</v>
      </c>
      <c r="B7" s="18">
        <v>129</v>
      </c>
      <c r="C7" s="16" t="s">
        <v>67</v>
      </c>
      <c r="D7" s="16"/>
    </row>
    <row r="8" spans="1:4" ht="19.5" customHeight="1" x14ac:dyDescent="0.35">
      <c r="A8" s="16" t="s">
        <v>31</v>
      </c>
      <c r="B8" s="18">
        <v>75</v>
      </c>
      <c r="C8" s="16" t="s">
        <v>68</v>
      </c>
      <c r="D8" s="16"/>
    </row>
    <row r="9" spans="1:4" ht="19.5" customHeight="1" x14ac:dyDescent="0.35">
      <c r="A9" s="16" t="s">
        <v>69</v>
      </c>
      <c r="B9" s="18">
        <v>56</v>
      </c>
      <c r="C9" s="16" t="s">
        <v>70</v>
      </c>
      <c r="D9" s="16"/>
    </row>
    <row r="10" spans="1:4" ht="19.5" customHeight="1" x14ac:dyDescent="0.35">
      <c r="A10" s="16" t="s">
        <v>71</v>
      </c>
      <c r="B10" s="18">
        <v>19</v>
      </c>
      <c r="C10" s="16" t="s">
        <v>72</v>
      </c>
      <c r="D10" s="16"/>
    </row>
    <row r="11" spans="1:4" ht="19.5" customHeight="1" x14ac:dyDescent="0.35">
      <c r="A11" s="16" t="s">
        <v>25</v>
      </c>
      <c r="B11" s="18">
        <v>80</v>
      </c>
      <c r="C11" s="16" t="s">
        <v>73</v>
      </c>
      <c r="D11" s="16"/>
    </row>
    <row r="12" spans="1:4" ht="19.5" customHeight="1" x14ac:dyDescent="0.35">
      <c r="A12" s="16" t="s">
        <v>74</v>
      </c>
      <c r="B12" s="18">
        <v>100</v>
      </c>
      <c r="C12" s="16" t="s">
        <v>75</v>
      </c>
      <c r="D12" s="16"/>
    </row>
    <row r="13" spans="1:4" ht="19.5" customHeight="1" x14ac:dyDescent="0.35">
      <c r="A13" s="16" t="s">
        <v>76</v>
      </c>
      <c r="B13" s="18">
        <v>114</v>
      </c>
      <c r="C13" s="16" t="s">
        <v>75</v>
      </c>
      <c r="D13" s="16"/>
    </row>
    <row r="14" spans="1:4" ht="19.5" customHeight="1" x14ac:dyDescent="0.35">
      <c r="A14" s="16" t="s">
        <v>77</v>
      </c>
      <c r="B14" s="18" t="s">
        <v>78</v>
      </c>
      <c r="C14" s="16" t="s">
        <v>79</v>
      </c>
      <c r="D14" s="16"/>
    </row>
    <row r="15" spans="1:4" ht="19.5" customHeight="1" x14ac:dyDescent="0.35">
      <c r="A15" s="16" t="s">
        <v>80</v>
      </c>
      <c r="B15" s="18" t="s">
        <v>81</v>
      </c>
      <c r="C15" s="16" t="s">
        <v>82</v>
      </c>
      <c r="D15" s="16"/>
    </row>
    <row r="16" spans="1:4" ht="19.5" customHeight="1" x14ac:dyDescent="0.35">
      <c r="A16" s="16" t="s">
        <v>83</v>
      </c>
      <c r="B16" s="18" t="s">
        <v>84</v>
      </c>
      <c r="C16" s="16" t="s">
        <v>79</v>
      </c>
      <c r="D16" s="16"/>
    </row>
    <row r="17" spans="1:4" ht="19.5" customHeight="1" x14ac:dyDescent="0.35">
      <c r="A17" s="16"/>
      <c r="B17" s="16"/>
      <c r="C17" s="16"/>
      <c r="D17" s="16"/>
    </row>
    <row r="18" spans="1:4" ht="19.5" customHeight="1" x14ac:dyDescent="0.35">
      <c r="A18" s="16"/>
      <c r="B18" s="16"/>
      <c r="C18" s="16"/>
      <c r="D18" s="16"/>
    </row>
    <row r="19" spans="1:4" ht="19.5" customHeight="1" x14ac:dyDescent="0.35">
      <c r="A19" s="17" t="s">
        <v>85</v>
      </c>
      <c r="B19" s="17" t="s">
        <v>86</v>
      </c>
      <c r="C19" s="17" t="s">
        <v>87</v>
      </c>
      <c r="D19" s="17" t="s">
        <v>36</v>
      </c>
    </row>
    <row r="20" spans="1:4" ht="19.5" customHeight="1" x14ac:dyDescent="0.35">
      <c r="A20" s="16" t="s">
        <v>38</v>
      </c>
      <c r="B20" s="19">
        <v>15</v>
      </c>
      <c r="C20" s="19">
        <v>0</v>
      </c>
      <c r="D20" s="19">
        <v>15</v>
      </c>
    </row>
    <row r="21" spans="1:4" ht="19.5" customHeight="1" x14ac:dyDescent="0.35">
      <c r="A21" s="16" t="s">
        <v>40</v>
      </c>
      <c r="B21" s="19">
        <v>14</v>
      </c>
      <c r="C21" s="19">
        <v>0</v>
      </c>
      <c r="D21" s="19">
        <v>14</v>
      </c>
    </row>
    <row r="22" spans="1:4" ht="19.5" customHeight="1" x14ac:dyDescent="0.35">
      <c r="A22" s="16" t="s">
        <v>42</v>
      </c>
      <c r="B22" s="19">
        <v>10</v>
      </c>
      <c r="C22" s="19">
        <v>4</v>
      </c>
      <c r="D22" s="19">
        <v>14</v>
      </c>
    </row>
    <row r="23" spans="1:4" ht="19.5" customHeight="1" x14ac:dyDescent="0.35">
      <c r="A23" s="16" t="s">
        <v>44</v>
      </c>
      <c r="B23" s="19">
        <v>17</v>
      </c>
      <c r="C23" s="19">
        <v>0</v>
      </c>
      <c r="D23" s="19">
        <v>17</v>
      </c>
    </row>
    <row r="24" spans="1:4" ht="19.5" customHeight="1" x14ac:dyDescent="0.35">
      <c r="A24" s="16" t="s">
        <v>45</v>
      </c>
      <c r="B24" s="19">
        <v>0</v>
      </c>
      <c r="C24" s="19">
        <v>15</v>
      </c>
      <c r="D24" s="19">
        <v>15</v>
      </c>
    </row>
    <row r="25" spans="1:4" ht="19.5" customHeight="1" x14ac:dyDescent="0.35">
      <c r="A25" s="16" t="s">
        <v>88</v>
      </c>
      <c r="B25" s="19">
        <v>56</v>
      </c>
      <c r="C25" s="19">
        <v>19</v>
      </c>
      <c r="D25" s="19">
        <v>75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A5A5A5"/>
    <pageSetUpPr fitToPage="1"/>
  </sheetPr>
  <dimension ref="A1:J1663"/>
  <sheetViews>
    <sheetView showGridLines="0" topLeftCell="A29" zoomScale="90" zoomScaleNormal="90" workbookViewId="0"/>
  </sheetViews>
  <sheetFormatPr baseColWidth="10" defaultColWidth="8.7265625" defaultRowHeight="14.5" x14ac:dyDescent="0.35"/>
  <cols>
    <col min="1" max="1" width="37.1796875" customWidth="1"/>
    <col min="2" max="2" width="55.1796875" customWidth="1"/>
    <col min="3" max="3" width="24" customWidth="1"/>
    <col min="4" max="4" width="10.7265625" customWidth="1"/>
    <col min="5" max="5" width="84.453125" customWidth="1"/>
    <col min="6" max="6" width="28.7265625" customWidth="1"/>
    <col min="7" max="7" width="48.54296875" customWidth="1"/>
    <col min="8" max="8" width="42" customWidth="1"/>
    <col min="9" max="9" width="32.7265625" customWidth="1"/>
    <col min="10" max="10" width="42" customWidth="1"/>
  </cols>
  <sheetData>
    <row r="1" spans="1:10" ht="19.5" customHeight="1" x14ac:dyDescent="0.35">
      <c r="A1" s="14" t="s">
        <v>89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35">
      <c r="A2" s="20" t="s">
        <v>90</v>
      </c>
      <c r="B2" s="2"/>
      <c r="C2" s="2"/>
      <c r="D2" s="2"/>
      <c r="E2" s="2"/>
      <c r="F2" s="2"/>
      <c r="G2" s="2"/>
      <c r="H2" s="2"/>
      <c r="I2" s="2"/>
      <c r="J2" s="2"/>
    </row>
    <row r="3" spans="1:10" ht="19.5" customHeight="1" x14ac:dyDescent="0.35">
      <c r="A3" s="17" t="s">
        <v>91</v>
      </c>
      <c r="B3" s="17" t="s">
        <v>92</v>
      </c>
      <c r="C3" s="17" t="s">
        <v>93</v>
      </c>
      <c r="D3" s="17" t="s">
        <v>94</v>
      </c>
      <c r="E3" s="17" t="s">
        <v>95</v>
      </c>
      <c r="F3" s="17" t="s">
        <v>32</v>
      </c>
      <c r="G3" s="17" t="s">
        <v>96</v>
      </c>
      <c r="H3" s="17" t="s">
        <v>97</v>
      </c>
      <c r="I3" s="17" t="s">
        <v>98</v>
      </c>
      <c r="J3" s="17" t="s">
        <v>99</v>
      </c>
    </row>
    <row r="4" spans="1:10" ht="19.5" customHeight="1" x14ac:dyDescent="0.35">
      <c r="A4" s="16" t="s">
        <v>100</v>
      </c>
      <c r="B4" s="16" t="s">
        <v>101</v>
      </c>
      <c r="C4" s="16" t="s">
        <v>102</v>
      </c>
      <c r="D4" s="19">
        <v>430</v>
      </c>
      <c r="E4" s="16" t="s">
        <v>103</v>
      </c>
      <c r="F4" s="16"/>
      <c r="G4" s="16"/>
      <c r="H4" s="16" t="s">
        <v>104</v>
      </c>
      <c r="I4" s="16" t="s">
        <v>105</v>
      </c>
      <c r="J4" s="16" t="s">
        <v>106</v>
      </c>
    </row>
    <row r="5" spans="1:10" ht="19.5" customHeight="1" x14ac:dyDescent="0.35">
      <c r="A5" s="16" t="s">
        <v>100</v>
      </c>
      <c r="B5" s="16" t="s">
        <v>107</v>
      </c>
      <c r="C5" s="16" t="s">
        <v>102</v>
      </c>
      <c r="D5" s="19">
        <v>92</v>
      </c>
      <c r="E5" s="16" t="s">
        <v>108</v>
      </c>
      <c r="F5" s="16"/>
      <c r="G5" s="16"/>
      <c r="H5" s="16" t="s">
        <v>104</v>
      </c>
      <c r="I5" s="16" t="s">
        <v>105</v>
      </c>
      <c r="J5" s="16" t="s">
        <v>106</v>
      </c>
    </row>
    <row r="6" spans="1:10" ht="19.5" customHeight="1" x14ac:dyDescent="0.35">
      <c r="A6" s="16" t="s">
        <v>100</v>
      </c>
      <c r="B6" s="16" t="s">
        <v>109</v>
      </c>
      <c r="C6" s="16" t="s">
        <v>102</v>
      </c>
      <c r="D6" s="19">
        <v>264</v>
      </c>
      <c r="E6" s="16" t="s">
        <v>110</v>
      </c>
      <c r="F6" s="16"/>
      <c r="G6" s="16"/>
      <c r="H6" s="16" t="s">
        <v>111</v>
      </c>
      <c r="I6" s="16" t="s">
        <v>105</v>
      </c>
      <c r="J6" s="16" t="s">
        <v>106</v>
      </c>
    </row>
    <row r="7" spans="1:10" ht="19.5" customHeight="1" x14ac:dyDescent="0.35">
      <c r="A7" s="16" t="s">
        <v>100</v>
      </c>
      <c r="B7" s="16" t="s">
        <v>112</v>
      </c>
      <c r="C7" s="16" t="s">
        <v>102</v>
      </c>
      <c r="D7" s="19">
        <v>58</v>
      </c>
      <c r="E7" s="16" t="s">
        <v>113</v>
      </c>
      <c r="F7" s="16"/>
      <c r="G7" s="16"/>
      <c r="H7" s="16" t="s">
        <v>104</v>
      </c>
      <c r="I7" s="16" t="s">
        <v>105</v>
      </c>
      <c r="J7" s="16" t="s">
        <v>106</v>
      </c>
    </row>
    <row r="8" spans="1:10" ht="19.5" customHeight="1" x14ac:dyDescent="0.35">
      <c r="A8" s="16" t="s">
        <v>100</v>
      </c>
      <c r="B8" s="16" t="s">
        <v>114</v>
      </c>
      <c r="C8" s="16" t="s">
        <v>102</v>
      </c>
      <c r="D8" s="19">
        <v>290</v>
      </c>
      <c r="E8" s="16" t="s">
        <v>115</v>
      </c>
      <c r="F8" s="16"/>
      <c r="G8" s="16"/>
      <c r="H8" s="16" t="s">
        <v>104</v>
      </c>
      <c r="I8" s="16" t="s">
        <v>105</v>
      </c>
      <c r="J8" s="16" t="s">
        <v>106</v>
      </c>
    </row>
    <row r="9" spans="1:10" ht="19.5" customHeight="1" x14ac:dyDescent="0.35">
      <c r="A9" s="16" t="s">
        <v>100</v>
      </c>
      <c r="B9" s="16" t="s">
        <v>116</v>
      </c>
      <c r="C9" s="16" t="s">
        <v>102</v>
      </c>
      <c r="D9" s="19">
        <v>74</v>
      </c>
      <c r="E9" s="16" t="s">
        <v>117</v>
      </c>
      <c r="F9" s="16"/>
      <c r="G9" s="16"/>
      <c r="H9" s="16" t="s">
        <v>104</v>
      </c>
      <c r="I9" s="16" t="s">
        <v>105</v>
      </c>
      <c r="J9" s="16" t="s">
        <v>106</v>
      </c>
    </row>
    <row r="10" spans="1:10" ht="19.5" customHeight="1" x14ac:dyDescent="0.35">
      <c r="A10" s="16" t="s">
        <v>100</v>
      </c>
      <c r="B10" s="16" t="s">
        <v>118</v>
      </c>
      <c r="C10" s="16" t="s">
        <v>102</v>
      </c>
      <c r="D10" s="19">
        <v>355</v>
      </c>
      <c r="E10" s="16" t="s">
        <v>119</v>
      </c>
      <c r="F10" s="16"/>
      <c r="G10" s="16"/>
      <c r="H10" s="16" t="s">
        <v>104</v>
      </c>
      <c r="I10" s="16" t="s">
        <v>105</v>
      </c>
      <c r="J10" s="16" t="s">
        <v>106</v>
      </c>
    </row>
    <row r="11" spans="1:10" ht="19.5" customHeight="1" x14ac:dyDescent="0.35">
      <c r="A11" s="16" t="s">
        <v>100</v>
      </c>
      <c r="B11" s="16" t="s">
        <v>120</v>
      </c>
      <c r="C11" s="16" t="s">
        <v>102</v>
      </c>
      <c r="D11" s="19">
        <v>386</v>
      </c>
      <c r="E11" s="16" t="s">
        <v>121</v>
      </c>
      <c r="F11" s="16"/>
      <c r="G11" s="16"/>
      <c r="H11" s="16" t="s">
        <v>104</v>
      </c>
      <c r="I11" s="16" t="s">
        <v>105</v>
      </c>
      <c r="J11" s="16" t="s">
        <v>106</v>
      </c>
    </row>
    <row r="12" spans="1:10" ht="19.5" customHeight="1" x14ac:dyDescent="0.35">
      <c r="A12" s="16" t="s">
        <v>100</v>
      </c>
      <c r="B12" s="16" t="s">
        <v>122</v>
      </c>
      <c r="C12" s="16" t="s">
        <v>102</v>
      </c>
      <c r="D12" s="19">
        <v>94</v>
      </c>
      <c r="E12" s="16" t="s">
        <v>123</v>
      </c>
      <c r="F12" s="16"/>
      <c r="G12" s="16"/>
      <c r="H12" s="16" t="s">
        <v>104</v>
      </c>
      <c r="I12" s="16" t="s">
        <v>105</v>
      </c>
      <c r="J12" s="16" t="s">
        <v>106</v>
      </c>
    </row>
    <row r="13" spans="1:10" ht="19.5" customHeight="1" x14ac:dyDescent="0.35">
      <c r="A13" s="16" t="s">
        <v>100</v>
      </c>
      <c r="B13" s="16" t="s">
        <v>124</v>
      </c>
      <c r="C13" s="16" t="s">
        <v>102</v>
      </c>
      <c r="D13" s="19">
        <v>9000</v>
      </c>
      <c r="E13" s="16" t="s">
        <v>125</v>
      </c>
      <c r="F13" s="16"/>
      <c r="G13" s="16"/>
      <c r="H13" s="16" t="s">
        <v>104</v>
      </c>
      <c r="I13" s="16" t="s">
        <v>105</v>
      </c>
      <c r="J13" s="16" t="s">
        <v>106</v>
      </c>
    </row>
    <row r="14" spans="1:10" ht="19.5" customHeight="1" x14ac:dyDescent="0.35">
      <c r="A14" s="16" t="s">
        <v>100</v>
      </c>
      <c r="B14" s="16" t="s">
        <v>126</v>
      </c>
      <c r="C14" s="16" t="s">
        <v>102</v>
      </c>
      <c r="D14" s="19">
        <v>50000</v>
      </c>
      <c r="E14" s="16" t="s">
        <v>127</v>
      </c>
      <c r="F14" s="16"/>
      <c r="G14" s="16"/>
      <c r="H14" s="16" t="s">
        <v>104</v>
      </c>
      <c r="I14" s="16" t="s">
        <v>105</v>
      </c>
      <c r="J14" s="16" t="s">
        <v>106</v>
      </c>
    </row>
    <row r="15" spans="1:10" ht="19.5" customHeight="1" x14ac:dyDescent="0.35">
      <c r="A15" s="16" t="s">
        <v>100</v>
      </c>
      <c r="B15" s="16" t="s">
        <v>128</v>
      </c>
      <c r="C15" s="16" t="s">
        <v>102</v>
      </c>
      <c r="D15" s="19">
        <v>10000</v>
      </c>
      <c r="E15" s="16" t="s">
        <v>129</v>
      </c>
      <c r="F15" s="16"/>
      <c r="G15" s="16"/>
      <c r="H15" s="16" t="s">
        <v>104</v>
      </c>
      <c r="I15" s="16" t="s">
        <v>105</v>
      </c>
      <c r="J15" s="16" t="s">
        <v>106</v>
      </c>
    </row>
    <row r="16" spans="1:10" ht="19.5" customHeight="1" x14ac:dyDescent="0.35">
      <c r="A16" s="16" t="s">
        <v>100</v>
      </c>
      <c r="B16" s="16" t="s">
        <v>130</v>
      </c>
      <c r="C16" s="16" t="s">
        <v>102</v>
      </c>
      <c r="D16" s="19">
        <v>3000</v>
      </c>
      <c r="E16" s="16" t="s">
        <v>131</v>
      </c>
      <c r="F16" s="16"/>
      <c r="G16" s="16"/>
      <c r="H16" s="16" t="s">
        <v>104</v>
      </c>
      <c r="I16" s="16" t="s">
        <v>105</v>
      </c>
      <c r="J16" s="16" t="s">
        <v>106</v>
      </c>
    </row>
    <row r="17" spans="1:10" ht="19.5" customHeight="1" x14ac:dyDescent="0.35">
      <c r="A17" s="16" t="s">
        <v>100</v>
      </c>
      <c r="B17" s="16" t="s">
        <v>132</v>
      </c>
      <c r="C17" s="16" t="s">
        <v>102</v>
      </c>
      <c r="D17" s="19">
        <v>10000</v>
      </c>
      <c r="E17" s="16" t="s">
        <v>133</v>
      </c>
      <c r="F17" s="16"/>
      <c r="G17" s="16"/>
      <c r="H17" s="16" t="s">
        <v>104</v>
      </c>
      <c r="I17" s="16" t="s">
        <v>105</v>
      </c>
      <c r="J17" s="16" t="s">
        <v>106</v>
      </c>
    </row>
    <row r="18" spans="1:10" ht="19.5" customHeight="1" x14ac:dyDescent="0.35">
      <c r="A18" s="21" t="s">
        <v>134</v>
      </c>
      <c r="B18" s="21" t="s">
        <v>38</v>
      </c>
      <c r="C18" s="21" t="s">
        <v>109</v>
      </c>
      <c r="D18" s="22">
        <v>15</v>
      </c>
      <c r="E18" s="21" t="s">
        <v>135</v>
      </c>
      <c r="F18" s="21" t="s">
        <v>136</v>
      </c>
      <c r="G18" s="21" t="s">
        <v>137</v>
      </c>
      <c r="H18" s="21" t="s">
        <v>138</v>
      </c>
      <c r="I18" s="21" t="s">
        <v>139</v>
      </c>
      <c r="J18" s="21" t="s">
        <v>32</v>
      </c>
    </row>
    <row r="19" spans="1:10" ht="19.5" customHeight="1" x14ac:dyDescent="0.35">
      <c r="A19" s="21" t="s">
        <v>134</v>
      </c>
      <c r="B19" s="21" t="s">
        <v>40</v>
      </c>
      <c r="C19" s="21" t="s">
        <v>109</v>
      </c>
      <c r="D19" s="22">
        <v>14</v>
      </c>
      <c r="E19" s="21" t="s">
        <v>135</v>
      </c>
      <c r="F19" s="21" t="s">
        <v>136</v>
      </c>
      <c r="G19" s="21" t="s">
        <v>137</v>
      </c>
      <c r="H19" s="21" t="s">
        <v>138</v>
      </c>
      <c r="I19" s="21" t="s">
        <v>139</v>
      </c>
      <c r="J19" s="21" t="s">
        <v>32</v>
      </c>
    </row>
    <row r="20" spans="1:10" ht="19.5" customHeight="1" x14ac:dyDescent="0.35">
      <c r="A20" s="21" t="s">
        <v>134</v>
      </c>
      <c r="B20" s="21" t="s">
        <v>42</v>
      </c>
      <c r="C20" s="21" t="s">
        <v>109</v>
      </c>
      <c r="D20" s="22">
        <v>10</v>
      </c>
      <c r="E20" s="21" t="s">
        <v>135</v>
      </c>
      <c r="F20" s="21" t="s">
        <v>136</v>
      </c>
      <c r="G20" s="21" t="s">
        <v>137</v>
      </c>
      <c r="H20" s="21" t="s">
        <v>138</v>
      </c>
      <c r="I20" s="21" t="s">
        <v>139</v>
      </c>
      <c r="J20" s="21" t="s">
        <v>32</v>
      </c>
    </row>
    <row r="21" spans="1:10" ht="19.5" customHeight="1" x14ac:dyDescent="0.35">
      <c r="A21" s="21" t="s">
        <v>134</v>
      </c>
      <c r="B21" s="21" t="s">
        <v>42</v>
      </c>
      <c r="C21" s="21" t="s">
        <v>101</v>
      </c>
      <c r="D21" s="22">
        <v>4</v>
      </c>
      <c r="E21" s="21" t="s">
        <v>140</v>
      </c>
      <c r="F21" s="21" t="s">
        <v>136</v>
      </c>
      <c r="G21" s="21" t="s">
        <v>137</v>
      </c>
      <c r="H21" s="21" t="s">
        <v>138</v>
      </c>
      <c r="I21" s="21" t="s">
        <v>139</v>
      </c>
      <c r="J21" s="21" t="s">
        <v>32</v>
      </c>
    </row>
    <row r="22" spans="1:10" ht="19.5" customHeight="1" x14ac:dyDescent="0.35">
      <c r="A22" s="21" t="s">
        <v>134</v>
      </c>
      <c r="B22" s="21" t="s">
        <v>44</v>
      </c>
      <c r="C22" s="21" t="s">
        <v>109</v>
      </c>
      <c r="D22" s="22">
        <v>17</v>
      </c>
      <c r="E22" s="21" t="s">
        <v>135</v>
      </c>
      <c r="F22" s="21" t="s">
        <v>136</v>
      </c>
      <c r="G22" s="21" t="s">
        <v>137</v>
      </c>
      <c r="H22" s="21" t="s">
        <v>138</v>
      </c>
      <c r="I22" s="21" t="s">
        <v>139</v>
      </c>
      <c r="J22" s="21" t="s">
        <v>32</v>
      </c>
    </row>
    <row r="23" spans="1:10" ht="19.5" customHeight="1" x14ac:dyDescent="0.35">
      <c r="A23" s="21" t="s">
        <v>134</v>
      </c>
      <c r="B23" s="21" t="s">
        <v>45</v>
      </c>
      <c r="C23" s="21" t="s">
        <v>101</v>
      </c>
      <c r="D23" s="22">
        <v>15</v>
      </c>
      <c r="E23" s="21" t="s">
        <v>141</v>
      </c>
      <c r="F23" s="21" t="s">
        <v>136</v>
      </c>
      <c r="G23" s="21" t="s">
        <v>137</v>
      </c>
      <c r="H23" s="21" t="s">
        <v>138</v>
      </c>
      <c r="I23" s="21" t="s">
        <v>139</v>
      </c>
      <c r="J23" s="21" t="s">
        <v>32</v>
      </c>
    </row>
    <row r="24" spans="1:10" ht="19.5" customHeight="1" x14ac:dyDescent="0.35">
      <c r="A24" s="21" t="s">
        <v>142</v>
      </c>
      <c r="B24" s="21" t="s">
        <v>143</v>
      </c>
      <c r="C24" s="21" t="s">
        <v>109</v>
      </c>
      <c r="D24" s="22">
        <v>1</v>
      </c>
      <c r="E24" s="21" t="s">
        <v>144</v>
      </c>
      <c r="F24" s="21" t="s">
        <v>145</v>
      </c>
      <c r="G24" s="21" t="s">
        <v>146</v>
      </c>
      <c r="H24" s="21" t="s">
        <v>147</v>
      </c>
      <c r="I24" s="21" t="s">
        <v>148</v>
      </c>
      <c r="J24" s="21" t="s">
        <v>149</v>
      </c>
    </row>
    <row r="25" spans="1:10" ht="19.5" customHeight="1" x14ac:dyDescent="0.35">
      <c r="A25" s="21" t="s">
        <v>142</v>
      </c>
      <c r="B25" s="21" t="s">
        <v>44</v>
      </c>
      <c r="C25" s="21" t="s">
        <v>109</v>
      </c>
      <c r="D25" s="22">
        <v>1</v>
      </c>
      <c r="E25" s="21" t="s">
        <v>150</v>
      </c>
      <c r="F25" s="21" t="s">
        <v>151</v>
      </c>
      <c r="G25" s="21" t="s">
        <v>146</v>
      </c>
      <c r="H25" s="21" t="s">
        <v>152</v>
      </c>
      <c r="I25" s="21" t="s">
        <v>148</v>
      </c>
      <c r="J25" s="21" t="s">
        <v>153</v>
      </c>
    </row>
    <row r="26" spans="1:10" ht="19.5" customHeight="1" x14ac:dyDescent="0.35">
      <c r="A26" s="21" t="s">
        <v>142</v>
      </c>
      <c r="B26" s="21" t="s">
        <v>44</v>
      </c>
      <c r="C26" s="21" t="s">
        <v>109</v>
      </c>
      <c r="D26" s="22">
        <v>1</v>
      </c>
      <c r="E26" s="21" t="s">
        <v>154</v>
      </c>
      <c r="F26" s="21" t="s">
        <v>151</v>
      </c>
      <c r="G26" s="21" t="s">
        <v>146</v>
      </c>
      <c r="H26" s="21" t="s">
        <v>152</v>
      </c>
      <c r="I26" s="21" t="s">
        <v>148</v>
      </c>
      <c r="J26" s="21" t="s">
        <v>155</v>
      </c>
    </row>
    <row r="27" spans="1:10" ht="19.5" customHeight="1" x14ac:dyDescent="0.35">
      <c r="A27" s="23" t="s">
        <v>142</v>
      </c>
      <c r="B27" s="23" t="s">
        <v>44</v>
      </c>
      <c r="C27" s="23" t="s">
        <v>109</v>
      </c>
      <c r="D27" s="24">
        <v>1</v>
      </c>
      <c r="E27" s="23" t="s">
        <v>156</v>
      </c>
      <c r="F27" s="23" t="s">
        <v>157</v>
      </c>
      <c r="G27" s="23" t="s">
        <v>158</v>
      </c>
      <c r="H27" s="23" t="s">
        <v>152</v>
      </c>
      <c r="I27" s="23" t="s">
        <v>148</v>
      </c>
      <c r="J27" s="23" t="s">
        <v>159</v>
      </c>
    </row>
    <row r="28" spans="1:10" ht="19.5" customHeight="1" x14ac:dyDescent="0.35">
      <c r="A28" s="21" t="s">
        <v>142</v>
      </c>
      <c r="B28" s="21" t="s">
        <v>44</v>
      </c>
      <c r="C28" s="21" t="s">
        <v>109</v>
      </c>
      <c r="D28" s="22">
        <v>1</v>
      </c>
      <c r="E28" s="21" t="s">
        <v>160</v>
      </c>
      <c r="F28" s="21" t="s">
        <v>151</v>
      </c>
      <c r="G28" s="21" t="s">
        <v>146</v>
      </c>
      <c r="H28" s="21" t="s">
        <v>152</v>
      </c>
      <c r="I28" s="21" t="s">
        <v>148</v>
      </c>
      <c r="J28" s="21" t="s">
        <v>161</v>
      </c>
    </row>
    <row r="29" spans="1:10" ht="19.5" customHeight="1" x14ac:dyDescent="0.35">
      <c r="A29" s="23" t="s">
        <v>142</v>
      </c>
      <c r="B29" s="23" t="s">
        <v>44</v>
      </c>
      <c r="C29" s="23" t="s">
        <v>109</v>
      </c>
      <c r="D29" s="24">
        <v>1</v>
      </c>
      <c r="E29" s="23" t="s">
        <v>162</v>
      </c>
      <c r="F29" s="23" t="s">
        <v>157</v>
      </c>
      <c r="G29" s="23" t="s">
        <v>158</v>
      </c>
      <c r="H29" s="23" t="s">
        <v>152</v>
      </c>
      <c r="I29" s="23" t="s">
        <v>148</v>
      </c>
      <c r="J29" s="23" t="s">
        <v>159</v>
      </c>
    </row>
    <row r="30" spans="1:10" ht="19.5" customHeight="1" x14ac:dyDescent="0.35">
      <c r="A30" s="21" t="s">
        <v>142</v>
      </c>
      <c r="B30" s="21" t="s">
        <v>44</v>
      </c>
      <c r="C30" s="21" t="s">
        <v>109</v>
      </c>
      <c r="D30" s="22">
        <v>1</v>
      </c>
      <c r="E30" s="21" t="s">
        <v>163</v>
      </c>
      <c r="F30" s="21" t="s">
        <v>151</v>
      </c>
      <c r="G30" s="21" t="s">
        <v>146</v>
      </c>
      <c r="H30" s="21" t="s">
        <v>152</v>
      </c>
      <c r="I30" s="21" t="s">
        <v>148</v>
      </c>
      <c r="J30" s="21" t="s">
        <v>164</v>
      </c>
    </row>
    <row r="31" spans="1:10" ht="19.5" customHeight="1" x14ac:dyDescent="0.35">
      <c r="A31" s="23" t="s">
        <v>142</v>
      </c>
      <c r="B31" s="23" t="s">
        <v>44</v>
      </c>
      <c r="C31" s="23" t="s">
        <v>109</v>
      </c>
      <c r="D31" s="24">
        <v>1</v>
      </c>
      <c r="E31" s="23" t="s">
        <v>165</v>
      </c>
      <c r="F31" s="23" t="s">
        <v>157</v>
      </c>
      <c r="G31" s="23" t="s">
        <v>158</v>
      </c>
      <c r="H31" s="23" t="s">
        <v>152</v>
      </c>
      <c r="I31" s="23" t="s">
        <v>148</v>
      </c>
      <c r="J31" s="23" t="s">
        <v>159</v>
      </c>
    </row>
    <row r="32" spans="1:10" ht="19.5" customHeight="1" x14ac:dyDescent="0.35">
      <c r="A32" s="21" t="s">
        <v>142</v>
      </c>
      <c r="B32" s="21" t="s">
        <v>44</v>
      </c>
      <c r="C32" s="21" t="s">
        <v>109</v>
      </c>
      <c r="D32" s="22">
        <v>1</v>
      </c>
      <c r="E32" s="21" t="s">
        <v>166</v>
      </c>
      <c r="F32" s="21" t="s">
        <v>151</v>
      </c>
      <c r="G32" s="21" t="s">
        <v>146</v>
      </c>
      <c r="H32" s="21" t="s">
        <v>152</v>
      </c>
      <c r="I32" s="21" t="s">
        <v>148</v>
      </c>
      <c r="J32" s="21" t="s">
        <v>167</v>
      </c>
    </row>
    <row r="33" spans="1:10" ht="19.5" customHeight="1" x14ac:dyDescent="0.35">
      <c r="A33" s="23" t="s">
        <v>142</v>
      </c>
      <c r="B33" s="23" t="s">
        <v>44</v>
      </c>
      <c r="C33" s="23" t="s">
        <v>109</v>
      </c>
      <c r="D33" s="24">
        <v>1</v>
      </c>
      <c r="E33" s="23" t="s">
        <v>168</v>
      </c>
      <c r="F33" s="23" t="s">
        <v>157</v>
      </c>
      <c r="G33" s="23" t="s">
        <v>158</v>
      </c>
      <c r="H33" s="23" t="s">
        <v>152</v>
      </c>
      <c r="I33" s="23" t="s">
        <v>148</v>
      </c>
      <c r="J33" s="23" t="s">
        <v>159</v>
      </c>
    </row>
    <row r="34" spans="1:10" ht="19.5" customHeight="1" x14ac:dyDescent="0.35">
      <c r="A34" s="21" t="s">
        <v>142</v>
      </c>
      <c r="B34" s="21" t="s">
        <v>44</v>
      </c>
      <c r="C34" s="21" t="s">
        <v>109</v>
      </c>
      <c r="D34" s="22">
        <v>1</v>
      </c>
      <c r="E34" s="21" t="s">
        <v>169</v>
      </c>
      <c r="F34" s="21" t="s">
        <v>151</v>
      </c>
      <c r="G34" s="21" t="s">
        <v>146</v>
      </c>
      <c r="H34" s="21" t="s">
        <v>152</v>
      </c>
      <c r="I34" s="21" t="s">
        <v>148</v>
      </c>
      <c r="J34" s="21" t="s">
        <v>170</v>
      </c>
    </row>
    <row r="35" spans="1:10" ht="19.5" customHeight="1" x14ac:dyDescent="0.35">
      <c r="A35" s="23" t="s">
        <v>142</v>
      </c>
      <c r="B35" s="23" t="s">
        <v>44</v>
      </c>
      <c r="C35" s="23" t="s">
        <v>109</v>
      </c>
      <c r="D35" s="24">
        <v>1</v>
      </c>
      <c r="E35" s="23" t="s">
        <v>171</v>
      </c>
      <c r="F35" s="23" t="s">
        <v>157</v>
      </c>
      <c r="G35" s="23" t="s">
        <v>158</v>
      </c>
      <c r="H35" s="23" t="s">
        <v>152</v>
      </c>
      <c r="I35" s="23" t="s">
        <v>148</v>
      </c>
      <c r="J35" s="23" t="s">
        <v>159</v>
      </c>
    </row>
    <row r="36" spans="1:10" ht="19.5" customHeight="1" x14ac:dyDescent="0.35">
      <c r="A36" s="21" t="s">
        <v>142</v>
      </c>
      <c r="B36" s="21" t="s">
        <v>44</v>
      </c>
      <c r="C36" s="21" t="s">
        <v>109</v>
      </c>
      <c r="D36" s="22">
        <v>1</v>
      </c>
      <c r="E36" s="21" t="s">
        <v>172</v>
      </c>
      <c r="F36" s="21" t="s">
        <v>151</v>
      </c>
      <c r="G36" s="21" t="s">
        <v>146</v>
      </c>
      <c r="H36" s="21" t="s">
        <v>152</v>
      </c>
      <c r="I36" s="21" t="s">
        <v>148</v>
      </c>
      <c r="J36" s="21" t="s">
        <v>173</v>
      </c>
    </row>
    <row r="37" spans="1:10" ht="19.5" customHeight="1" x14ac:dyDescent="0.35">
      <c r="A37" s="23" t="s">
        <v>142</v>
      </c>
      <c r="B37" s="23" t="s">
        <v>44</v>
      </c>
      <c r="C37" s="23" t="s">
        <v>109</v>
      </c>
      <c r="D37" s="24">
        <v>1</v>
      </c>
      <c r="E37" s="23" t="s">
        <v>174</v>
      </c>
      <c r="F37" s="23" t="s">
        <v>157</v>
      </c>
      <c r="G37" s="23" t="s">
        <v>158</v>
      </c>
      <c r="H37" s="23" t="s">
        <v>152</v>
      </c>
      <c r="I37" s="23" t="s">
        <v>148</v>
      </c>
      <c r="J37" s="23" t="s">
        <v>159</v>
      </c>
    </row>
    <row r="38" spans="1:10" ht="19.5" customHeight="1" x14ac:dyDescent="0.35">
      <c r="A38" s="21" t="s">
        <v>142</v>
      </c>
      <c r="B38" s="21" t="s">
        <v>44</v>
      </c>
      <c r="C38" s="21" t="s">
        <v>109</v>
      </c>
      <c r="D38" s="22">
        <v>1</v>
      </c>
      <c r="E38" s="21" t="s">
        <v>175</v>
      </c>
      <c r="F38" s="21" t="s">
        <v>151</v>
      </c>
      <c r="G38" s="21" t="s">
        <v>146</v>
      </c>
      <c r="H38" s="21" t="s">
        <v>152</v>
      </c>
      <c r="I38" s="21" t="s">
        <v>148</v>
      </c>
      <c r="J38" s="21" t="s">
        <v>176</v>
      </c>
    </row>
    <row r="39" spans="1:10" ht="19.5" customHeight="1" x14ac:dyDescent="0.35">
      <c r="A39" s="21" t="s">
        <v>142</v>
      </c>
      <c r="B39" s="21" t="s">
        <v>44</v>
      </c>
      <c r="C39" s="21" t="s">
        <v>109</v>
      </c>
      <c r="D39" s="22">
        <v>1</v>
      </c>
      <c r="E39" s="21" t="s">
        <v>177</v>
      </c>
      <c r="F39" s="21" t="s">
        <v>151</v>
      </c>
      <c r="G39" s="21" t="s">
        <v>146</v>
      </c>
      <c r="H39" s="21" t="s">
        <v>152</v>
      </c>
      <c r="I39" s="21" t="s">
        <v>148</v>
      </c>
      <c r="J39" s="21" t="s">
        <v>178</v>
      </c>
    </row>
    <row r="40" spans="1:10" ht="19.5" customHeight="1" x14ac:dyDescent="0.35">
      <c r="A40" s="21" t="s">
        <v>142</v>
      </c>
      <c r="B40" s="21" t="s">
        <v>44</v>
      </c>
      <c r="C40" s="21" t="s">
        <v>109</v>
      </c>
      <c r="D40" s="22">
        <v>1</v>
      </c>
      <c r="E40" s="21" t="s">
        <v>179</v>
      </c>
      <c r="F40" s="21" t="s">
        <v>151</v>
      </c>
      <c r="G40" s="21" t="s">
        <v>146</v>
      </c>
      <c r="H40" s="21" t="s">
        <v>152</v>
      </c>
      <c r="I40" s="21" t="s">
        <v>148</v>
      </c>
      <c r="J40" s="21" t="s">
        <v>180</v>
      </c>
    </row>
    <row r="41" spans="1:10" ht="19.5" customHeight="1" x14ac:dyDescent="0.35">
      <c r="A41" s="21" t="s">
        <v>142</v>
      </c>
      <c r="B41" s="21" t="s">
        <v>44</v>
      </c>
      <c r="C41" s="21" t="s">
        <v>109</v>
      </c>
      <c r="D41" s="22">
        <v>1</v>
      </c>
      <c r="E41" s="21" t="s">
        <v>181</v>
      </c>
      <c r="F41" s="21" t="s">
        <v>151</v>
      </c>
      <c r="G41" s="21" t="s">
        <v>146</v>
      </c>
      <c r="H41" s="21" t="s">
        <v>152</v>
      </c>
      <c r="I41" s="21" t="s">
        <v>148</v>
      </c>
      <c r="J41" s="21" t="s">
        <v>182</v>
      </c>
    </row>
    <row r="42" spans="1:10" ht="19.5" customHeight="1" x14ac:dyDescent="0.35">
      <c r="A42" s="21" t="s">
        <v>142</v>
      </c>
      <c r="B42" s="21" t="s">
        <v>44</v>
      </c>
      <c r="C42" s="21" t="s">
        <v>109</v>
      </c>
      <c r="D42" s="22">
        <v>1</v>
      </c>
      <c r="E42" s="21" t="s">
        <v>183</v>
      </c>
      <c r="F42" s="21" t="s">
        <v>151</v>
      </c>
      <c r="G42" s="21" t="s">
        <v>146</v>
      </c>
      <c r="H42" s="21" t="s">
        <v>152</v>
      </c>
      <c r="I42" s="21" t="s">
        <v>148</v>
      </c>
      <c r="J42" s="21" t="s">
        <v>184</v>
      </c>
    </row>
    <row r="43" spans="1:10" ht="19.5" customHeight="1" x14ac:dyDescent="0.35">
      <c r="A43" s="21" t="s">
        <v>142</v>
      </c>
      <c r="B43" s="21" t="s">
        <v>44</v>
      </c>
      <c r="C43" s="21" t="s">
        <v>109</v>
      </c>
      <c r="D43" s="22">
        <v>1</v>
      </c>
      <c r="E43" s="21" t="s">
        <v>185</v>
      </c>
      <c r="F43" s="21" t="s">
        <v>151</v>
      </c>
      <c r="G43" s="21" t="s">
        <v>146</v>
      </c>
      <c r="H43" s="21" t="s">
        <v>152</v>
      </c>
      <c r="I43" s="21" t="s">
        <v>148</v>
      </c>
      <c r="J43" s="21" t="s">
        <v>186</v>
      </c>
    </row>
    <row r="44" spans="1:10" ht="19.5" customHeight="1" x14ac:dyDescent="0.35">
      <c r="A44" s="23" t="s">
        <v>142</v>
      </c>
      <c r="B44" s="23" t="s">
        <v>44</v>
      </c>
      <c r="C44" s="23" t="s">
        <v>109</v>
      </c>
      <c r="D44" s="24">
        <v>1</v>
      </c>
      <c r="E44" s="23" t="s">
        <v>187</v>
      </c>
      <c r="F44" s="23" t="s">
        <v>157</v>
      </c>
      <c r="G44" s="23" t="s">
        <v>158</v>
      </c>
      <c r="H44" s="23" t="s">
        <v>152</v>
      </c>
      <c r="I44" s="23" t="s">
        <v>148</v>
      </c>
      <c r="J44" s="23" t="s">
        <v>188</v>
      </c>
    </row>
    <row r="45" spans="1:10" ht="19.5" customHeight="1" x14ac:dyDescent="0.35">
      <c r="A45" s="21" t="s">
        <v>142</v>
      </c>
      <c r="B45" s="21" t="s">
        <v>44</v>
      </c>
      <c r="C45" s="21" t="s">
        <v>109</v>
      </c>
      <c r="D45" s="22">
        <v>1</v>
      </c>
      <c r="E45" s="21" t="s">
        <v>189</v>
      </c>
      <c r="F45" s="21" t="s">
        <v>151</v>
      </c>
      <c r="G45" s="21" t="s">
        <v>146</v>
      </c>
      <c r="H45" s="21" t="s">
        <v>152</v>
      </c>
      <c r="I45" s="21" t="s">
        <v>148</v>
      </c>
      <c r="J45" s="21" t="s">
        <v>190</v>
      </c>
    </row>
    <row r="46" spans="1:10" ht="19.5" customHeight="1" x14ac:dyDescent="0.35">
      <c r="A46" s="21" t="s">
        <v>142</v>
      </c>
      <c r="B46" s="21" t="s">
        <v>143</v>
      </c>
      <c r="C46" s="21" t="s">
        <v>109</v>
      </c>
      <c r="D46" s="22">
        <v>1</v>
      </c>
      <c r="E46" s="21" t="s">
        <v>191</v>
      </c>
      <c r="F46" s="21" t="s">
        <v>145</v>
      </c>
      <c r="G46" s="21" t="s">
        <v>146</v>
      </c>
      <c r="H46" s="21" t="s">
        <v>147</v>
      </c>
      <c r="I46" s="21" t="s">
        <v>148</v>
      </c>
      <c r="J46" s="21" t="s">
        <v>192</v>
      </c>
    </row>
    <row r="47" spans="1:10" ht="19.5" customHeight="1" x14ac:dyDescent="0.35">
      <c r="A47" s="21" t="s">
        <v>142</v>
      </c>
      <c r="B47" s="21" t="s">
        <v>143</v>
      </c>
      <c r="C47" s="21" t="s">
        <v>109</v>
      </c>
      <c r="D47" s="22">
        <v>1</v>
      </c>
      <c r="E47" s="21" t="s">
        <v>193</v>
      </c>
      <c r="F47" s="21" t="s">
        <v>145</v>
      </c>
      <c r="G47" s="21" t="s">
        <v>146</v>
      </c>
      <c r="H47" s="21" t="s">
        <v>147</v>
      </c>
      <c r="I47" s="21" t="s">
        <v>148</v>
      </c>
      <c r="J47" s="21" t="s">
        <v>194</v>
      </c>
    </row>
    <row r="48" spans="1:10" ht="19.5" customHeight="1" x14ac:dyDescent="0.35">
      <c r="A48" s="21" t="s">
        <v>142</v>
      </c>
      <c r="B48" s="21" t="s">
        <v>143</v>
      </c>
      <c r="C48" s="21" t="s">
        <v>109</v>
      </c>
      <c r="D48" s="22">
        <v>1</v>
      </c>
      <c r="E48" s="21" t="s">
        <v>195</v>
      </c>
      <c r="F48" s="21" t="s">
        <v>145</v>
      </c>
      <c r="G48" s="21" t="s">
        <v>146</v>
      </c>
      <c r="H48" s="21" t="s">
        <v>147</v>
      </c>
      <c r="I48" s="21" t="s">
        <v>148</v>
      </c>
      <c r="J48" s="21" t="s">
        <v>192</v>
      </c>
    </row>
    <row r="49" spans="1:10" ht="19.5" customHeight="1" x14ac:dyDescent="0.35">
      <c r="A49" s="21" t="s">
        <v>142</v>
      </c>
      <c r="B49" s="21" t="s">
        <v>143</v>
      </c>
      <c r="C49" s="21" t="s">
        <v>109</v>
      </c>
      <c r="D49" s="22">
        <v>1</v>
      </c>
      <c r="E49" s="21" t="s">
        <v>196</v>
      </c>
      <c r="F49" s="21" t="s">
        <v>145</v>
      </c>
      <c r="G49" s="21" t="s">
        <v>146</v>
      </c>
      <c r="H49" s="21" t="s">
        <v>147</v>
      </c>
      <c r="I49" s="21" t="s">
        <v>148</v>
      </c>
      <c r="J49" s="21" t="s">
        <v>197</v>
      </c>
    </row>
    <row r="50" spans="1:10" ht="19.5" customHeight="1" x14ac:dyDescent="0.35">
      <c r="A50" s="21" t="s">
        <v>142</v>
      </c>
      <c r="B50" s="21" t="s">
        <v>143</v>
      </c>
      <c r="C50" s="21" t="s">
        <v>109</v>
      </c>
      <c r="D50" s="22">
        <v>1</v>
      </c>
      <c r="E50" s="21" t="s">
        <v>198</v>
      </c>
      <c r="F50" s="21" t="s">
        <v>145</v>
      </c>
      <c r="G50" s="21" t="s">
        <v>146</v>
      </c>
      <c r="H50" s="21" t="s">
        <v>147</v>
      </c>
      <c r="I50" s="21" t="s">
        <v>148</v>
      </c>
      <c r="J50" s="21" t="s">
        <v>199</v>
      </c>
    </row>
    <row r="51" spans="1:10" ht="19.5" customHeight="1" x14ac:dyDescent="0.35">
      <c r="A51" s="21" t="s">
        <v>142</v>
      </c>
      <c r="B51" s="21" t="s">
        <v>143</v>
      </c>
      <c r="C51" s="21" t="s">
        <v>109</v>
      </c>
      <c r="D51" s="22">
        <v>1</v>
      </c>
      <c r="E51" s="21" t="s">
        <v>200</v>
      </c>
      <c r="F51" s="21" t="s">
        <v>145</v>
      </c>
      <c r="G51" s="21" t="s">
        <v>146</v>
      </c>
      <c r="H51" s="21" t="s">
        <v>147</v>
      </c>
      <c r="I51" s="21" t="s">
        <v>148</v>
      </c>
      <c r="J51" s="21" t="s">
        <v>201</v>
      </c>
    </row>
    <row r="52" spans="1:10" ht="19.5" customHeight="1" x14ac:dyDescent="0.35">
      <c r="A52" s="21" t="s">
        <v>142</v>
      </c>
      <c r="B52" s="21" t="s">
        <v>143</v>
      </c>
      <c r="C52" s="21" t="s">
        <v>109</v>
      </c>
      <c r="D52" s="22">
        <v>1</v>
      </c>
      <c r="E52" s="21" t="s">
        <v>202</v>
      </c>
      <c r="F52" s="21" t="s">
        <v>145</v>
      </c>
      <c r="G52" s="21" t="s">
        <v>146</v>
      </c>
      <c r="H52" s="21" t="s">
        <v>147</v>
      </c>
      <c r="I52" s="21" t="s">
        <v>148</v>
      </c>
      <c r="J52" s="21" t="s">
        <v>203</v>
      </c>
    </row>
    <row r="53" spans="1:10" ht="19.5" customHeight="1" x14ac:dyDescent="0.35">
      <c r="A53" s="21" t="s">
        <v>142</v>
      </c>
      <c r="B53" s="21" t="s">
        <v>143</v>
      </c>
      <c r="C53" s="21" t="s">
        <v>109</v>
      </c>
      <c r="D53" s="22">
        <v>1</v>
      </c>
      <c r="E53" s="21" t="s">
        <v>204</v>
      </c>
      <c r="F53" s="21" t="s">
        <v>145</v>
      </c>
      <c r="G53" s="21" t="s">
        <v>146</v>
      </c>
      <c r="H53" s="21" t="s">
        <v>147</v>
      </c>
      <c r="I53" s="21" t="s">
        <v>148</v>
      </c>
      <c r="J53" s="21" t="s">
        <v>205</v>
      </c>
    </row>
    <row r="54" spans="1:10" ht="19.5" customHeight="1" x14ac:dyDescent="0.35">
      <c r="A54" s="21" t="s">
        <v>142</v>
      </c>
      <c r="B54" s="21" t="s">
        <v>143</v>
      </c>
      <c r="C54" s="21" t="s">
        <v>109</v>
      </c>
      <c r="D54" s="22">
        <v>1</v>
      </c>
      <c r="E54" s="21" t="s">
        <v>206</v>
      </c>
      <c r="F54" s="21" t="s">
        <v>145</v>
      </c>
      <c r="G54" s="21" t="s">
        <v>146</v>
      </c>
      <c r="H54" s="21" t="s">
        <v>147</v>
      </c>
      <c r="I54" s="21" t="s">
        <v>148</v>
      </c>
      <c r="J54" s="21" t="s">
        <v>207</v>
      </c>
    </row>
    <row r="55" spans="1:10" ht="19.5" customHeight="1" x14ac:dyDescent="0.35">
      <c r="A55" s="21" t="s">
        <v>142</v>
      </c>
      <c r="B55" s="21" t="s">
        <v>143</v>
      </c>
      <c r="C55" s="21" t="s">
        <v>109</v>
      </c>
      <c r="D55" s="22">
        <v>1</v>
      </c>
      <c r="E55" s="21" t="s">
        <v>208</v>
      </c>
      <c r="F55" s="21" t="s">
        <v>145</v>
      </c>
      <c r="G55" s="21" t="s">
        <v>146</v>
      </c>
      <c r="H55" s="21" t="s">
        <v>147</v>
      </c>
      <c r="I55" s="21" t="s">
        <v>148</v>
      </c>
      <c r="J55" s="21" t="s">
        <v>209</v>
      </c>
    </row>
    <row r="56" spans="1:10" ht="19.5" customHeight="1" x14ac:dyDescent="0.35">
      <c r="A56" s="21" t="s">
        <v>142</v>
      </c>
      <c r="B56" s="21" t="s">
        <v>143</v>
      </c>
      <c r="C56" s="21" t="s">
        <v>109</v>
      </c>
      <c r="D56" s="22">
        <v>1</v>
      </c>
      <c r="E56" s="21" t="s">
        <v>210</v>
      </c>
      <c r="F56" s="21" t="s">
        <v>145</v>
      </c>
      <c r="G56" s="21" t="s">
        <v>146</v>
      </c>
      <c r="H56" s="21" t="s">
        <v>147</v>
      </c>
      <c r="I56" s="21" t="s">
        <v>148</v>
      </c>
      <c r="J56" s="21" t="s">
        <v>211</v>
      </c>
    </row>
    <row r="57" spans="1:10" ht="19.5" customHeight="1" x14ac:dyDescent="0.35">
      <c r="A57" s="21" t="s">
        <v>142</v>
      </c>
      <c r="B57" s="21" t="s">
        <v>143</v>
      </c>
      <c r="C57" s="21" t="s">
        <v>109</v>
      </c>
      <c r="D57" s="22">
        <v>1</v>
      </c>
      <c r="E57" s="21" t="s">
        <v>212</v>
      </c>
      <c r="F57" s="21" t="s">
        <v>145</v>
      </c>
      <c r="G57" s="21" t="s">
        <v>146</v>
      </c>
      <c r="H57" s="21" t="s">
        <v>147</v>
      </c>
      <c r="I57" s="21" t="s">
        <v>148</v>
      </c>
      <c r="J57" s="21" t="s">
        <v>213</v>
      </c>
    </row>
    <row r="58" spans="1:10" ht="19.5" customHeight="1" x14ac:dyDescent="0.35">
      <c r="A58" s="21" t="s">
        <v>142</v>
      </c>
      <c r="B58" s="21" t="s">
        <v>143</v>
      </c>
      <c r="C58" s="21" t="s">
        <v>109</v>
      </c>
      <c r="D58" s="22">
        <v>1</v>
      </c>
      <c r="E58" s="21" t="s">
        <v>214</v>
      </c>
      <c r="F58" s="21" t="s">
        <v>145</v>
      </c>
      <c r="G58" s="21" t="s">
        <v>146</v>
      </c>
      <c r="H58" s="21" t="s">
        <v>147</v>
      </c>
      <c r="I58" s="21" t="s">
        <v>148</v>
      </c>
      <c r="J58" s="21" t="s">
        <v>215</v>
      </c>
    </row>
    <row r="59" spans="1:10" ht="19.5" customHeight="1" x14ac:dyDescent="0.35">
      <c r="A59" s="21" t="s">
        <v>142</v>
      </c>
      <c r="B59" s="21" t="s">
        <v>143</v>
      </c>
      <c r="C59" s="21" t="s">
        <v>109</v>
      </c>
      <c r="D59" s="22">
        <v>1</v>
      </c>
      <c r="E59" s="21" t="s">
        <v>216</v>
      </c>
      <c r="F59" s="21" t="s">
        <v>145</v>
      </c>
      <c r="G59" s="21" t="s">
        <v>146</v>
      </c>
      <c r="H59" s="21" t="s">
        <v>147</v>
      </c>
      <c r="I59" s="21" t="s">
        <v>148</v>
      </c>
      <c r="J59" s="21" t="s">
        <v>217</v>
      </c>
    </row>
    <row r="60" spans="1:10" ht="19.5" customHeight="1" x14ac:dyDescent="0.35">
      <c r="A60" s="21" t="s">
        <v>142</v>
      </c>
      <c r="B60" s="21" t="s">
        <v>143</v>
      </c>
      <c r="C60" s="21" t="s">
        <v>109</v>
      </c>
      <c r="D60" s="22">
        <v>1</v>
      </c>
      <c r="E60" s="21" t="s">
        <v>218</v>
      </c>
      <c r="F60" s="21" t="s">
        <v>145</v>
      </c>
      <c r="G60" s="21" t="s">
        <v>146</v>
      </c>
      <c r="H60" s="21" t="s">
        <v>147</v>
      </c>
      <c r="I60" s="21" t="s">
        <v>148</v>
      </c>
      <c r="J60" s="21" t="s">
        <v>219</v>
      </c>
    </row>
    <row r="61" spans="1:10" ht="19.5" customHeight="1" x14ac:dyDescent="0.35">
      <c r="A61" s="21" t="s">
        <v>142</v>
      </c>
      <c r="B61" s="21" t="s">
        <v>143</v>
      </c>
      <c r="C61" s="21" t="s">
        <v>109</v>
      </c>
      <c r="D61" s="22">
        <v>1</v>
      </c>
      <c r="E61" s="21" t="s">
        <v>220</v>
      </c>
      <c r="F61" s="21" t="s">
        <v>145</v>
      </c>
      <c r="G61" s="21" t="s">
        <v>146</v>
      </c>
      <c r="H61" s="21" t="s">
        <v>147</v>
      </c>
      <c r="I61" s="21" t="s">
        <v>148</v>
      </c>
      <c r="J61" s="21" t="s">
        <v>221</v>
      </c>
    </row>
    <row r="62" spans="1:10" ht="19.5" customHeight="1" x14ac:dyDescent="0.35">
      <c r="A62" s="21" t="s">
        <v>142</v>
      </c>
      <c r="B62" s="21" t="s">
        <v>143</v>
      </c>
      <c r="C62" s="21" t="s">
        <v>109</v>
      </c>
      <c r="D62" s="22">
        <v>1</v>
      </c>
      <c r="E62" s="21" t="s">
        <v>222</v>
      </c>
      <c r="F62" s="21" t="s">
        <v>145</v>
      </c>
      <c r="G62" s="21" t="s">
        <v>146</v>
      </c>
      <c r="H62" s="21" t="s">
        <v>147</v>
      </c>
      <c r="I62" s="21" t="s">
        <v>148</v>
      </c>
      <c r="J62" s="21" t="s">
        <v>223</v>
      </c>
    </row>
    <row r="63" spans="1:10" ht="19.5" customHeight="1" x14ac:dyDescent="0.35">
      <c r="A63" s="21" t="s">
        <v>142</v>
      </c>
      <c r="B63" s="21" t="s">
        <v>143</v>
      </c>
      <c r="C63" s="21" t="s">
        <v>109</v>
      </c>
      <c r="D63" s="22">
        <v>1</v>
      </c>
      <c r="E63" s="21" t="s">
        <v>224</v>
      </c>
      <c r="F63" s="21" t="s">
        <v>145</v>
      </c>
      <c r="G63" s="21" t="s">
        <v>146</v>
      </c>
      <c r="H63" s="21" t="s">
        <v>147</v>
      </c>
      <c r="I63" s="21" t="s">
        <v>148</v>
      </c>
      <c r="J63" s="21" t="s">
        <v>225</v>
      </c>
    </row>
    <row r="64" spans="1:10" ht="19.5" customHeight="1" x14ac:dyDescent="0.35">
      <c r="A64" s="21" t="s">
        <v>142</v>
      </c>
      <c r="B64" s="21" t="s">
        <v>143</v>
      </c>
      <c r="C64" s="21" t="s">
        <v>109</v>
      </c>
      <c r="D64" s="22">
        <v>1</v>
      </c>
      <c r="E64" s="21" t="s">
        <v>226</v>
      </c>
      <c r="F64" s="21" t="s">
        <v>145</v>
      </c>
      <c r="G64" s="21" t="s">
        <v>146</v>
      </c>
      <c r="H64" s="21" t="s">
        <v>147</v>
      </c>
      <c r="I64" s="21" t="s">
        <v>148</v>
      </c>
      <c r="J64" s="21" t="s">
        <v>227</v>
      </c>
    </row>
    <row r="65" spans="1:10" ht="19.5" customHeight="1" x14ac:dyDescent="0.35">
      <c r="A65" s="21" t="s">
        <v>142</v>
      </c>
      <c r="B65" s="21" t="s">
        <v>143</v>
      </c>
      <c r="C65" s="21" t="s">
        <v>109</v>
      </c>
      <c r="D65" s="22">
        <v>1</v>
      </c>
      <c r="E65" s="21" t="s">
        <v>228</v>
      </c>
      <c r="F65" s="21" t="s">
        <v>145</v>
      </c>
      <c r="G65" s="21" t="s">
        <v>146</v>
      </c>
      <c r="H65" s="21" t="s">
        <v>147</v>
      </c>
      <c r="I65" s="21" t="s">
        <v>148</v>
      </c>
      <c r="J65" s="21" t="s">
        <v>229</v>
      </c>
    </row>
    <row r="66" spans="1:10" ht="19.5" customHeight="1" x14ac:dyDescent="0.35">
      <c r="A66" s="21" t="s">
        <v>142</v>
      </c>
      <c r="B66" s="21" t="s">
        <v>143</v>
      </c>
      <c r="C66" s="21" t="s">
        <v>109</v>
      </c>
      <c r="D66" s="22">
        <v>1</v>
      </c>
      <c r="E66" s="21" t="s">
        <v>230</v>
      </c>
      <c r="F66" s="21" t="s">
        <v>145</v>
      </c>
      <c r="G66" s="21" t="s">
        <v>146</v>
      </c>
      <c r="H66" s="21" t="s">
        <v>147</v>
      </c>
      <c r="I66" s="21" t="s">
        <v>148</v>
      </c>
      <c r="J66" s="21" t="s">
        <v>231</v>
      </c>
    </row>
    <row r="67" spans="1:10" ht="19.5" customHeight="1" x14ac:dyDescent="0.35">
      <c r="A67" s="21" t="s">
        <v>142</v>
      </c>
      <c r="B67" s="21" t="s">
        <v>143</v>
      </c>
      <c r="C67" s="21" t="s">
        <v>109</v>
      </c>
      <c r="D67" s="22">
        <v>1</v>
      </c>
      <c r="E67" s="21" t="s">
        <v>232</v>
      </c>
      <c r="F67" s="21" t="s">
        <v>145</v>
      </c>
      <c r="G67" s="21" t="s">
        <v>146</v>
      </c>
      <c r="H67" s="21" t="s">
        <v>147</v>
      </c>
      <c r="I67" s="21" t="s">
        <v>148</v>
      </c>
      <c r="J67" s="21" t="s">
        <v>233</v>
      </c>
    </row>
    <row r="68" spans="1:10" ht="19.5" customHeight="1" x14ac:dyDescent="0.35">
      <c r="A68" s="21" t="s">
        <v>142</v>
      </c>
      <c r="B68" s="21" t="s">
        <v>143</v>
      </c>
      <c r="C68" s="21" t="s">
        <v>109</v>
      </c>
      <c r="D68" s="22">
        <v>1</v>
      </c>
      <c r="E68" s="21" t="s">
        <v>234</v>
      </c>
      <c r="F68" s="21" t="s">
        <v>145</v>
      </c>
      <c r="G68" s="21" t="s">
        <v>146</v>
      </c>
      <c r="H68" s="21" t="s">
        <v>147</v>
      </c>
      <c r="I68" s="21" t="s">
        <v>148</v>
      </c>
      <c r="J68" s="21" t="s">
        <v>235</v>
      </c>
    </row>
    <row r="69" spans="1:10" ht="19.5" customHeight="1" x14ac:dyDescent="0.35">
      <c r="A69" s="21" t="s">
        <v>142</v>
      </c>
      <c r="B69" s="21" t="s">
        <v>143</v>
      </c>
      <c r="C69" s="21" t="s">
        <v>109</v>
      </c>
      <c r="D69" s="22">
        <v>1</v>
      </c>
      <c r="E69" s="21" t="s">
        <v>236</v>
      </c>
      <c r="F69" s="21" t="s">
        <v>145</v>
      </c>
      <c r="G69" s="21" t="s">
        <v>146</v>
      </c>
      <c r="H69" s="21" t="s">
        <v>147</v>
      </c>
      <c r="I69" s="21" t="s">
        <v>148</v>
      </c>
      <c r="J69" s="21" t="s">
        <v>237</v>
      </c>
    </row>
    <row r="70" spans="1:10" ht="19.5" customHeight="1" x14ac:dyDescent="0.35">
      <c r="A70" s="21" t="s">
        <v>142</v>
      </c>
      <c r="B70" s="21" t="s">
        <v>143</v>
      </c>
      <c r="C70" s="21" t="s">
        <v>109</v>
      </c>
      <c r="D70" s="22">
        <v>1</v>
      </c>
      <c r="E70" s="21" t="s">
        <v>238</v>
      </c>
      <c r="F70" s="21" t="s">
        <v>145</v>
      </c>
      <c r="G70" s="21" t="s">
        <v>146</v>
      </c>
      <c r="H70" s="21" t="s">
        <v>147</v>
      </c>
      <c r="I70" s="21" t="s">
        <v>148</v>
      </c>
      <c r="J70" s="21" t="s">
        <v>239</v>
      </c>
    </row>
    <row r="71" spans="1:10" ht="19.5" customHeight="1" x14ac:dyDescent="0.35">
      <c r="A71" s="21" t="s">
        <v>142</v>
      </c>
      <c r="B71" s="21" t="s">
        <v>143</v>
      </c>
      <c r="C71" s="21" t="s">
        <v>109</v>
      </c>
      <c r="D71" s="22">
        <v>1</v>
      </c>
      <c r="E71" s="21" t="s">
        <v>240</v>
      </c>
      <c r="F71" s="21" t="s">
        <v>145</v>
      </c>
      <c r="G71" s="21" t="s">
        <v>146</v>
      </c>
      <c r="H71" s="21" t="s">
        <v>147</v>
      </c>
      <c r="I71" s="21" t="s">
        <v>148</v>
      </c>
      <c r="J71" s="21" t="s">
        <v>241</v>
      </c>
    </row>
    <row r="72" spans="1:10" ht="19.5" customHeight="1" x14ac:dyDescent="0.35">
      <c r="A72" s="21" t="s">
        <v>142</v>
      </c>
      <c r="B72" s="21" t="s">
        <v>143</v>
      </c>
      <c r="C72" s="21" t="s">
        <v>109</v>
      </c>
      <c r="D72" s="22">
        <v>1</v>
      </c>
      <c r="E72" s="21" t="s">
        <v>242</v>
      </c>
      <c r="F72" s="21" t="s">
        <v>145</v>
      </c>
      <c r="G72" s="21" t="s">
        <v>146</v>
      </c>
      <c r="H72" s="21" t="s">
        <v>147</v>
      </c>
      <c r="I72" s="21" t="s">
        <v>148</v>
      </c>
      <c r="J72" s="21" t="s">
        <v>243</v>
      </c>
    </row>
    <row r="73" spans="1:10" ht="19.5" customHeight="1" x14ac:dyDescent="0.35">
      <c r="A73" s="21" t="s">
        <v>142</v>
      </c>
      <c r="B73" s="21" t="s">
        <v>143</v>
      </c>
      <c r="C73" s="21" t="s">
        <v>109</v>
      </c>
      <c r="D73" s="22">
        <v>1</v>
      </c>
      <c r="E73" s="21" t="s">
        <v>244</v>
      </c>
      <c r="F73" s="21" t="s">
        <v>145</v>
      </c>
      <c r="G73" s="21" t="s">
        <v>146</v>
      </c>
      <c r="H73" s="21" t="s">
        <v>147</v>
      </c>
      <c r="I73" s="21" t="s">
        <v>148</v>
      </c>
      <c r="J73" s="21" t="s">
        <v>221</v>
      </c>
    </row>
    <row r="74" spans="1:10" ht="19.5" customHeight="1" x14ac:dyDescent="0.35">
      <c r="A74" s="21" t="s">
        <v>142</v>
      </c>
      <c r="B74" s="21" t="s">
        <v>143</v>
      </c>
      <c r="C74" s="21" t="s">
        <v>109</v>
      </c>
      <c r="D74" s="22">
        <v>1</v>
      </c>
      <c r="E74" s="21" t="s">
        <v>245</v>
      </c>
      <c r="F74" s="21" t="s">
        <v>145</v>
      </c>
      <c r="G74" s="21" t="s">
        <v>146</v>
      </c>
      <c r="H74" s="21" t="s">
        <v>147</v>
      </c>
      <c r="I74" s="21" t="s">
        <v>148</v>
      </c>
      <c r="J74" s="21" t="s">
        <v>246</v>
      </c>
    </row>
    <row r="75" spans="1:10" ht="19.5" customHeight="1" x14ac:dyDescent="0.35">
      <c r="A75" s="21" t="s">
        <v>142</v>
      </c>
      <c r="B75" s="21" t="s">
        <v>143</v>
      </c>
      <c r="C75" s="21" t="s">
        <v>109</v>
      </c>
      <c r="D75" s="22">
        <v>1</v>
      </c>
      <c r="E75" s="21" t="s">
        <v>247</v>
      </c>
      <c r="F75" s="21" t="s">
        <v>145</v>
      </c>
      <c r="G75" s="21" t="s">
        <v>146</v>
      </c>
      <c r="H75" s="21" t="s">
        <v>147</v>
      </c>
      <c r="I75" s="21" t="s">
        <v>148</v>
      </c>
      <c r="J75" s="21" t="s">
        <v>248</v>
      </c>
    </row>
    <row r="76" spans="1:10" ht="19.5" customHeight="1" x14ac:dyDescent="0.35">
      <c r="A76" s="21" t="s">
        <v>142</v>
      </c>
      <c r="B76" s="21" t="s">
        <v>143</v>
      </c>
      <c r="C76" s="21" t="s">
        <v>109</v>
      </c>
      <c r="D76" s="22">
        <v>1</v>
      </c>
      <c r="E76" s="21" t="s">
        <v>249</v>
      </c>
      <c r="F76" s="21" t="s">
        <v>145</v>
      </c>
      <c r="G76" s="21" t="s">
        <v>146</v>
      </c>
      <c r="H76" s="21" t="s">
        <v>147</v>
      </c>
      <c r="I76" s="21" t="s">
        <v>148</v>
      </c>
      <c r="J76" s="21" t="s">
        <v>250</v>
      </c>
    </row>
    <row r="77" spans="1:10" ht="19.5" customHeight="1" x14ac:dyDescent="0.35">
      <c r="A77" s="21" t="s">
        <v>142</v>
      </c>
      <c r="B77" s="21" t="s">
        <v>143</v>
      </c>
      <c r="C77" s="21" t="s">
        <v>109</v>
      </c>
      <c r="D77" s="22">
        <v>1</v>
      </c>
      <c r="E77" s="21" t="s">
        <v>251</v>
      </c>
      <c r="F77" s="21" t="s">
        <v>145</v>
      </c>
      <c r="G77" s="21" t="s">
        <v>146</v>
      </c>
      <c r="H77" s="21" t="s">
        <v>147</v>
      </c>
      <c r="I77" s="21" t="s">
        <v>148</v>
      </c>
      <c r="J77" s="21" t="s">
        <v>252</v>
      </c>
    </row>
    <row r="78" spans="1:10" ht="19.5" customHeight="1" x14ac:dyDescent="0.35">
      <c r="A78" s="21" t="s">
        <v>142</v>
      </c>
      <c r="B78" s="21" t="s">
        <v>143</v>
      </c>
      <c r="C78" s="21" t="s">
        <v>109</v>
      </c>
      <c r="D78" s="22">
        <v>1</v>
      </c>
      <c r="E78" s="21" t="s">
        <v>253</v>
      </c>
      <c r="F78" s="21" t="s">
        <v>145</v>
      </c>
      <c r="G78" s="21" t="s">
        <v>146</v>
      </c>
      <c r="H78" s="21" t="s">
        <v>147</v>
      </c>
      <c r="I78" s="21" t="s">
        <v>148</v>
      </c>
      <c r="J78" s="21" t="s">
        <v>254</v>
      </c>
    </row>
    <row r="79" spans="1:10" ht="19.5" customHeight="1" x14ac:dyDescent="0.35">
      <c r="A79" s="21" t="s">
        <v>142</v>
      </c>
      <c r="B79" s="21" t="s">
        <v>143</v>
      </c>
      <c r="C79" s="21" t="s">
        <v>109</v>
      </c>
      <c r="D79" s="22">
        <v>1</v>
      </c>
      <c r="E79" s="21" t="s">
        <v>255</v>
      </c>
      <c r="F79" s="21" t="s">
        <v>145</v>
      </c>
      <c r="G79" s="21" t="s">
        <v>146</v>
      </c>
      <c r="H79" s="21" t="s">
        <v>147</v>
      </c>
      <c r="I79" s="21" t="s">
        <v>148</v>
      </c>
      <c r="J79" s="21" t="s">
        <v>256</v>
      </c>
    </row>
    <row r="80" spans="1:10" ht="19.5" customHeight="1" x14ac:dyDescent="0.35">
      <c r="A80" s="23" t="s">
        <v>142</v>
      </c>
      <c r="B80" s="23" t="s">
        <v>143</v>
      </c>
      <c r="C80" s="23" t="s">
        <v>109</v>
      </c>
      <c r="D80" s="24">
        <v>1</v>
      </c>
      <c r="E80" s="23" t="s">
        <v>257</v>
      </c>
      <c r="F80" s="23" t="s">
        <v>258</v>
      </c>
      <c r="G80" s="23" t="s">
        <v>259</v>
      </c>
      <c r="H80" s="23" t="s">
        <v>147</v>
      </c>
      <c r="I80" s="23" t="s">
        <v>148</v>
      </c>
      <c r="J80" s="23" t="s">
        <v>260</v>
      </c>
    </row>
    <row r="81" spans="1:10" ht="19.5" customHeight="1" x14ac:dyDescent="0.35">
      <c r="A81" s="23" t="s">
        <v>142</v>
      </c>
      <c r="B81" s="23" t="s">
        <v>143</v>
      </c>
      <c r="C81" s="23" t="s">
        <v>109</v>
      </c>
      <c r="D81" s="24">
        <v>1</v>
      </c>
      <c r="E81" s="23" t="s">
        <v>261</v>
      </c>
      <c r="F81" s="23" t="s">
        <v>258</v>
      </c>
      <c r="G81" s="23" t="s">
        <v>259</v>
      </c>
      <c r="H81" s="23" t="s">
        <v>147</v>
      </c>
      <c r="I81" s="23" t="s">
        <v>148</v>
      </c>
      <c r="J81" s="23" t="s">
        <v>262</v>
      </c>
    </row>
    <row r="82" spans="1:10" ht="19.5" customHeight="1" x14ac:dyDescent="0.35">
      <c r="A82" s="21" t="s">
        <v>142</v>
      </c>
      <c r="B82" s="21" t="s">
        <v>143</v>
      </c>
      <c r="C82" s="21" t="s">
        <v>109</v>
      </c>
      <c r="D82" s="22">
        <v>1</v>
      </c>
      <c r="E82" s="21" t="s">
        <v>263</v>
      </c>
      <c r="F82" s="21" t="s">
        <v>145</v>
      </c>
      <c r="G82" s="21" t="s">
        <v>146</v>
      </c>
      <c r="H82" s="21" t="s">
        <v>147</v>
      </c>
      <c r="I82" s="21" t="s">
        <v>148</v>
      </c>
      <c r="J82" s="21" t="s">
        <v>264</v>
      </c>
    </row>
    <row r="83" spans="1:10" ht="19.5" customHeight="1" x14ac:dyDescent="0.35">
      <c r="A83" s="23" t="s">
        <v>142</v>
      </c>
      <c r="B83" s="23" t="s">
        <v>143</v>
      </c>
      <c r="C83" s="23" t="s">
        <v>109</v>
      </c>
      <c r="D83" s="24">
        <v>1</v>
      </c>
      <c r="E83" s="23" t="s">
        <v>265</v>
      </c>
      <c r="F83" s="23" t="s">
        <v>258</v>
      </c>
      <c r="G83" s="23" t="s">
        <v>259</v>
      </c>
      <c r="H83" s="23" t="s">
        <v>147</v>
      </c>
      <c r="I83" s="23" t="s">
        <v>148</v>
      </c>
      <c r="J83" s="23" t="s">
        <v>266</v>
      </c>
    </row>
    <row r="84" spans="1:10" ht="19.5" customHeight="1" x14ac:dyDescent="0.35">
      <c r="A84" s="23" t="s">
        <v>142</v>
      </c>
      <c r="B84" s="23" t="s">
        <v>143</v>
      </c>
      <c r="C84" s="23" t="s">
        <v>109</v>
      </c>
      <c r="D84" s="24">
        <v>1</v>
      </c>
      <c r="E84" s="23" t="s">
        <v>267</v>
      </c>
      <c r="F84" s="23" t="s">
        <v>258</v>
      </c>
      <c r="G84" s="23" t="s">
        <v>158</v>
      </c>
      <c r="H84" s="23" t="s">
        <v>147</v>
      </c>
      <c r="I84" s="23" t="s">
        <v>148</v>
      </c>
      <c r="J84" s="23" t="s">
        <v>268</v>
      </c>
    </row>
    <row r="85" spans="1:10" ht="19.5" customHeight="1" x14ac:dyDescent="0.35">
      <c r="A85" s="23" t="s">
        <v>142</v>
      </c>
      <c r="B85" s="23" t="s">
        <v>143</v>
      </c>
      <c r="C85" s="23" t="s">
        <v>109</v>
      </c>
      <c r="D85" s="24">
        <v>1</v>
      </c>
      <c r="E85" s="23" t="s">
        <v>269</v>
      </c>
      <c r="F85" s="23" t="s">
        <v>258</v>
      </c>
      <c r="G85" s="23" t="s">
        <v>158</v>
      </c>
      <c r="H85" s="23" t="s">
        <v>147</v>
      </c>
      <c r="I85" s="23" t="s">
        <v>148</v>
      </c>
      <c r="J85" s="23" t="s">
        <v>270</v>
      </c>
    </row>
    <row r="86" spans="1:10" ht="19.5" customHeight="1" x14ac:dyDescent="0.35">
      <c r="A86" s="23" t="s">
        <v>142</v>
      </c>
      <c r="B86" s="23" t="s">
        <v>143</v>
      </c>
      <c r="C86" s="23" t="s">
        <v>109</v>
      </c>
      <c r="D86" s="24">
        <v>1</v>
      </c>
      <c r="E86" s="23" t="s">
        <v>271</v>
      </c>
      <c r="F86" s="23" t="s">
        <v>258</v>
      </c>
      <c r="G86" s="23" t="s">
        <v>158</v>
      </c>
      <c r="H86" s="23" t="s">
        <v>147</v>
      </c>
      <c r="I86" s="23" t="s">
        <v>148</v>
      </c>
      <c r="J86" s="23" t="s">
        <v>272</v>
      </c>
    </row>
    <row r="87" spans="1:10" ht="19.5" customHeight="1" x14ac:dyDescent="0.35">
      <c r="A87" s="21" t="s">
        <v>142</v>
      </c>
      <c r="B87" s="21" t="s">
        <v>143</v>
      </c>
      <c r="C87" s="21" t="s">
        <v>109</v>
      </c>
      <c r="D87" s="22">
        <v>1</v>
      </c>
      <c r="E87" s="21" t="s">
        <v>273</v>
      </c>
      <c r="F87" s="21" t="s">
        <v>145</v>
      </c>
      <c r="G87" s="21" t="s">
        <v>146</v>
      </c>
      <c r="H87" s="21" t="s">
        <v>147</v>
      </c>
      <c r="I87" s="21" t="s">
        <v>148</v>
      </c>
      <c r="J87" s="21" t="s">
        <v>274</v>
      </c>
    </row>
    <row r="88" spans="1:10" ht="19.5" customHeight="1" x14ac:dyDescent="0.35">
      <c r="A88" s="21" t="s">
        <v>142</v>
      </c>
      <c r="B88" s="21" t="s">
        <v>143</v>
      </c>
      <c r="C88" s="21" t="s">
        <v>109</v>
      </c>
      <c r="D88" s="22">
        <v>1</v>
      </c>
      <c r="E88" s="21" t="s">
        <v>275</v>
      </c>
      <c r="F88" s="21" t="s">
        <v>145</v>
      </c>
      <c r="G88" s="21" t="s">
        <v>146</v>
      </c>
      <c r="H88" s="21" t="s">
        <v>147</v>
      </c>
      <c r="I88" s="21" t="s">
        <v>148</v>
      </c>
      <c r="J88" s="21" t="s">
        <v>276</v>
      </c>
    </row>
    <row r="89" spans="1:10" ht="19.5" customHeight="1" x14ac:dyDescent="0.35">
      <c r="A89" s="21" t="s">
        <v>142</v>
      </c>
      <c r="B89" s="21" t="s">
        <v>143</v>
      </c>
      <c r="C89" s="21" t="s">
        <v>109</v>
      </c>
      <c r="D89" s="22">
        <v>1</v>
      </c>
      <c r="E89" s="21" t="s">
        <v>277</v>
      </c>
      <c r="F89" s="21" t="s">
        <v>145</v>
      </c>
      <c r="G89" s="21" t="s">
        <v>146</v>
      </c>
      <c r="H89" s="21" t="s">
        <v>147</v>
      </c>
      <c r="I89" s="21" t="s">
        <v>148</v>
      </c>
      <c r="J89" s="21" t="s">
        <v>278</v>
      </c>
    </row>
    <row r="90" spans="1:10" ht="19.5" customHeight="1" x14ac:dyDescent="0.35">
      <c r="A90" s="21" t="s">
        <v>142</v>
      </c>
      <c r="B90" s="21" t="s">
        <v>143</v>
      </c>
      <c r="C90" s="21" t="s">
        <v>109</v>
      </c>
      <c r="D90" s="22">
        <v>1</v>
      </c>
      <c r="E90" s="21" t="s">
        <v>279</v>
      </c>
      <c r="F90" s="21" t="s">
        <v>145</v>
      </c>
      <c r="G90" s="21" t="s">
        <v>146</v>
      </c>
      <c r="H90" s="21" t="s">
        <v>147</v>
      </c>
      <c r="I90" s="21" t="s">
        <v>148</v>
      </c>
      <c r="J90" s="21" t="s">
        <v>280</v>
      </c>
    </row>
    <row r="91" spans="1:10" ht="19.5" customHeight="1" x14ac:dyDescent="0.35">
      <c r="A91" s="21" t="s">
        <v>142</v>
      </c>
      <c r="B91" s="21" t="s">
        <v>143</v>
      </c>
      <c r="C91" s="21" t="s">
        <v>109</v>
      </c>
      <c r="D91" s="22">
        <v>1</v>
      </c>
      <c r="E91" s="21" t="s">
        <v>281</v>
      </c>
      <c r="F91" s="21" t="s">
        <v>145</v>
      </c>
      <c r="G91" s="21" t="s">
        <v>146</v>
      </c>
      <c r="H91" s="21" t="s">
        <v>147</v>
      </c>
      <c r="I91" s="21" t="s">
        <v>148</v>
      </c>
      <c r="J91" s="21" t="s">
        <v>282</v>
      </c>
    </row>
    <row r="92" spans="1:10" ht="19.5" customHeight="1" x14ac:dyDescent="0.35">
      <c r="A92" s="21" t="s">
        <v>142</v>
      </c>
      <c r="B92" s="21" t="s">
        <v>143</v>
      </c>
      <c r="C92" s="21" t="s">
        <v>109</v>
      </c>
      <c r="D92" s="22">
        <v>1</v>
      </c>
      <c r="E92" s="21" t="s">
        <v>283</v>
      </c>
      <c r="F92" s="21" t="s">
        <v>145</v>
      </c>
      <c r="G92" s="21" t="s">
        <v>146</v>
      </c>
      <c r="H92" s="21" t="s">
        <v>147</v>
      </c>
      <c r="I92" s="21" t="s">
        <v>148</v>
      </c>
      <c r="J92" s="21" t="s">
        <v>284</v>
      </c>
    </row>
    <row r="93" spans="1:10" ht="19.5" customHeight="1" x14ac:dyDescent="0.35">
      <c r="A93" s="21" t="s">
        <v>142</v>
      </c>
      <c r="B93" s="21" t="s">
        <v>143</v>
      </c>
      <c r="C93" s="21" t="s">
        <v>109</v>
      </c>
      <c r="D93" s="22">
        <v>1</v>
      </c>
      <c r="E93" s="21" t="s">
        <v>285</v>
      </c>
      <c r="F93" s="21" t="s">
        <v>145</v>
      </c>
      <c r="G93" s="21" t="s">
        <v>146</v>
      </c>
      <c r="H93" s="21" t="s">
        <v>147</v>
      </c>
      <c r="I93" s="21" t="s">
        <v>148</v>
      </c>
      <c r="J93" s="21" t="s">
        <v>286</v>
      </c>
    </row>
    <row r="94" spans="1:10" ht="19.5" customHeight="1" x14ac:dyDescent="0.35">
      <c r="A94" s="23" t="s">
        <v>142</v>
      </c>
      <c r="B94" s="23" t="s">
        <v>143</v>
      </c>
      <c r="C94" s="23" t="s">
        <v>109</v>
      </c>
      <c r="D94" s="24">
        <v>1</v>
      </c>
      <c r="E94" s="23" t="s">
        <v>287</v>
      </c>
      <c r="F94" s="23" t="s">
        <v>258</v>
      </c>
      <c r="G94" s="23" t="s">
        <v>259</v>
      </c>
      <c r="H94" s="23" t="s">
        <v>147</v>
      </c>
      <c r="I94" s="23" t="s">
        <v>148</v>
      </c>
      <c r="J94" s="23" t="s">
        <v>262</v>
      </c>
    </row>
    <row r="95" spans="1:10" ht="19.5" customHeight="1" x14ac:dyDescent="0.35">
      <c r="A95" s="23" t="s">
        <v>142</v>
      </c>
      <c r="B95" s="23" t="s">
        <v>143</v>
      </c>
      <c r="C95" s="23" t="s">
        <v>109</v>
      </c>
      <c r="D95" s="24">
        <v>1</v>
      </c>
      <c r="E95" s="23" t="s">
        <v>288</v>
      </c>
      <c r="F95" s="23" t="s">
        <v>258</v>
      </c>
      <c r="G95" s="23" t="s">
        <v>259</v>
      </c>
      <c r="H95" s="23" t="s">
        <v>147</v>
      </c>
      <c r="I95" s="23" t="s">
        <v>148</v>
      </c>
      <c r="J95" s="23" t="s">
        <v>260</v>
      </c>
    </row>
    <row r="96" spans="1:10" ht="19.5" customHeight="1" x14ac:dyDescent="0.35">
      <c r="A96" s="21" t="s">
        <v>142</v>
      </c>
      <c r="B96" s="21" t="s">
        <v>143</v>
      </c>
      <c r="C96" s="21" t="s">
        <v>109</v>
      </c>
      <c r="D96" s="22">
        <v>1</v>
      </c>
      <c r="E96" s="21" t="s">
        <v>289</v>
      </c>
      <c r="F96" s="21" t="s">
        <v>145</v>
      </c>
      <c r="G96" s="21" t="s">
        <v>146</v>
      </c>
      <c r="H96" s="21" t="s">
        <v>147</v>
      </c>
      <c r="I96" s="21" t="s">
        <v>148</v>
      </c>
      <c r="J96" s="21" t="s">
        <v>290</v>
      </c>
    </row>
    <row r="97" spans="1:10" ht="19.5" customHeight="1" x14ac:dyDescent="0.35">
      <c r="A97" s="21" t="s">
        <v>142</v>
      </c>
      <c r="B97" s="21" t="s">
        <v>143</v>
      </c>
      <c r="C97" s="21" t="s">
        <v>109</v>
      </c>
      <c r="D97" s="22">
        <v>1</v>
      </c>
      <c r="E97" s="21" t="s">
        <v>291</v>
      </c>
      <c r="F97" s="21" t="s">
        <v>145</v>
      </c>
      <c r="G97" s="21" t="s">
        <v>146</v>
      </c>
      <c r="H97" s="21" t="s">
        <v>147</v>
      </c>
      <c r="I97" s="21" t="s">
        <v>148</v>
      </c>
      <c r="J97" s="21" t="s">
        <v>292</v>
      </c>
    </row>
    <row r="98" spans="1:10" ht="19.5" customHeight="1" x14ac:dyDescent="0.35">
      <c r="A98" s="21" t="s">
        <v>142</v>
      </c>
      <c r="B98" s="21" t="s">
        <v>143</v>
      </c>
      <c r="C98" s="21" t="s">
        <v>109</v>
      </c>
      <c r="D98" s="22">
        <v>1</v>
      </c>
      <c r="E98" s="21" t="s">
        <v>293</v>
      </c>
      <c r="F98" s="21" t="s">
        <v>145</v>
      </c>
      <c r="G98" s="21" t="s">
        <v>146</v>
      </c>
      <c r="H98" s="21" t="s">
        <v>147</v>
      </c>
      <c r="I98" s="21" t="s">
        <v>148</v>
      </c>
      <c r="J98" s="21" t="s">
        <v>294</v>
      </c>
    </row>
    <row r="99" spans="1:10" ht="19.5" customHeight="1" x14ac:dyDescent="0.35">
      <c r="A99" s="23" t="s">
        <v>142</v>
      </c>
      <c r="B99" s="23" t="s">
        <v>143</v>
      </c>
      <c r="C99" s="23" t="s">
        <v>109</v>
      </c>
      <c r="D99" s="24">
        <v>1</v>
      </c>
      <c r="E99" s="23" t="s">
        <v>295</v>
      </c>
      <c r="F99" s="23" t="s">
        <v>258</v>
      </c>
      <c r="G99" s="23" t="s">
        <v>259</v>
      </c>
      <c r="H99" s="23" t="s">
        <v>147</v>
      </c>
      <c r="I99" s="23" t="s">
        <v>148</v>
      </c>
      <c r="J99" s="23" t="s">
        <v>296</v>
      </c>
    </row>
    <row r="100" spans="1:10" ht="19.5" customHeight="1" x14ac:dyDescent="0.35">
      <c r="A100" s="21" t="s">
        <v>142</v>
      </c>
      <c r="B100" s="21" t="s">
        <v>143</v>
      </c>
      <c r="C100" s="21" t="s">
        <v>109</v>
      </c>
      <c r="D100" s="22">
        <v>1</v>
      </c>
      <c r="E100" s="21" t="s">
        <v>297</v>
      </c>
      <c r="F100" s="21" t="s">
        <v>145</v>
      </c>
      <c r="G100" s="21" t="s">
        <v>146</v>
      </c>
      <c r="H100" s="21" t="s">
        <v>147</v>
      </c>
      <c r="I100" s="21" t="s">
        <v>148</v>
      </c>
      <c r="J100" s="21" t="s">
        <v>298</v>
      </c>
    </row>
    <row r="101" spans="1:10" ht="19.5" customHeight="1" x14ac:dyDescent="0.35">
      <c r="A101" s="21" t="s">
        <v>142</v>
      </c>
      <c r="B101" s="21" t="s">
        <v>143</v>
      </c>
      <c r="C101" s="21" t="s">
        <v>109</v>
      </c>
      <c r="D101" s="22">
        <v>1</v>
      </c>
      <c r="E101" s="21" t="s">
        <v>299</v>
      </c>
      <c r="F101" s="21" t="s">
        <v>145</v>
      </c>
      <c r="G101" s="21" t="s">
        <v>146</v>
      </c>
      <c r="H101" s="21" t="s">
        <v>147</v>
      </c>
      <c r="I101" s="21" t="s">
        <v>148</v>
      </c>
      <c r="J101" s="21" t="s">
        <v>298</v>
      </c>
    </row>
    <row r="102" spans="1:10" ht="19.5" customHeight="1" x14ac:dyDescent="0.35">
      <c r="A102" s="21" t="s">
        <v>142</v>
      </c>
      <c r="B102" s="21" t="s">
        <v>143</v>
      </c>
      <c r="C102" s="21" t="s">
        <v>109</v>
      </c>
      <c r="D102" s="22">
        <v>1</v>
      </c>
      <c r="E102" s="21" t="s">
        <v>300</v>
      </c>
      <c r="F102" s="21" t="s">
        <v>145</v>
      </c>
      <c r="G102" s="21" t="s">
        <v>146</v>
      </c>
      <c r="H102" s="21" t="s">
        <v>147</v>
      </c>
      <c r="I102" s="21" t="s">
        <v>148</v>
      </c>
      <c r="J102" s="21" t="s">
        <v>298</v>
      </c>
    </row>
    <row r="103" spans="1:10" ht="19.5" customHeight="1" x14ac:dyDescent="0.35">
      <c r="A103" s="23" t="s">
        <v>142</v>
      </c>
      <c r="B103" s="23" t="s">
        <v>143</v>
      </c>
      <c r="C103" s="23" t="s">
        <v>109</v>
      </c>
      <c r="D103" s="24">
        <v>1</v>
      </c>
      <c r="E103" s="23" t="s">
        <v>301</v>
      </c>
      <c r="F103" s="23" t="s">
        <v>258</v>
      </c>
      <c r="G103" s="23" t="s">
        <v>158</v>
      </c>
      <c r="H103" s="23" t="s">
        <v>147</v>
      </c>
      <c r="I103" s="23" t="s">
        <v>148</v>
      </c>
      <c r="J103" s="23" t="s">
        <v>302</v>
      </c>
    </row>
    <row r="104" spans="1:10" ht="19.5" customHeight="1" x14ac:dyDescent="0.35">
      <c r="A104" s="21" t="s">
        <v>142</v>
      </c>
      <c r="B104" s="21" t="s">
        <v>143</v>
      </c>
      <c r="C104" s="21" t="s">
        <v>109</v>
      </c>
      <c r="D104" s="22">
        <v>1</v>
      </c>
      <c r="E104" s="21" t="s">
        <v>303</v>
      </c>
      <c r="F104" s="21" t="s">
        <v>145</v>
      </c>
      <c r="G104" s="21" t="s">
        <v>146</v>
      </c>
      <c r="H104" s="21" t="s">
        <v>147</v>
      </c>
      <c r="I104" s="21" t="s">
        <v>148</v>
      </c>
      <c r="J104" s="21" t="s">
        <v>304</v>
      </c>
    </row>
    <row r="105" spans="1:10" ht="19.5" customHeight="1" x14ac:dyDescent="0.35">
      <c r="A105" s="21" t="s">
        <v>142</v>
      </c>
      <c r="B105" s="21" t="s">
        <v>143</v>
      </c>
      <c r="C105" s="21" t="s">
        <v>109</v>
      </c>
      <c r="D105" s="22">
        <v>1</v>
      </c>
      <c r="E105" s="21" t="s">
        <v>305</v>
      </c>
      <c r="F105" s="21" t="s">
        <v>145</v>
      </c>
      <c r="G105" s="21" t="s">
        <v>146</v>
      </c>
      <c r="H105" s="21" t="s">
        <v>147</v>
      </c>
      <c r="I105" s="21" t="s">
        <v>148</v>
      </c>
      <c r="J105" s="21" t="s">
        <v>306</v>
      </c>
    </row>
    <row r="106" spans="1:10" ht="19.5" customHeight="1" x14ac:dyDescent="0.35">
      <c r="A106" s="21" t="s">
        <v>142</v>
      </c>
      <c r="B106" s="21" t="s">
        <v>143</v>
      </c>
      <c r="C106" s="21" t="s">
        <v>109</v>
      </c>
      <c r="D106" s="22">
        <v>1</v>
      </c>
      <c r="E106" s="21" t="s">
        <v>307</v>
      </c>
      <c r="F106" s="21" t="s">
        <v>145</v>
      </c>
      <c r="G106" s="21" t="s">
        <v>146</v>
      </c>
      <c r="H106" s="21" t="s">
        <v>147</v>
      </c>
      <c r="I106" s="21" t="s">
        <v>148</v>
      </c>
      <c r="J106" s="21" t="s">
        <v>308</v>
      </c>
    </row>
    <row r="107" spans="1:10" ht="19.5" customHeight="1" x14ac:dyDescent="0.35">
      <c r="A107" s="21" t="s">
        <v>142</v>
      </c>
      <c r="B107" s="21" t="s">
        <v>143</v>
      </c>
      <c r="C107" s="21" t="s">
        <v>109</v>
      </c>
      <c r="D107" s="22">
        <v>1</v>
      </c>
      <c r="E107" s="21" t="s">
        <v>309</v>
      </c>
      <c r="F107" s="21" t="s">
        <v>145</v>
      </c>
      <c r="G107" s="21" t="s">
        <v>146</v>
      </c>
      <c r="H107" s="21" t="s">
        <v>147</v>
      </c>
      <c r="I107" s="21" t="s">
        <v>148</v>
      </c>
      <c r="J107" s="21" t="s">
        <v>310</v>
      </c>
    </row>
    <row r="108" spans="1:10" ht="19.5" customHeight="1" x14ac:dyDescent="0.35">
      <c r="A108" s="21" t="s">
        <v>142</v>
      </c>
      <c r="B108" s="21" t="s">
        <v>143</v>
      </c>
      <c r="C108" s="21" t="s">
        <v>109</v>
      </c>
      <c r="D108" s="22">
        <v>1</v>
      </c>
      <c r="E108" s="21" t="s">
        <v>311</v>
      </c>
      <c r="F108" s="21" t="s">
        <v>145</v>
      </c>
      <c r="G108" s="21" t="s">
        <v>146</v>
      </c>
      <c r="H108" s="21" t="s">
        <v>147</v>
      </c>
      <c r="I108" s="21" t="s">
        <v>148</v>
      </c>
      <c r="J108" s="21" t="s">
        <v>312</v>
      </c>
    </row>
    <row r="109" spans="1:10" ht="19.5" customHeight="1" x14ac:dyDescent="0.35">
      <c r="A109" s="21" t="s">
        <v>142</v>
      </c>
      <c r="B109" s="21" t="s">
        <v>143</v>
      </c>
      <c r="C109" s="21" t="s">
        <v>109</v>
      </c>
      <c r="D109" s="22">
        <v>1</v>
      </c>
      <c r="E109" s="21" t="s">
        <v>313</v>
      </c>
      <c r="F109" s="21" t="s">
        <v>145</v>
      </c>
      <c r="G109" s="21" t="s">
        <v>146</v>
      </c>
      <c r="H109" s="21" t="s">
        <v>147</v>
      </c>
      <c r="I109" s="21" t="s">
        <v>148</v>
      </c>
      <c r="J109" s="21" t="s">
        <v>274</v>
      </c>
    </row>
    <row r="110" spans="1:10" ht="19.5" customHeight="1" x14ac:dyDescent="0.35">
      <c r="A110" s="21" t="s">
        <v>142</v>
      </c>
      <c r="B110" s="21" t="s">
        <v>143</v>
      </c>
      <c r="C110" s="21" t="s">
        <v>109</v>
      </c>
      <c r="D110" s="22">
        <v>1</v>
      </c>
      <c r="E110" s="21" t="s">
        <v>314</v>
      </c>
      <c r="F110" s="21" t="s">
        <v>145</v>
      </c>
      <c r="G110" s="21" t="s">
        <v>146</v>
      </c>
      <c r="H110" s="21" t="s">
        <v>147</v>
      </c>
      <c r="I110" s="21" t="s">
        <v>148</v>
      </c>
      <c r="J110" s="21" t="s">
        <v>315</v>
      </c>
    </row>
    <row r="111" spans="1:10" ht="19.5" customHeight="1" x14ac:dyDescent="0.35">
      <c r="A111" s="21" t="s">
        <v>142</v>
      </c>
      <c r="B111" s="21" t="s">
        <v>143</v>
      </c>
      <c r="C111" s="21" t="s">
        <v>109</v>
      </c>
      <c r="D111" s="22">
        <v>1</v>
      </c>
      <c r="E111" s="21" t="s">
        <v>316</v>
      </c>
      <c r="F111" s="21" t="s">
        <v>145</v>
      </c>
      <c r="G111" s="21" t="s">
        <v>146</v>
      </c>
      <c r="H111" s="21" t="s">
        <v>147</v>
      </c>
      <c r="I111" s="21" t="s">
        <v>148</v>
      </c>
      <c r="J111" s="21" t="s">
        <v>317</v>
      </c>
    </row>
    <row r="112" spans="1:10" ht="19.5" customHeight="1" x14ac:dyDescent="0.35">
      <c r="A112" s="21" t="s">
        <v>142</v>
      </c>
      <c r="B112" s="21" t="s">
        <v>143</v>
      </c>
      <c r="C112" s="21" t="s">
        <v>109</v>
      </c>
      <c r="D112" s="22">
        <v>1</v>
      </c>
      <c r="E112" s="21" t="s">
        <v>318</v>
      </c>
      <c r="F112" s="21" t="s">
        <v>145</v>
      </c>
      <c r="G112" s="21" t="s">
        <v>146</v>
      </c>
      <c r="H112" s="21" t="s">
        <v>147</v>
      </c>
      <c r="I112" s="21" t="s">
        <v>148</v>
      </c>
      <c r="J112" s="21" t="s">
        <v>319</v>
      </c>
    </row>
    <row r="113" spans="1:10" ht="19.5" customHeight="1" x14ac:dyDescent="0.35">
      <c r="A113" s="21" t="s">
        <v>142</v>
      </c>
      <c r="B113" s="21" t="s">
        <v>143</v>
      </c>
      <c r="C113" s="21" t="s">
        <v>109</v>
      </c>
      <c r="D113" s="22">
        <v>1</v>
      </c>
      <c r="E113" s="21" t="s">
        <v>320</v>
      </c>
      <c r="F113" s="21" t="s">
        <v>145</v>
      </c>
      <c r="G113" s="21" t="s">
        <v>146</v>
      </c>
      <c r="H113" s="21" t="s">
        <v>147</v>
      </c>
      <c r="I113" s="21" t="s">
        <v>148</v>
      </c>
      <c r="J113" s="21" t="s">
        <v>321</v>
      </c>
    </row>
    <row r="114" spans="1:10" ht="19.5" customHeight="1" x14ac:dyDescent="0.35">
      <c r="A114" s="21" t="s">
        <v>142</v>
      </c>
      <c r="B114" s="21" t="s">
        <v>143</v>
      </c>
      <c r="C114" s="21" t="s">
        <v>109</v>
      </c>
      <c r="D114" s="22">
        <v>1</v>
      </c>
      <c r="E114" s="21" t="s">
        <v>322</v>
      </c>
      <c r="F114" s="21" t="s">
        <v>145</v>
      </c>
      <c r="G114" s="21" t="s">
        <v>146</v>
      </c>
      <c r="H114" s="21" t="s">
        <v>147</v>
      </c>
      <c r="I114" s="21" t="s">
        <v>148</v>
      </c>
      <c r="J114" s="21" t="s">
        <v>323</v>
      </c>
    </row>
    <row r="115" spans="1:10" ht="19.5" customHeight="1" x14ac:dyDescent="0.35">
      <c r="A115" s="21" t="s">
        <v>142</v>
      </c>
      <c r="B115" s="21" t="s">
        <v>143</v>
      </c>
      <c r="C115" s="21" t="s">
        <v>109</v>
      </c>
      <c r="D115" s="22">
        <v>1</v>
      </c>
      <c r="E115" s="21" t="s">
        <v>324</v>
      </c>
      <c r="F115" s="21" t="s">
        <v>145</v>
      </c>
      <c r="G115" s="21" t="s">
        <v>146</v>
      </c>
      <c r="H115" s="21" t="s">
        <v>147</v>
      </c>
      <c r="I115" s="21" t="s">
        <v>148</v>
      </c>
      <c r="J115" s="21" t="s">
        <v>325</v>
      </c>
    </row>
    <row r="116" spans="1:10" ht="19.5" customHeight="1" x14ac:dyDescent="0.35">
      <c r="A116" s="21" t="s">
        <v>142</v>
      </c>
      <c r="B116" s="21" t="s">
        <v>143</v>
      </c>
      <c r="C116" s="21" t="s">
        <v>109</v>
      </c>
      <c r="D116" s="22">
        <v>1</v>
      </c>
      <c r="E116" s="21" t="s">
        <v>326</v>
      </c>
      <c r="F116" s="21" t="s">
        <v>145</v>
      </c>
      <c r="G116" s="21" t="s">
        <v>146</v>
      </c>
      <c r="H116" s="21" t="s">
        <v>147</v>
      </c>
      <c r="I116" s="21" t="s">
        <v>148</v>
      </c>
      <c r="J116" s="21" t="s">
        <v>327</v>
      </c>
    </row>
    <row r="117" spans="1:10" ht="19.5" customHeight="1" x14ac:dyDescent="0.35">
      <c r="A117" s="21" t="s">
        <v>142</v>
      </c>
      <c r="B117" s="21" t="s">
        <v>143</v>
      </c>
      <c r="C117" s="21" t="s">
        <v>109</v>
      </c>
      <c r="D117" s="22">
        <v>1</v>
      </c>
      <c r="E117" s="21" t="s">
        <v>328</v>
      </c>
      <c r="F117" s="21" t="s">
        <v>145</v>
      </c>
      <c r="G117" s="21" t="s">
        <v>146</v>
      </c>
      <c r="H117" s="21" t="s">
        <v>147</v>
      </c>
      <c r="I117" s="21" t="s">
        <v>148</v>
      </c>
      <c r="J117" s="21" t="s">
        <v>329</v>
      </c>
    </row>
    <row r="118" spans="1:10" ht="19.5" customHeight="1" x14ac:dyDescent="0.35">
      <c r="A118" s="21" t="s">
        <v>142</v>
      </c>
      <c r="B118" s="21" t="s">
        <v>143</v>
      </c>
      <c r="C118" s="21" t="s">
        <v>109</v>
      </c>
      <c r="D118" s="22">
        <v>1</v>
      </c>
      <c r="E118" s="21" t="s">
        <v>330</v>
      </c>
      <c r="F118" s="21" t="s">
        <v>145</v>
      </c>
      <c r="G118" s="21" t="s">
        <v>146</v>
      </c>
      <c r="H118" s="21" t="s">
        <v>147</v>
      </c>
      <c r="I118" s="21" t="s">
        <v>148</v>
      </c>
      <c r="J118" s="21" t="s">
        <v>329</v>
      </c>
    </row>
    <row r="119" spans="1:10" ht="19.5" customHeight="1" x14ac:dyDescent="0.35">
      <c r="A119" s="21" t="s">
        <v>142</v>
      </c>
      <c r="B119" s="21" t="s">
        <v>143</v>
      </c>
      <c r="C119" s="21" t="s">
        <v>109</v>
      </c>
      <c r="D119" s="22">
        <v>1</v>
      </c>
      <c r="E119" s="21" t="s">
        <v>331</v>
      </c>
      <c r="F119" s="21" t="s">
        <v>145</v>
      </c>
      <c r="G119" s="21" t="s">
        <v>146</v>
      </c>
      <c r="H119" s="21" t="s">
        <v>147</v>
      </c>
      <c r="I119" s="21" t="s">
        <v>148</v>
      </c>
      <c r="J119" s="21" t="s">
        <v>332</v>
      </c>
    </row>
    <row r="120" spans="1:10" ht="19.5" customHeight="1" x14ac:dyDescent="0.35">
      <c r="A120" s="21" t="s">
        <v>142</v>
      </c>
      <c r="B120" s="21" t="s">
        <v>143</v>
      </c>
      <c r="C120" s="21" t="s">
        <v>109</v>
      </c>
      <c r="D120" s="22">
        <v>1</v>
      </c>
      <c r="E120" s="21" t="s">
        <v>333</v>
      </c>
      <c r="F120" s="21" t="s">
        <v>145</v>
      </c>
      <c r="G120" s="21" t="s">
        <v>146</v>
      </c>
      <c r="H120" s="21" t="s">
        <v>147</v>
      </c>
      <c r="I120" s="21" t="s">
        <v>148</v>
      </c>
      <c r="J120" s="21" t="s">
        <v>334</v>
      </c>
    </row>
    <row r="121" spans="1:10" ht="19.5" customHeight="1" x14ac:dyDescent="0.35">
      <c r="A121" s="21" t="s">
        <v>142</v>
      </c>
      <c r="B121" s="21" t="s">
        <v>143</v>
      </c>
      <c r="C121" s="21" t="s">
        <v>109</v>
      </c>
      <c r="D121" s="22">
        <v>1</v>
      </c>
      <c r="E121" s="21" t="s">
        <v>335</v>
      </c>
      <c r="F121" s="21" t="s">
        <v>145</v>
      </c>
      <c r="G121" s="21" t="s">
        <v>146</v>
      </c>
      <c r="H121" s="21" t="s">
        <v>147</v>
      </c>
      <c r="I121" s="21" t="s">
        <v>148</v>
      </c>
      <c r="J121" s="21" t="s">
        <v>336</v>
      </c>
    </row>
    <row r="122" spans="1:10" ht="19.5" customHeight="1" x14ac:dyDescent="0.35">
      <c r="A122" s="21" t="s">
        <v>142</v>
      </c>
      <c r="B122" s="21" t="s">
        <v>143</v>
      </c>
      <c r="C122" s="21" t="s">
        <v>109</v>
      </c>
      <c r="D122" s="22">
        <v>1</v>
      </c>
      <c r="E122" s="21" t="s">
        <v>337</v>
      </c>
      <c r="F122" s="21" t="s">
        <v>145</v>
      </c>
      <c r="G122" s="21" t="s">
        <v>146</v>
      </c>
      <c r="H122" s="21" t="s">
        <v>147</v>
      </c>
      <c r="I122" s="21" t="s">
        <v>148</v>
      </c>
      <c r="J122" s="21" t="s">
        <v>338</v>
      </c>
    </row>
    <row r="123" spans="1:10" ht="19.5" customHeight="1" x14ac:dyDescent="0.35">
      <c r="A123" s="21" t="s">
        <v>142</v>
      </c>
      <c r="B123" s="21" t="s">
        <v>143</v>
      </c>
      <c r="C123" s="21" t="s">
        <v>109</v>
      </c>
      <c r="D123" s="22">
        <v>1</v>
      </c>
      <c r="E123" s="21" t="s">
        <v>339</v>
      </c>
      <c r="F123" s="21" t="s">
        <v>145</v>
      </c>
      <c r="G123" s="21" t="s">
        <v>146</v>
      </c>
      <c r="H123" s="21" t="s">
        <v>147</v>
      </c>
      <c r="I123" s="21" t="s">
        <v>148</v>
      </c>
      <c r="J123" s="21" t="s">
        <v>340</v>
      </c>
    </row>
    <row r="124" spans="1:10" ht="19.5" customHeight="1" x14ac:dyDescent="0.35">
      <c r="A124" s="21" t="s">
        <v>142</v>
      </c>
      <c r="B124" s="21" t="s">
        <v>143</v>
      </c>
      <c r="C124" s="21" t="s">
        <v>109</v>
      </c>
      <c r="D124" s="22">
        <v>1</v>
      </c>
      <c r="E124" s="21" t="s">
        <v>341</v>
      </c>
      <c r="F124" s="21" t="s">
        <v>145</v>
      </c>
      <c r="G124" s="21" t="s">
        <v>146</v>
      </c>
      <c r="H124" s="21" t="s">
        <v>147</v>
      </c>
      <c r="I124" s="21" t="s">
        <v>148</v>
      </c>
      <c r="J124" s="21" t="s">
        <v>342</v>
      </c>
    </row>
    <row r="125" spans="1:10" ht="19.5" customHeight="1" x14ac:dyDescent="0.35">
      <c r="A125" s="21" t="s">
        <v>142</v>
      </c>
      <c r="B125" s="21" t="s">
        <v>143</v>
      </c>
      <c r="C125" s="21" t="s">
        <v>109</v>
      </c>
      <c r="D125" s="22">
        <v>1</v>
      </c>
      <c r="E125" s="21" t="s">
        <v>343</v>
      </c>
      <c r="F125" s="21" t="s">
        <v>145</v>
      </c>
      <c r="G125" s="21" t="s">
        <v>146</v>
      </c>
      <c r="H125" s="21" t="s">
        <v>147</v>
      </c>
      <c r="I125" s="21" t="s">
        <v>148</v>
      </c>
      <c r="J125" s="21" t="s">
        <v>344</v>
      </c>
    </row>
    <row r="126" spans="1:10" ht="19.5" customHeight="1" x14ac:dyDescent="0.35">
      <c r="A126" s="21" t="s">
        <v>142</v>
      </c>
      <c r="B126" s="21" t="s">
        <v>143</v>
      </c>
      <c r="C126" s="21" t="s">
        <v>109</v>
      </c>
      <c r="D126" s="22">
        <v>1</v>
      </c>
      <c r="E126" s="21" t="s">
        <v>345</v>
      </c>
      <c r="F126" s="21" t="s">
        <v>145</v>
      </c>
      <c r="G126" s="21" t="s">
        <v>146</v>
      </c>
      <c r="H126" s="21" t="s">
        <v>147</v>
      </c>
      <c r="I126" s="21" t="s">
        <v>148</v>
      </c>
      <c r="J126" s="21" t="s">
        <v>346</v>
      </c>
    </row>
    <row r="127" spans="1:10" ht="19.5" customHeight="1" x14ac:dyDescent="0.35">
      <c r="A127" s="21" t="s">
        <v>142</v>
      </c>
      <c r="B127" s="21" t="s">
        <v>143</v>
      </c>
      <c r="C127" s="21" t="s">
        <v>109</v>
      </c>
      <c r="D127" s="22">
        <v>1</v>
      </c>
      <c r="E127" s="21" t="s">
        <v>347</v>
      </c>
      <c r="F127" s="21" t="s">
        <v>145</v>
      </c>
      <c r="G127" s="21" t="s">
        <v>146</v>
      </c>
      <c r="H127" s="21" t="s">
        <v>147</v>
      </c>
      <c r="I127" s="21" t="s">
        <v>148</v>
      </c>
      <c r="J127" s="21" t="s">
        <v>348</v>
      </c>
    </row>
    <row r="128" spans="1:10" ht="19.5" customHeight="1" x14ac:dyDescent="0.35">
      <c r="A128" s="21" t="s">
        <v>142</v>
      </c>
      <c r="B128" s="21" t="s">
        <v>143</v>
      </c>
      <c r="C128" s="21" t="s">
        <v>109</v>
      </c>
      <c r="D128" s="22">
        <v>1</v>
      </c>
      <c r="E128" s="21" t="s">
        <v>349</v>
      </c>
      <c r="F128" s="21" t="s">
        <v>145</v>
      </c>
      <c r="G128" s="21" t="s">
        <v>146</v>
      </c>
      <c r="H128" s="21" t="s">
        <v>147</v>
      </c>
      <c r="I128" s="21" t="s">
        <v>148</v>
      </c>
      <c r="J128" s="21" t="s">
        <v>350</v>
      </c>
    </row>
    <row r="129" spans="1:10" ht="19.5" customHeight="1" x14ac:dyDescent="0.35">
      <c r="A129" s="21" t="s">
        <v>142</v>
      </c>
      <c r="B129" s="21" t="s">
        <v>143</v>
      </c>
      <c r="C129" s="21" t="s">
        <v>109</v>
      </c>
      <c r="D129" s="22">
        <v>1</v>
      </c>
      <c r="E129" s="21" t="s">
        <v>351</v>
      </c>
      <c r="F129" s="21" t="s">
        <v>145</v>
      </c>
      <c r="G129" s="21" t="s">
        <v>146</v>
      </c>
      <c r="H129" s="21" t="s">
        <v>147</v>
      </c>
      <c r="I129" s="21" t="s">
        <v>148</v>
      </c>
      <c r="J129" s="21" t="s">
        <v>352</v>
      </c>
    </row>
    <row r="130" spans="1:10" ht="19.5" customHeight="1" x14ac:dyDescent="0.35">
      <c r="A130" s="21" t="s">
        <v>142</v>
      </c>
      <c r="B130" s="21" t="s">
        <v>143</v>
      </c>
      <c r="C130" s="21" t="s">
        <v>109</v>
      </c>
      <c r="D130" s="22">
        <v>1</v>
      </c>
      <c r="E130" s="21" t="s">
        <v>353</v>
      </c>
      <c r="F130" s="21" t="s">
        <v>145</v>
      </c>
      <c r="G130" s="21" t="s">
        <v>146</v>
      </c>
      <c r="H130" s="21" t="s">
        <v>147</v>
      </c>
      <c r="I130" s="21" t="s">
        <v>148</v>
      </c>
      <c r="J130" s="21" t="s">
        <v>354</v>
      </c>
    </row>
    <row r="131" spans="1:10" ht="19.5" customHeight="1" x14ac:dyDescent="0.35">
      <c r="A131" s="21" t="s">
        <v>142</v>
      </c>
      <c r="B131" s="21" t="s">
        <v>143</v>
      </c>
      <c r="C131" s="21" t="s">
        <v>109</v>
      </c>
      <c r="D131" s="22">
        <v>1</v>
      </c>
      <c r="E131" s="21" t="s">
        <v>355</v>
      </c>
      <c r="F131" s="21" t="s">
        <v>145</v>
      </c>
      <c r="G131" s="21" t="s">
        <v>146</v>
      </c>
      <c r="H131" s="21" t="s">
        <v>147</v>
      </c>
      <c r="I131" s="21" t="s">
        <v>148</v>
      </c>
      <c r="J131" s="21" t="s">
        <v>354</v>
      </c>
    </row>
    <row r="132" spans="1:10" ht="19.5" customHeight="1" x14ac:dyDescent="0.35">
      <c r="A132" s="21" t="s">
        <v>142</v>
      </c>
      <c r="B132" s="21" t="s">
        <v>143</v>
      </c>
      <c r="C132" s="21" t="s">
        <v>109</v>
      </c>
      <c r="D132" s="22">
        <v>1</v>
      </c>
      <c r="E132" s="21" t="s">
        <v>356</v>
      </c>
      <c r="F132" s="21" t="s">
        <v>145</v>
      </c>
      <c r="G132" s="21" t="s">
        <v>146</v>
      </c>
      <c r="H132" s="21" t="s">
        <v>147</v>
      </c>
      <c r="I132" s="21" t="s">
        <v>148</v>
      </c>
      <c r="J132" s="21" t="s">
        <v>357</v>
      </c>
    </row>
    <row r="133" spans="1:10" ht="19.5" customHeight="1" x14ac:dyDescent="0.35">
      <c r="A133" s="21" t="s">
        <v>142</v>
      </c>
      <c r="B133" s="21" t="s">
        <v>143</v>
      </c>
      <c r="C133" s="21" t="s">
        <v>109</v>
      </c>
      <c r="D133" s="22">
        <v>1</v>
      </c>
      <c r="E133" s="21" t="s">
        <v>358</v>
      </c>
      <c r="F133" s="21" t="s">
        <v>145</v>
      </c>
      <c r="G133" s="21" t="s">
        <v>146</v>
      </c>
      <c r="H133" s="21" t="s">
        <v>147</v>
      </c>
      <c r="I133" s="21" t="s">
        <v>148</v>
      </c>
      <c r="J133" s="21" t="s">
        <v>359</v>
      </c>
    </row>
    <row r="134" spans="1:10" ht="19.5" customHeight="1" x14ac:dyDescent="0.35">
      <c r="A134" s="23" t="s">
        <v>142</v>
      </c>
      <c r="B134" s="23" t="s">
        <v>143</v>
      </c>
      <c r="C134" s="23" t="s">
        <v>109</v>
      </c>
      <c r="D134" s="24">
        <v>1</v>
      </c>
      <c r="E134" s="23" t="s">
        <v>360</v>
      </c>
      <c r="F134" s="23" t="s">
        <v>258</v>
      </c>
      <c r="G134" s="23" t="s">
        <v>158</v>
      </c>
      <c r="H134" s="23" t="s">
        <v>147</v>
      </c>
      <c r="I134" s="23" t="s">
        <v>148</v>
      </c>
      <c r="J134" s="23" t="s">
        <v>272</v>
      </c>
    </row>
    <row r="135" spans="1:10" ht="19.5" customHeight="1" x14ac:dyDescent="0.35">
      <c r="A135" s="21" t="s">
        <v>142</v>
      </c>
      <c r="B135" s="21" t="s">
        <v>143</v>
      </c>
      <c r="C135" s="21" t="s">
        <v>109</v>
      </c>
      <c r="D135" s="22">
        <v>1</v>
      </c>
      <c r="E135" s="21" t="s">
        <v>361</v>
      </c>
      <c r="F135" s="21" t="s">
        <v>145</v>
      </c>
      <c r="G135" s="21" t="s">
        <v>146</v>
      </c>
      <c r="H135" s="21" t="s">
        <v>147</v>
      </c>
      <c r="I135" s="21" t="s">
        <v>148</v>
      </c>
      <c r="J135" s="21" t="s">
        <v>362</v>
      </c>
    </row>
    <row r="136" spans="1:10" ht="19.5" customHeight="1" x14ac:dyDescent="0.35">
      <c r="A136" s="21" t="s">
        <v>142</v>
      </c>
      <c r="B136" s="21" t="s">
        <v>143</v>
      </c>
      <c r="C136" s="21" t="s">
        <v>109</v>
      </c>
      <c r="D136" s="22">
        <v>1</v>
      </c>
      <c r="E136" s="21" t="s">
        <v>363</v>
      </c>
      <c r="F136" s="21" t="s">
        <v>145</v>
      </c>
      <c r="G136" s="21" t="s">
        <v>146</v>
      </c>
      <c r="H136" s="21" t="s">
        <v>147</v>
      </c>
      <c r="I136" s="21" t="s">
        <v>148</v>
      </c>
      <c r="J136" s="21" t="s">
        <v>364</v>
      </c>
    </row>
    <row r="137" spans="1:10" ht="19.5" customHeight="1" x14ac:dyDescent="0.35">
      <c r="A137" s="21" t="s">
        <v>142</v>
      </c>
      <c r="B137" s="21" t="s">
        <v>143</v>
      </c>
      <c r="C137" s="21" t="s">
        <v>109</v>
      </c>
      <c r="D137" s="22">
        <v>1</v>
      </c>
      <c r="E137" s="21" t="s">
        <v>365</v>
      </c>
      <c r="F137" s="21" t="s">
        <v>145</v>
      </c>
      <c r="G137" s="21" t="s">
        <v>146</v>
      </c>
      <c r="H137" s="21" t="s">
        <v>147</v>
      </c>
      <c r="I137" s="21" t="s">
        <v>148</v>
      </c>
      <c r="J137" s="21" t="s">
        <v>248</v>
      </c>
    </row>
    <row r="138" spans="1:10" ht="19.5" customHeight="1" x14ac:dyDescent="0.35">
      <c r="A138" s="21" t="s">
        <v>142</v>
      </c>
      <c r="B138" s="21" t="s">
        <v>143</v>
      </c>
      <c r="C138" s="21" t="s">
        <v>109</v>
      </c>
      <c r="D138" s="22">
        <v>1</v>
      </c>
      <c r="E138" s="21" t="s">
        <v>366</v>
      </c>
      <c r="F138" s="21" t="s">
        <v>145</v>
      </c>
      <c r="G138" s="21" t="s">
        <v>146</v>
      </c>
      <c r="H138" s="21" t="s">
        <v>147</v>
      </c>
      <c r="I138" s="21" t="s">
        <v>148</v>
      </c>
      <c r="J138" s="21" t="s">
        <v>367</v>
      </c>
    </row>
    <row r="139" spans="1:10" ht="19.5" customHeight="1" x14ac:dyDescent="0.35">
      <c r="A139" s="21" t="s">
        <v>142</v>
      </c>
      <c r="B139" s="21" t="s">
        <v>143</v>
      </c>
      <c r="C139" s="21" t="s">
        <v>109</v>
      </c>
      <c r="D139" s="22">
        <v>1</v>
      </c>
      <c r="E139" s="21" t="s">
        <v>368</v>
      </c>
      <c r="F139" s="21" t="s">
        <v>145</v>
      </c>
      <c r="G139" s="21" t="s">
        <v>146</v>
      </c>
      <c r="H139" s="21" t="s">
        <v>147</v>
      </c>
      <c r="I139" s="21" t="s">
        <v>148</v>
      </c>
      <c r="J139" s="21" t="s">
        <v>369</v>
      </c>
    </row>
    <row r="140" spans="1:10" ht="19.5" customHeight="1" x14ac:dyDescent="0.35">
      <c r="A140" s="21" t="s">
        <v>142</v>
      </c>
      <c r="B140" s="21" t="s">
        <v>143</v>
      </c>
      <c r="C140" s="21" t="s">
        <v>109</v>
      </c>
      <c r="D140" s="22">
        <v>1</v>
      </c>
      <c r="E140" s="21" t="s">
        <v>370</v>
      </c>
      <c r="F140" s="21" t="s">
        <v>145</v>
      </c>
      <c r="G140" s="21" t="s">
        <v>146</v>
      </c>
      <c r="H140" s="21" t="s">
        <v>147</v>
      </c>
      <c r="I140" s="21" t="s">
        <v>148</v>
      </c>
      <c r="J140" s="21" t="s">
        <v>371</v>
      </c>
    </row>
    <row r="141" spans="1:10" ht="19.5" customHeight="1" x14ac:dyDescent="0.35">
      <c r="A141" s="21" t="s">
        <v>142</v>
      </c>
      <c r="B141" s="21" t="s">
        <v>143</v>
      </c>
      <c r="C141" s="21" t="s">
        <v>109</v>
      </c>
      <c r="D141" s="22">
        <v>1</v>
      </c>
      <c r="E141" s="21" t="s">
        <v>372</v>
      </c>
      <c r="F141" s="21" t="s">
        <v>145</v>
      </c>
      <c r="G141" s="21" t="s">
        <v>146</v>
      </c>
      <c r="H141" s="21" t="s">
        <v>147</v>
      </c>
      <c r="I141" s="21" t="s">
        <v>148</v>
      </c>
      <c r="J141" s="21" t="s">
        <v>373</v>
      </c>
    </row>
    <row r="142" spans="1:10" ht="19.5" customHeight="1" x14ac:dyDescent="0.35">
      <c r="A142" s="21" t="s">
        <v>142</v>
      </c>
      <c r="B142" s="21" t="s">
        <v>143</v>
      </c>
      <c r="C142" s="21" t="s">
        <v>109</v>
      </c>
      <c r="D142" s="22">
        <v>1</v>
      </c>
      <c r="E142" s="21" t="s">
        <v>374</v>
      </c>
      <c r="F142" s="21" t="s">
        <v>145</v>
      </c>
      <c r="G142" s="21" t="s">
        <v>146</v>
      </c>
      <c r="H142" s="21" t="s">
        <v>147</v>
      </c>
      <c r="I142" s="21" t="s">
        <v>148</v>
      </c>
      <c r="J142" s="21" t="s">
        <v>375</v>
      </c>
    </row>
    <row r="143" spans="1:10" ht="19.5" customHeight="1" x14ac:dyDescent="0.35">
      <c r="A143" s="21" t="s">
        <v>142</v>
      </c>
      <c r="B143" s="21" t="s">
        <v>143</v>
      </c>
      <c r="C143" s="21" t="s">
        <v>109</v>
      </c>
      <c r="D143" s="22">
        <v>1</v>
      </c>
      <c r="E143" s="21" t="s">
        <v>376</v>
      </c>
      <c r="F143" s="21" t="s">
        <v>145</v>
      </c>
      <c r="G143" s="21" t="s">
        <v>146</v>
      </c>
      <c r="H143" s="21" t="s">
        <v>147</v>
      </c>
      <c r="I143" s="21" t="s">
        <v>148</v>
      </c>
      <c r="J143" s="21" t="s">
        <v>377</v>
      </c>
    </row>
    <row r="144" spans="1:10" ht="19.5" customHeight="1" x14ac:dyDescent="0.35">
      <c r="A144" s="21" t="s">
        <v>142</v>
      </c>
      <c r="B144" s="21" t="s">
        <v>143</v>
      </c>
      <c r="C144" s="21" t="s">
        <v>109</v>
      </c>
      <c r="D144" s="22">
        <v>1</v>
      </c>
      <c r="E144" s="21" t="s">
        <v>378</v>
      </c>
      <c r="F144" s="21" t="s">
        <v>145</v>
      </c>
      <c r="G144" s="21" t="s">
        <v>146</v>
      </c>
      <c r="H144" s="21" t="s">
        <v>147</v>
      </c>
      <c r="I144" s="21" t="s">
        <v>148</v>
      </c>
      <c r="J144" s="21" t="s">
        <v>379</v>
      </c>
    </row>
    <row r="145" spans="1:10" ht="19.5" customHeight="1" x14ac:dyDescent="0.35">
      <c r="A145" s="21" t="s">
        <v>142</v>
      </c>
      <c r="B145" s="21" t="s">
        <v>143</v>
      </c>
      <c r="C145" s="21" t="s">
        <v>109</v>
      </c>
      <c r="D145" s="22">
        <v>1</v>
      </c>
      <c r="E145" s="21" t="s">
        <v>380</v>
      </c>
      <c r="F145" s="21" t="s">
        <v>145</v>
      </c>
      <c r="G145" s="21" t="s">
        <v>146</v>
      </c>
      <c r="H145" s="21" t="s">
        <v>147</v>
      </c>
      <c r="I145" s="21" t="s">
        <v>148</v>
      </c>
      <c r="J145" s="21" t="s">
        <v>381</v>
      </c>
    </row>
    <row r="146" spans="1:10" ht="19.5" customHeight="1" x14ac:dyDescent="0.35">
      <c r="A146" s="21" t="s">
        <v>142</v>
      </c>
      <c r="B146" s="21" t="s">
        <v>143</v>
      </c>
      <c r="C146" s="21" t="s">
        <v>109</v>
      </c>
      <c r="D146" s="22">
        <v>1</v>
      </c>
      <c r="E146" s="21" t="s">
        <v>382</v>
      </c>
      <c r="F146" s="21" t="s">
        <v>145</v>
      </c>
      <c r="G146" s="21" t="s">
        <v>146</v>
      </c>
      <c r="H146" s="21" t="s">
        <v>147</v>
      </c>
      <c r="I146" s="21" t="s">
        <v>148</v>
      </c>
      <c r="J146" s="21" t="s">
        <v>276</v>
      </c>
    </row>
    <row r="147" spans="1:10" ht="19.5" customHeight="1" x14ac:dyDescent="0.35">
      <c r="A147" s="21" t="s">
        <v>142</v>
      </c>
      <c r="B147" s="21" t="s">
        <v>143</v>
      </c>
      <c r="C147" s="21" t="s">
        <v>109</v>
      </c>
      <c r="D147" s="22">
        <v>1</v>
      </c>
      <c r="E147" s="21" t="s">
        <v>383</v>
      </c>
      <c r="F147" s="21" t="s">
        <v>145</v>
      </c>
      <c r="G147" s="21" t="s">
        <v>146</v>
      </c>
      <c r="H147" s="21" t="s">
        <v>147</v>
      </c>
      <c r="I147" s="21" t="s">
        <v>148</v>
      </c>
      <c r="J147" s="21" t="s">
        <v>280</v>
      </c>
    </row>
    <row r="148" spans="1:10" ht="19.5" customHeight="1" x14ac:dyDescent="0.35">
      <c r="A148" s="21" t="s">
        <v>142</v>
      </c>
      <c r="B148" s="21" t="s">
        <v>143</v>
      </c>
      <c r="C148" s="21" t="s">
        <v>109</v>
      </c>
      <c r="D148" s="22">
        <v>1</v>
      </c>
      <c r="E148" s="21" t="s">
        <v>384</v>
      </c>
      <c r="F148" s="21" t="s">
        <v>145</v>
      </c>
      <c r="G148" s="21" t="s">
        <v>146</v>
      </c>
      <c r="H148" s="21" t="s">
        <v>147</v>
      </c>
      <c r="I148" s="21" t="s">
        <v>148</v>
      </c>
      <c r="J148" s="21" t="s">
        <v>280</v>
      </c>
    </row>
    <row r="149" spans="1:10" ht="19.5" customHeight="1" x14ac:dyDescent="0.35">
      <c r="A149" s="21" t="s">
        <v>142</v>
      </c>
      <c r="B149" s="21" t="s">
        <v>143</v>
      </c>
      <c r="C149" s="21" t="s">
        <v>109</v>
      </c>
      <c r="D149" s="22">
        <v>1</v>
      </c>
      <c r="E149" s="21" t="s">
        <v>385</v>
      </c>
      <c r="F149" s="21" t="s">
        <v>145</v>
      </c>
      <c r="G149" s="21" t="s">
        <v>146</v>
      </c>
      <c r="H149" s="21" t="s">
        <v>147</v>
      </c>
      <c r="I149" s="21" t="s">
        <v>148</v>
      </c>
      <c r="J149" s="21" t="s">
        <v>386</v>
      </c>
    </row>
    <row r="150" spans="1:10" ht="19.5" customHeight="1" x14ac:dyDescent="0.35">
      <c r="A150" s="21" t="s">
        <v>142</v>
      </c>
      <c r="B150" s="21" t="s">
        <v>143</v>
      </c>
      <c r="C150" s="21" t="s">
        <v>109</v>
      </c>
      <c r="D150" s="22">
        <v>1</v>
      </c>
      <c r="E150" s="21" t="s">
        <v>387</v>
      </c>
      <c r="F150" s="21" t="s">
        <v>145</v>
      </c>
      <c r="G150" s="21" t="s">
        <v>146</v>
      </c>
      <c r="H150" s="21" t="s">
        <v>147</v>
      </c>
      <c r="I150" s="21" t="s">
        <v>148</v>
      </c>
      <c r="J150" s="21" t="s">
        <v>388</v>
      </c>
    </row>
    <row r="151" spans="1:10" ht="19.5" customHeight="1" x14ac:dyDescent="0.35">
      <c r="A151" s="21" t="s">
        <v>142</v>
      </c>
      <c r="B151" s="21" t="s">
        <v>143</v>
      </c>
      <c r="C151" s="21" t="s">
        <v>109</v>
      </c>
      <c r="D151" s="22">
        <v>1</v>
      </c>
      <c r="E151" s="21" t="s">
        <v>389</v>
      </c>
      <c r="F151" s="21" t="s">
        <v>145</v>
      </c>
      <c r="G151" s="21" t="s">
        <v>146</v>
      </c>
      <c r="H151" s="21" t="s">
        <v>147</v>
      </c>
      <c r="I151" s="21" t="s">
        <v>148</v>
      </c>
      <c r="J151" s="21" t="s">
        <v>390</v>
      </c>
    </row>
    <row r="152" spans="1:10" ht="19.5" customHeight="1" x14ac:dyDescent="0.35">
      <c r="A152" s="21" t="s">
        <v>142</v>
      </c>
      <c r="B152" s="21" t="s">
        <v>143</v>
      </c>
      <c r="C152" s="21" t="s">
        <v>109</v>
      </c>
      <c r="D152" s="22">
        <v>1</v>
      </c>
      <c r="E152" s="21" t="s">
        <v>391</v>
      </c>
      <c r="F152" s="21" t="s">
        <v>145</v>
      </c>
      <c r="G152" s="21" t="s">
        <v>146</v>
      </c>
      <c r="H152" s="21" t="s">
        <v>147</v>
      </c>
      <c r="I152" s="21" t="s">
        <v>148</v>
      </c>
      <c r="J152" s="21" t="s">
        <v>392</v>
      </c>
    </row>
    <row r="153" spans="1:10" ht="19.5" customHeight="1" x14ac:dyDescent="0.35">
      <c r="A153" s="21" t="s">
        <v>142</v>
      </c>
      <c r="B153" s="21" t="s">
        <v>143</v>
      </c>
      <c r="C153" s="21" t="s">
        <v>109</v>
      </c>
      <c r="D153" s="22">
        <v>1</v>
      </c>
      <c r="E153" s="21" t="s">
        <v>393</v>
      </c>
      <c r="F153" s="21" t="s">
        <v>145</v>
      </c>
      <c r="G153" s="21" t="s">
        <v>146</v>
      </c>
      <c r="H153" s="21" t="s">
        <v>147</v>
      </c>
      <c r="I153" s="21" t="s">
        <v>148</v>
      </c>
      <c r="J153" s="21" t="s">
        <v>394</v>
      </c>
    </row>
    <row r="154" spans="1:10" ht="19.5" customHeight="1" x14ac:dyDescent="0.35">
      <c r="A154" s="21" t="s">
        <v>142</v>
      </c>
      <c r="B154" s="21" t="s">
        <v>143</v>
      </c>
      <c r="C154" s="21" t="s">
        <v>109</v>
      </c>
      <c r="D154" s="22">
        <v>1</v>
      </c>
      <c r="E154" s="21" t="s">
        <v>395</v>
      </c>
      <c r="F154" s="21" t="s">
        <v>145</v>
      </c>
      <c r="G154" s="21" t="s">
        <v>146</v>
      </c>
      <c r="H154" s="21" t="s">
        <v>147</v>
      </c>
      <c r="I154" s="21" t="s">
        <v>148</v>
      </c>
      <c r="J154" s="21" t="s">
        <v>396</v>
      </c>
    </row>
    <row r="155" spans="1:10" ht="19.5" customHeight="1" x14ac:dyDescent="0.35">
      <c r="A155" s="21" t="s">
        <v>142</v>
      </c>
      <c r="B155" s="21" t="s">
        <v>143</v>
      </c>
      <c r="C155" s="21" t="s">
        <v>109</v>
      </c>
      <c r="D155" s="22">
        <v>1</v>
      </c>
      <c r="E155" s="21" t="s">
        <v>397</v>
      </c>
      <c r="F155" s="21" t="s">
        <v>145</v>
      </c>
      <c r="G155" s="21" t="s">
        <v>146</v>
      </c>
      <c r="H155" s="21" t="s">
        <v>147</v>
      </c>
      <c r="I155" s="21" t="s">
        <v>148</v>
      </c>
      <c r="J155" s="21" t="s">
        <v>394</v>
      </c>
    </row>
    <row r="156" spans="1:10" ht="19.5" customHeight="1" x14ac:dyDescent="0.35">
      <c r="A156" s="21" t="s">
        <v>142</v>
      </c>
      <c r="B156" s="21" t="s">
        <v>143</v>
      </c>
      <c r="C156" s="21" t="s">
        <v>109</v>
      </c>
      <c r="D156" s="22">
        <v>1</v>
      </c>
      <c r="E156" s="21" t="s">
        <v>398</v>
      </c>
      <c r="F156" s="21" t="s">
        <v>145</v>
      </c>
      <c r="G156" s="21" t="s">
        <v>146</v>
      </c>
      <c r="H156" s="21" t="s">
        <v>147</v>
      </c>
      <c r="I156" s="21" t="s">
        <v>148</v>
      </c>
      <c r="J156" s="21" t="s">
        <v>399</v>
      </c>
    </row>
    <row r="157" spans="1:10" ht="19.5" customHeight="1" x14ac:dyDescent="0.35">
      <c r="A157" s="21" t="s">
        <v>142</v>
      </c>
      <c r="B157" s="21" t="s">
        <v>143</v>
      </c>
      <c r="C157" s="21" t="s">
        <v>109</v>
      </c>
      <c r="D157" s="22">
        <v>1</v>
      </c>
      <c r="E157" s="21" t="s">
        <v>400</v>
      </c>
      <c r="F157" s="21" t="s">
        <v>145</v>
      </c>
      <c r="G157" s="21" t="s">
        <v>146</v>
      </c>
      <c r="H157" s="21" t="s">
        <v>147</v>
      </c>
      <c r="I157" s="21" t="s">
        <v>148</v>
      </c>
      <c r="J157" s="21" t="s">
        <v>401</v>
      </c>
    </row>
    <row r="158" spans="1:10" ht="19.5" customHeight="1" x14ac:dyDescent="0.35">
      <c r="A158" s="21" t="s">
        <v>142</v>
      </c>
      <c r="B158" s="21" t="s">
        <v>143</v>
      </c>
      <c r="C158" s="21" t="s">
        <v>109</v>
      </c>
      <c r="D158" s="22">
        <v>1</v>
      </c>
      <c r="E158" s="21" t="s">
        <v>402</v>
      </c>
      <c r="F158" s="21" t="s">
        <v>145</v>
      </c>
      <c r="G158" s="21" t="s">
        <v>146</v>
      </c>
      <c r="H158" s="21" t="s">
        <v>147</v>
      </c>
      <c r="I158" s="21" t="s">
        <v>148</v>
      </c>
      <c r="J158" s="21" t="s">
        <v>403</v>
      </c>
    </row>
    <row r="159" spans="1:10" ht="19.5" customHeight="1" x14ac:dyDescent="0.35">
      <c r="A159" s="21" t="s">
        <v>142</v>
      </c>
      <c r="B159" s="21" t="s">
        <v>143</v>
      </c>
      <c r="C159" s="21" t="s">
        <v>109</v>
      </c>
      <c r="D159" s="22">
        <v>1</v>
      </c>
      <c r="E159" s="21" t="s">
        <v>404</v>
      </c>
      <c r="F159" s="21" t="s">
        <v>145</v>
      </c>
      <c r="G159" s="21" t="s">
        <v>146</v>
      </c>
      <c r="H159" s="21" t="s">
        <v>147</v>
      </c>
      <c r="I159" s="21" t="s">
        <v>148</v>
      </c>
      <c r="J159" s="21" t="s">
        <v>392</v>
      </c>
    </row>
    <row r="160" spans="1:10" ht="19.5" customHeight="1" x14ac:dyDescent="0.35">
      <c r="A160" s="21" t="s">
        <v>142</v>
      </c>
      <c r="B160" s="21" t="s">
        <v>143</v>
      </c>
      <c r="C160" s="21" t="s">
        <v>109</v>
      </c>
      <c r="D160" s="22">
        <v>1</v>
      </c>
      <c r="E160" s="21" t="s">
        <v>405</v>
      </c>
      <c r="F160" s="21" t="s">
        <v>145</v>
      </c>
      <c r="G160" s="21" t="s">
        <v>146</v>
      </c>
      <c r="H160" s="21" t="s">
        <v>147</v>
      </c>
      <c r="I160" s="21" t="s">
        <v>148</v>
      </c>
      <c r="J160" s="21" t="s">
        <v>406</v>
      </c>
    </row>
    <row r="161" spans="1:10" ht="19.5" customHeight="1" x14ac:dyDescent="0.35">
      <c r="A161" s="21" t="s">
        <v>142</v>
      </c>
      <c r="B161" s="21" t="s">
        <v>143</v>
      </c>
      <c r="C161" s="21" t="s">
        <v>109</v>
      </c>
      <c r="D161" s="22">
        <v>1</v>
      </c>
      <c r="E161" s="21" t="s">
        <v>407</v>
      </c>
      <c r="F161" s="21" t="s">
        <v>145</v>
      </c>
      <c r="G161" s="21" t="s">
        <v>146</v>
      </c>
      <c r="H161" s="21" t="s">
        <v>147</v>
      </c>
      <c r="I161" s="21" t="s">
        <v>148</v>
      </c>
      <c r="J161" s="21" t="s">
        <v>408</v>
      </c>
    </row>
    <row r="162" spans="1:10" ht="19.5" customHeight="1" x14ac:dyDescent="0.35">
      <c r="A162" s="21" t="s">
        <v>142</v>
      </c>
      <c r="B162" s="21" t="s">
        <v>143</v>
      </c>
      <c r="C162" s="21" t="s">
        <v>109</v>
      </c>
      <c r="D162" s="22">
        <v>1</v>
      </c>
      <c r="E162" s="21" t="s">
        <v>409</v>
      </c>
      <c r="F162" s="21" t="s">
        <v>145</v>
      </c>
      <c r="G162" s="21" t="s">
        <v>146</v>
      </c>
      <c r="H162" s="21" t="s">
        <v>147</v>
      </c>
      <c r="I162" s="21" t="s">
        <v>148</v>
      </c>
      <c r="J162" s="21" t="s">
        <v>410</v>
      </c>
    </row>
    <row r="163" spans="1:10" ht="19.5" customHeight="1" x14ac:dyDescent="0.35">
      <c r="A163" s="21" t="s">
        <v>142</v>
      </c>
      <c r="B163" s="21" t="s">
        <v>143</v>
      </c>
      <c r="C163" s="21" t="s">
        <v>109</v>
      </c>
      <c r="D163" s="22">
        <v>1</v>
      </c>
      <c r="E163" s="21" t="s">
        <v>411</v>
      </c>
      <c r="F163" s="21" t="s">
        <v>145</v>
      </c>
      <c r="G163" s="21" t="s">
        <v>146</v>
      </c>
      <c r="H163" s="21" t="s">
        <v>147</v>
      </c>
      <c r="I163" s="21" t="s">
        <v>148</v>
      </c>
      <c r="J163" s="21" t="s">
        <v>412</v>
      </c>
    </row>
    <row r="164" spans="1:10" ht="19.5" customHeight="1" x14ac:dyDescent="0.35">
      <c r="A164" s="21" t="s">
        <v>142</v>
      </c>
      <c r="B164" s="21" t="s">
        <v>143</v>
      </c>
      <c r="C164" s="21" t="s">
        <v>109</v>
      </c>
      <c r="D164" s="22">
        <v>1</v>
      </c>
      <c r="E164" s="21" t="s">
        <v>413</v>
      </c>
      <c r="F164" s="21" t="s">
        <v>145</v>
      </c>
      <c r="G164" s="21" t="s">
        <v>146</v>
      </c>
      <c r="H164" s="21" t="s">
        <v>147</v>
      </c>
      <c r="I164" s="21" t="s">
        <v>148</v>
      </c>
      <c r="J164" s="21" t="s">
        <v>414</v>
      </c>
    </row>
    <row r="165" spans="1:10" ht="19.5" customHeight="1" x14ac:dyDescent="0.35">
      <c r="A165" s="21" t="s">
        <v>142</v>
      </c>
      <c r="B165" s="21" t="s">
        <v>143</v>
      </c>
      <c r="C165" s="21" t="s">
        <v>109</v>
      </c>
      <c r="D165" s="22">
        <v>1</v>
      </c>
      <c r="E165" s="21" t="s">
        <v>415</v>
      </c>
      <c r="F165" s="21" t="s">
        <v>145</v>
      </c>
      <c r="G165" s="21" t="s">
        <v>146</v>
      </c>
      <c r="H165" s="21" t="s">
        <v>147</v>
      </c>
      <c r="I165" s="21" t="s">
        <v>148</v>
      </c>
      <c r="J165" s="21" t="s">
        <v>416</v>
      </c>
    </row>
    <row r="166" spans="1:10" ht="19.5" customHeight="1" x14ac:dyDescent="0.35">
      <c r="A166" s="21" t="s">
        <v>142</v>
      </c>
      <c r="B166" s="21" t="s">
        <v>143</v>
      </c>
      <c r="C166" s="21" t="s">
        <v>109</v>
      </c>
      <c r="D166" s="22">
        <v>1</v>
      </c>
      <c r="E166" s="21" t="s">
        <v>417</v>
      </c>
      <c r="F166" s="21" t="s">
        <v>145</v>
      </c>
      <c r="G166" s="21" t="s">
        <v>146</v>
      </c>
      <c r="H166" s="21" t="s">
        <v>147</v>
      </c>
      <c r="I166" s="21" t="s">
        <v>148</v>
      </c>
      <c r="J166" s="21" t="s">
        <v>418</v>
      </c>
    </row>
    <row r="167" spans="1:10" ht="19.5" customHeight="1" x14ac:dyDescent="0.35">
      <c r="A167" s="21" t="s">
        <v>142</v>
      </c>
      <c r="B167" s="21" t="s">
        <v>143</v>
      </c>
      <c r="C167" s="21" t="s">
        <v>109</v>
      </c>
      <c r="D167" s="22">
        <v>1</v>
      </c>
      <c r="E167" s="21" t="s">
        <v>419</v>
      </c>
      <c r="F167" s="21" t="s">
        <v>145</v>
      </c>
      <c r="G167" s="21" t="s">
        <v>146</v>
      </c>
      <c r="H167" s="21" t="s">
        <v>147</v>
      </c>
      <c r="I167" s="21" t="s">
        <v>148</v>
      </c>
      <c r="J167" s="21" t="s">
        <v>420</v>
      </c>
    </row>
    <row r="168" spans="1:10" ht="19.5" customHeight="1" x14ac:dyDescent="0.35">
      <c r="A168" s="21" t="s">
        <v>142</v>
      </c>
      <c r="B168" s="21" t="s">
        <v>143</v>
      </c>
      <c r="C168" s="21" t="s">
        <v>109</v>
      </c>
      <c r="D168" s="22">
        <v>1</v>
      </c>
      <c r="E168" s="21" t="s">
        <v>421</v>
      </c>
      <c r="F168" s="21" t="s">
        <v>145</v>
      </c>
      <c r="G168" s="21" t="s">
        <v>146</v>
      </c>
      <c r="H168" s="21" t="s">
        <v>147</v>
      </c>
      <c r="I168" s="21" t="s">
        <v>148</v>
      </c>
      <c r="J168" s="21" t="s">
        <v>422</v>
      </c>
    </row>
    <row r="169" spans="1:10" ht="19.5" customHeight="1" x14ac:dyDescent="0.35">
      <c r="A169" s="21" t="s">
        <v>142</v>
      </c>
      <c r="B169" s="21" t="s">
        <v>143</v>
      </c>
      <c r="C169" s="21" t="s">
        <v>109</v>
      </c>
      <c r="D169" s="22">
        <v>1</v>
      </c>
      <c r="E169" s="21" t="s">
        <v>224</v>
      </c>
      <c r="F169" s="21" t="s">
        <v>145</v>
      </c>
      <c r="G169" s="21" t="s">
        <v>146</v>
      </c>
      <c r="H169" s="21" t="s">
        <v>147</v>
      </c>
      <c r="I169" s="21" t="s">
        <v>148</v>
      </c>
      <c r="J169" s="21" t="s">
        <v>423</v>
      </c>
    </row>
    <row r="170" spans="1:10" ht="19.5" customHeight="1" x14ac:dyDescent="0.35">
      <c r="A170" s="21" t="s">
        <v>142</v>
      </c>
      <c r="B170" s="21" t="s">
        <v>424</v>
      </c>
      <c r="C170" s="21" t="s">
        <v>109</v>
      </c>
      <c r="D170" s="22">
        <v>1</v>
      </c>
      <c r="E170" s="21"/>
      <c r="F170" s="21" t="s">
        <v>145</v>
      </c>
      <c r="G170" s="21" t="s">
        <v>146</v>
      </c>
      <c r="H170" s="21" t="s">
        <v>425</v>
      </c>
      <c r="I170" s="21" t="s">
        <v>148</v>
      </c>
      <c r="J170" s="21" t="s">
        <v>426</v>
      </c>
    </row>
    <row r="171" spans="1:10" ht="19.5" customHeight="1" x14ac:dyDescent="0.35">
      <c r="A171" s="21" t="s">
        <v>142</v>
      </c>
      <c r="B171" s="21" t="s">
        <v>143</v>
      </c>
      <c r="C171" s="21" t="s">
        <v>109</v>
      </c>
      <c r="D171" s="22">
        <v>1</v>
      </c>
      <c r="E171" s="21" t="s">
        <v>427</v>
      </c>
      <c r="F171" s="21" t="s">
        <v>145</v>
      </c>
      <c r="G171" s="21" t="s">
        <v>146</v>
      </c>
      <c r="H171" s="21" t="s">
        <v>147</v>
      </c>
      <c r="I171" s="21" t="s">
        <v>148</v>
      </c>
      <c r="J171" s="21" t="s">
        <v>428</v>
      </c>
    </row>
    <row r="172" spans="1:10" ht="19.5" customHeight="1" x14ac:dyDescent="0.35">
      <c r="A172" s="21" t="s">
        <v>142</v>
      </c>
      <c r="B172" s="21" t="s">
        <v>143</v>
      </c>
      <c r="C172" s="21" t="s">
        <v>109</v>
      </c>
      <c r="D172" s="22">
        <v>1</v>
      </c>
      <c r="E172" s="21" t="s">
        <v>429</v>
      </c>
      <c r="F172" s="21" t="s">
        <v>145</v>
      </c>
      <c r="G172" s="21" t="s">
        <v>146</v>
      </c>
      <c r="H172" s="21" t="s">
        <v>147</v>
      </c>
      <c r="I172" s="21" t="s">
        <v>148</v>
      </c>
      <c r="J172" s="21" t="s">
        <v>430</v>
      </c>
    </row>
    <row r="173" spans="1:10" ht="19.5" customHeight="1" x14ac:dyDescent="0.35">
      <c r="A173" s="21" t="s">
        <v>142</v>
      </c>
      <c r="B173" s="21" t="s">
        <v>143</v>
      </c>
      <c r="C173" s="21" t="s">
        <v>109</v>
      </c>
      <c r="D173" s="22">
        <v>1</v>
      </c>
      <c r="E173" s="21" t="s">
        <v>431</v>
      </c>
      <c r="F173" s="21" t="s">
        <v>145</v>
      </c>
      <c r="G173" s="21" t="s">
        <v>146</v>
      </c>
      <c r="H173" s="21" t="s">
        <v>147</v>
      </c>
      <c r="I173" s="21" t="s">
        <v>148</v>
      </c>
      <c r="J173" s="21" t="s">
        <v>432</v>
      </c>
    </row>
    <row r="174" spans="1:10" ht="19.5" customHeight="1" x14ac:dyDescent="0.35">
      <c r="A174" s="21" t="s">
        <v>142</v>
      </c>
      <c r="B174" s="21" t="s">
        <v>42</v>
      </c>
      <c r="C174" s="21" t="s">
        <v>109</v>
      </c>
      <c r="D174" s="22">
        <v>1</v>
      </c>
      <c r="E174" s="21" t="s">
        <v>433</v>
      </c>
      <c r="F174" s="21" t="s">
        <v>151</v>
      </c>
      <c r="G174" s="21" t="s">
        <v>146</v>
      </c>
      <c r="H174" s="21" t="s">
        <v>434</v>
      </c>
      <c r="I174" s="21" t="s">
        <v>148</v>
      </c>
      <c r="J174" s="21" t="s">
        <v>435</v>
      </c>
    </row>
    <row r="175" spans="1:10" ht="19.5" customHeight="1" x14ac:dyDescent="0.35">
      <c r="A175" s="21" t="s">
        <v>142</v>
      </c>
      <c r="B175" s="21" t="s">
        <v>42</v>
      </c>
      <c r="C175" s="21" t="s">
        <v>109</v>
      </c>
      <c r="D175" s="22">
        <v>1</v>
      </c>
      <c r="E175" s="21" t="s">
        <v>433</v>
      </c>
      <c r="F175" s="21" t="s">
        <v>151</v>
      </c>
      <c r="G175" s="21" t="s">
        <v>146</v>
      </c>
      <c r="H175" s="21" t="s">
        <v>434</v>
      </c>
      <c r="I175" s="21" t="s">
        <v>148</v>
      </c>
      <c r="J175" s="21" t="s">
        <v>436</v>
      </c>
    </row>
    <row r="176" spans="1:10" ht="19.5" customHeight="1" x14ac:dyDescent="0.35">
      <c r="A176" s="21" t="s">
        <v>142</v>
      </c>
      <c r="B176" s="21" t="s">
        <v>42</v>
      </c>
      <c r="C176" s="21" t="s">
        <v>109</v>
      </c>
      <c r="D176" s="22">
        <v>1</v>
      </c>
      <c r="E176" s="21" t="s">
        <v>433</v>
      </c>
      <c r="F176" s="21" t="s">
        <v>151</v>
      </c>
      <c r="G176" s="21" t="s">
        <v>146</v>
      </c>
      <c r="H176" s="21" t="s">
        <v>434</v>
      </c>
      <c r="I176" s="21" t="s">
        <v>148</v>
      </c>
      <c r="J176" s="21" t="s">
        <v>437</v>
      </c>
    </row>
    <row r="177" spans="1:10" ht="19.5" customHeight="1" x14ac:dyDescent="0.35">
      <c r="A177" s="21" t="s">
        <v>142</v>
      </c>
      <c r="B177" s="21" t="s">
        <v>42</v>
      </c>
      <c r="C177" s="21" t="s">
        <v>109</v>
      </c>
      <c r="D177" s="22">
        <v>1</v>
      </c>
      <c r="E177" s="21" t="s">
        <v>433</v>
      </c>
      <c r="F177" s="21" t="s">
        <v>151</v>
      </c>
      <c r="G177" s="21" t="s">
        <v>146</v>
      </c>
      <c r="H177" s="21" t="s">
        <v>434</v>
      </c>
      <c r="I177" s="21" t="s">
        <v>148</v>
      </c>
      <c r="J177" s="21" t="s">
        <v>438</v>
      </c>
    </row>
    <row r="178" spans="1:10" ht="19.5" customHeight="1" x14ac:dyDescent="0.35">
      <c r="A178" s="21" t="s">
        <v>142</v>
      </c>
      <c r="B178" s="21" t="s">
        <v>40</v>
      </c>
      <c r="C178" s="21" t="s">
        <v>109</v>
      </c>
      <c r="D178" s="22">
        <v>1</v>
      </c>
      <c r="E178" s="21" t="s">
        <v>439</v>
      </c>
      <c r="F178" s="21" t="s">
        <v>151</v>
      </c>
      <c r="G178" s="21" t="s">
        <v>146</v>
      </c>
      <c r="H178" s="21" t="s">
        <v>440</v>
      </c>
      <c r="I178" s="21" t="s">
        <v>148</v>
      </c>
      <c r="J178" s="21" t="s">
        <v>441</v>
      </c>
    </row>
    <row r="179" spans="1:10" ht="19.5" customHeight="1" x14ac:dyDescent="0.35">
      <c r="A179" s="21" t="s">
        <v>142</v>
      </c>
      <c r="B179" s="21" t="s">
        <v>40</v>
      </c>
      <c r="C179" s="21" t="s">
        <v>109</v>
      </c>
      <c r="D179" s="22">
        <v>1</v>
      </c>
      <c r="E179" s="21" t="s">
        <v>442</v>
      </c>
      <c r="F179" s="21" t="s">
        <v>151</v>
      </c>
      <c r="G179" s="21" t="s">
        <v>146</v>
      </c>
      <c r="H179" s="21" t="s">
        <v>440</v>
      </c>
      <c r="I179" s="21" t="s">
        <v>148</v>
      </c>
      <c r="J179" s="21" t="s">
        <v>443</v>
      </c>
    </row>
    <row r="180" spans="1:10" ht="19.5" customHeight="1" x14ac:dyDescent="0.35">
      <c r="A180" s="21" t="s">
        <v>142</v>
      </c>
      <c r="B180" s="21" t="s">
        <v>40</v>
      </c>
      <c r="C180" s="21" t="s">
        <v>109</v>
      </c>
      <c r="D180" s="22">
        <v>1</v>
      </c>
      <c r="E180" s="21" t="s">
        <v>444</v>
      </c>
      <c r="F180" s="21" t="s">
        <v>151</v>
      </c>
      <c r="G180" s="21" t="s">
        <v>146</v>
      </c>
      <c r="H180" s="21" t="s">
        <v>440</v>
      </c>
      <c r="I180" s="21" t="s">
        <v>148</v>
      </c>
      <c r="J180" s="21" t="s">
        <v>445</v>
      </c>
    </row>
    <row r="181" spans="1:10" ht="19.5" customHeight="1" x14ac:dyDescent="0.35">
      <c r="A181" s="21" t="s">
        <v>142</v>
      </c>
      <c r="B181" s="21" t="s">
        <v>40</v>
      </c>
      <c r="C181" s="21" t="s">
        <v>109</v>
      </c>
      <c r="D181" s="22">
        <v>1</v>
      </c>
      <c r="E181" s="21" t="s">
        <v>446</v>
      </c>
      <c r="F181" s="21" t="s">
        <v>151</v>
      </c>
      <c r="G181" s="21" t="s">
        <v>146</v>
      </c>
      <c r="H181" s="21" t="s">
        <v>440</v>
      </c>
      <c r="I181" s="21" t="s">
        <v>148</v>
      </c>
      <c r="J181" s="21" t="s">
        <v>447</v>
      </c>
    </row>
    <row r="182" spans="1:10" ht="19.5" customHeight="1" x14ac:dyDescent="0.35">
      <c r="A182" s="21" t="s">
        <v>142</v>
      </c>
      <c r="B182" s="21" t="s">
        <v>40</v>
      </c>
      <c r="C182" s="21" t="s">
        <v>109</v>
      </c>
      <c r="D182" s="22">
        <v>1</v>
      </c>
      <c r="E182" s="21" t="s">
        <v>448</v>
      </c>
      <c r="F182" s="21" t="s">
        <v>151</v>
      </c>
      <c r="G182" s="21" t="s">
        <v>146</v>
      </c>
      <c r="H182" s="21" t="s">
        <v>440</v>
      </c>
      <c r="I182" s="21" t="s">
        <v>148</v>
      </c>
      <c r="J182" s="21" t="s">
        <v>449</v>
      </c>
    </row>
    <row r="183" spans="1:10" ht="19.5" customHeight="1" x14ac:dyDescent="0.35">
      <c r="A183" s="21" t="s">
        <v>142</v>
      </c>
      <c r="B183" s="21" t="s">
        <v>40</v>
      </c>
      <c r="C183" s="21" t="s">
        <v>109</v>
      </c>
      <c r="D183" s="22">
        <v>1</v>
      </c>
      <c r="E183" s="21" t="s">
        <v>450</v>
      </c>
      <c r="F183" s="21" t="s">
        <v>151</v>
      </c>
      <c r="G183" s="21" t="s">
        <v>146</v>
      </c>
      <c r="H183" s="21" t="s">
        <v>440</v>
      </c>
      <c r="I183" s="21" t="s">
        <v>148</v>
      </c>
      <c r="J183" s="21" t="s">
        <v>451</v>
      </c>
    </row>
    <row r="184" spans="1:10" ht="19.5" customHeight="1" x14ac:dyDescent="0.35">
      <c r="A184" s="21" t="s">
        <v>142</v>
      </c>
      <c r="B184" s="21" t="s">
        <v>40</v>
      </c>
      <c r="C184" s="21" t="s">
        <v>109</v>
      </c>
      <c r="D184" s="22">
        <v>1</v>
      </c>
      <c r="E184" s="21" t="s">
        <v>452</v>
      </c>
      <c r="F184" s="21" t="s">
        <v>151</v>
      </c>
      <c r="G184" s="21" t="s">
        <v>146</v>
      </c>
      <c r="H184" s="21" t="s">
        <v>440</v>
      </c>
      <c r="I184" s="21" t="s">
        <v>148</v>
      </c>
      <c r="J184" s="21" t="s">
        <v>453</v>
      </c>
    </row>
    <row r="185" spans="1:10" ht="19.5" customHeight="1" x14ac:dyDescent="0.35">
      <c r="A185" s="23" t="s">
        <v>142</v>
      </c>
      <c r="B185" s="23" t="s">
        <v>40</v>
      </c>
      <c r="C185" s="23" t="s">
        <v>109</v>
      </c>
      <c r="D185" s="24">
        <v>1</v>
      </c>
      <c r="E185" s="23" t="s">
        <v>454</v>
      </c>
      <c r="F185" s="23" t="s">
        <v>157</v>
      </c>
      <c r="G185" s="23" t="s">
        <v>158</v>
      </c>
      <c r="H185" s="23" t="s">
        <v>440</v>
      </c>
      <c r="I185" s="23" t="s">
        <v>148</v>
      </c>
      <c r="J185" s="23" t="s">
        <v>455</v>
      </c>
    </row>
    <row r="186" spans="1:10" ht="19.5" customHeight="1" x14ac:dyDescent="0.35">
      <c r="A186" s="21" t="s">
        <v>142</v>
      </c>
      <c r="B186" s="21" t="s">
        <v>40</v>
      </c>
      <c r="C186" s="21" t="s">
        <v>109</v>
      </c>
      <c r="D186" s="22">
        <v>1</v>
      </c>
      <c r="E186" s="21" t="s">
        <v>456</v>
      </c>
      <c r="F186" s="21" t="s">
        <v>151</v>
      </c>
      <c r="G186" s="21" t="s">
        <v>146</v>
      </c>
      <c r="H186" s="21" t="s">
        <v>440</v>
      </c>
      <c r="I186" s="21" t="s">
        <v>148</v>
      </c>
      <c r="J186" s="21" t="s">
        <v>453</v>
      </c>
    </row>
    <row r="187" spans="1:10" ht="19.5" customHeight="1" x14ac:dyDescent="0.35">
      <c r="A187" s="21" t="s">
        <v>142</v>
      </c>
      <c r="B187" s="21" t="s">
        <v>40</v>
      </c>
      <c r="C187" s="21" t="s">
        <v>109</v>
      </c>
      <c r="D187" s="22">
        <v>1</v>
      </c>
      <c r="E187" s="21" t="s">
        <v>457</v>
      </c>
      <c r="F187" s="21" t="s">
        <v>151</v>
      </c>
      <c r="G187" s="21" t="s">
        <v>146</v>
      </c>
      <c r="H187" s="21" t="s">
        <v>440</v>
      </c>
      <c r="I187" s="21" t="s">
        <v>148</v>
      </c>
      <c r="J187" s="21" t="s">
        <v>458</v>
      </c>
    </row>
    <row r="188" spans="1:10" ht="19.5" customHeight="1" x14ac:dyDescent="0.35">
      <c r="A188" s="21" t="s">
        <v>142</v>
      </c>
      <c r="B188" s="21" t="s">
        <v>40</v>
      </c>
      <c r="C188" s="21" t="s">
        <v>109</v>
      </c>
      <c r="D188" s="22">
        <v>1</v>
      </c>
      <c r="E188" s="21" t="s">
        <v>459</v>
      </c>
      <c r="F188" s="21" t="s">
        <v>151</v>
      </c>
      <c r="G188" s="21" t="s">
        <v>146</v>
      </c>
      <c r="H188" s="21" t="s">
        <v>440</v>
      </c>
      <c r="I188" s="21" t="s">
        <v>148</v>
      </c>
      <c r="J188" s="21" t="s">
        <v>460</v>
      </c>
    </row>
    <row r="189" spans="1:10" ht="19.5" customHeight="1" x14ac:dyDescent="0.35">
      <c r="A189" s="21" t="s">
        <v>142</v>
      </c>
      <c r="B189" s="21" t="s">
        <v>40</v>
      </c>
      <c r="C189" s="21" t="s">
        <v>109</v>
      </c>
      <c r="D189" s="22">
        <v>1</v>
      </c>
      <c r="E189" s="21" t="s">
        <v>461</v>
      </c>
      <c r="F189" s="21" t="s">
        <v>151</v>
      </c>
      <c r="G189" s="21" t="s">
        <v>146</v>
      </c>
      <c r="H189" s="21" t="s">
        <v>440</v>
      </c>
      <c r="I189" s="21" t="s">
        <v>148</v>
      </c>
      <c r="J189" s="21" t="s">
        <v>462</v>
      </c>
    </row>
    <row r="190" spans="1:10" ht="19.5" customHeight="1" x14ac:dyDescent="0.35">
      <c r="A190" s="23" t="s">
        <v>142</v>
      </c>
      <c r="B190" s="23" t="s">
        <v>40</v>
      </c>
      <c r="C190" s="23" t="s">
        <v>109</v>
      </c>
      <c r="D190" s="24">
        <v>1</v>
      </c>
      <c r="E190" s="23" t="s">
        <v>463</v>
      </c>
      <c r="F190" s="23" t="s">
        <v>157</v>
      </c>
      <c r="G190" s="23" t="s">
        <v>158</v>
      </c>
      <c r="H190" s="23" t="s">
        <v>440</v>
      </c>
      <c r="I190" s="23" t="s">
        <v>148</v>
      </c>
      <c r="J190" s="23" t="s">
        <v>455</v>
      </c>
    </row>
    <row r="191" spans="1:10" ht="19.5" customHeight="1" x14ac:dyDescent="0.35">
      <c r="A191" s="21" t="s">
        <v>142</v>
      </c>
      <c r="B191" s="21" t="s">
        <v>38</v>
      </c>
      <c r="C191" s="21" t="s">
        <v>109</v>
      </c>
      <c r="D191" s="22">
        <v>1</v>
      </c>
      <c r="E191" s="21" t="s">
        <v>464</v>
      </c>
      <c r="F191" s="21" t="s">
        <v>151</v>
      </c>
      <c r="G191" s="21" t="s">
        <v>146</v>
      </c>
      <c r="H191" s="21" t="s">
        <v>465</v>
      </c>
      <c r="I191" s="21" t="s">
        <v>148</v>
      </c>
      <c r="J191" s="21" t="s">
        <v>466</v>
      </c>
    </row>
    <row r="192" spans="1:10" ht="19.5" customHeight="1" x14ac:dyDescent="0.35">
      <c r="A192" s="21" t="s">
        <v>142</v>
      </c>
      <c r="B192" s="21" t="s">
        <v>38</v>
      </c>
      <c r="C192" s="21" t="s">
        <v>109</v>
      </c>
      <c r="D192" s="22">
        <v>1</v>
      </c>
      <c r="E192" s="21" t="s">
        <v>467</v>
      </c>
      <c r="F192" s="21" t="s">
        <v>151</v>
      </c>
      <c r="G192" s="21" t="s">
        <v>146</v>
      </c>
      <c r="H192" s="21" t="s">
        <v>465</v>
      </c>
      <c r="I192" s="21" t="s">
        <v>148</v>
      </c>
      <c r="J192" s="21" t="s">
        <v>468</v>
      </c>
    </row>
    <row r="193" spans="1:10" ht="19.5" customHeight="1" x14ac:dyDescent="0.35">
      <c r="A193" s="21" t="s">
        <v>142</v>
      </c>
      <c r="B193" s="21" t="s">
        <v>38</v>
      </c>
      <c r="C193" s="21" t="s">
        <v>109</v>
      </c>
      <c r="D193" s="22">
        <v>1</v>
      </c>
      <c r="E193" s="21" t="s">
        <v>469</v>
      </c>
      <c r="F193" s="21" t="s">
        <v>151</v>
      </c>
      <c r="G193" s="21" t="s">
        <v>146</v>
      </c>
      <c r="H193" s="21" t="s">
        <v>465</v>
      </c>
      <c r="I193" s="21" t="s">
        <v>148</v>
      </c>
      <c r="J193" s="21" t="s">
        <v>470</v>
      </c>
    </row>
    <row r="194" spans="1:10" ht="19.5" customHeight="1" x14ac:dyDescent="0.35">
      <c r="A194" s="21" t="s">
        <v>142</v>
      </c>
      <c r="B194" s="21" t="s">
        <v>38</v>
      </c>
      <c r="C194" s="21" t="s">
        <v>109</v>
      </c>
      <c r="D194" s="22">
        <v>1</v>
      </c>
      <c r="E194" s="21" t="s">
        <v>471</v>
      </c>
      <c r="F194" s="21" t="s">
        <v>151</v>
      </c>
      <c r="G194" s="21" t="s">
        <v>146</v>
      </c>
      <c r="H194" s="21" t="s">
        <v>465</v>
      </c>
      <c r="I194" s="21" t="s">
        <v>148</v>
      </c>
      <c r="J194" s="21" t="s">
        <v>472</v>
      </c>
    </row>
    <row r="195" spans="1:10" ht="19.5" customHeight="1" x14ac:dyDescent="0.35">
      <c r="A195" s="21" t="s">
        <v>142</v>
      </c>
      <c r="B195" s="21" t="s">
        <v>38</v>
      </c>
      <c r="C195" s="21" t="s">
        <v>109</v>
      </c>
      <c r="D195" s="22">
        <v>1</v>
      </c>
      <c r="E195" s="21" t="s">
        <v>473</v>
      </c>
      <c r="F195" s="21" t="s">
        <v>151</v>
      </c>
      <c r="G195" s="21" t="s">
        <v>146</v>
      </c>
      <c r="H195" s="21" t="s">
        <v>465</v>
      </c>
      <c r="I195" s="21" t="s">
        <v>148</v>
      </c>
      <c r="J195" s="21" t="s">
        <v>474</v>
      </c>
    </row>
    <row r="196" spans="1:10" ht="19.5" customHeight="1" x14ac:dyDescent="0.35">
      <c r="A196" s="21" t="s">
        <v>142</v>
      </c>
      <c r="B196" s="21" t="s">
        <v>38</v>
      </c>
      <c r="C196" s="21" t="s">
        <v>109</v>
      </c>
      <c r="D196" s="22">
        <v>1</v>
      </c>
      <c r="E196" s="21" t="s">
        <v>475</v>
      </c>
      <c r="F196" s="21" t="s">
        <v>151</v>
      </c>
      <c r="G196" s="21" t="s">
        <v>146</v>
      </c>
      <c r="H196" s="21" t="s">
        <v>465</v>
      </c>
      <c r="I196" s="21" t="s">
        <v>148</v>
      </c>
      <c r="J196" s="21" t="s">
        <v>476</v>
      </c>
    </row>
    <row r="197" spans="1:10" ht="19.5" customHeight="1" x14ac:dyDescent="0.35">
      <c r="A197" s="21" t="s">
        <v>142</v>
      </c>
      <c r="B197" s="21" t="s">
        <v>38</v>
      </c>
      <c r="C197" s="21" t="s">
        <v>109</v>
      </c>
      <c r="D197" s="22">
        <v>1</v>
      </c>
      <c r="E197" s="21" t="s">
        <v>477</v>
      </c>
      <c r="F197" s="21" t="s">
        <v>151</v>
      </c>
      <c r="G197" s="21" t="s">
        <v>146</v>
      </c>
      <c r="H197" s="21" t="s">
        <v>465</v>
      </c>
      <c r="I197" s="21" t="s">
        <v>148</v>
      </c>
      <c r="J197" s="21" t="s">
        <v>478</v>
      </c>
    </row>
    <row r="198" spans="1:10" ht="19.5" customHeight="1" x14ac:dyDescent="0.35">
      <c r="A198" s="21" t="s">
        <v>142</v>
      </c>
      <c r="B198" s="21" t="s">
        <v>38</v>
      </c>
      <c r="C198" s="21" t="s">
        <v>109</v>
      </c>
      <c r="D198" s="22">
        <v>1</v>
      </c>
      <c r="E198" s="21" t="s">
        <v>479</v>
      </c>
      <c r="F198" s="21" t="s">
        <v>151</v>
      </c>
      <c r="G198" s="21" t="s">
        <v>146</v>
      </c>
      <c r="H198" s="21" t="s">
        <v>465</v>
      </c>
      <c r="I198" s="21" t="s">
        <v>148</v>
      </c>
      <c r="J198" s="21" t="s">
        <v>480</v>
      </c>
    </row>
    <row r="199" spans="1:10" ht="19.5" customHeight="1" x14ac:dyDescent="0.35">
      <c r="A199" s="21" t="s">
        <v>142</v>
      </c>
      <c r="B199" s="21" t="s">
        <v>38</v>
      </c>
      <c r="C199" s="21" t="s">
        <v>109</v>
      </c>
      <c r="D199" s="22">
        <v>1</v>
      </c>
      <c r="E199" s="21" t="s">
        <v>481</v>
      </c>
      <c r="F199" s="21" t="s">
        <v>151</v>
      </c>
      <c r="G199" s="21" t="s">
        <v>146</v>
      </c>
      <c r="H199" s="21" t="s">
        <v>465</v>
      </c>
      <c r="I199" s="21" t="s">
        <v>148</v>
      </c>
      <c r="J199" s="21" t="s">
        <v>482</v>
      </c>
    </row>
    <row r="200" spans="1:10" ht="19.5" customHeight="1" x14ac:dyDescent="0.35">
      <c r="A200" s="21" t="s">
        <v>142</v>
      </c>
      <c r="B200" s="21" t="s">
        <v>38</v>
      </c>
      <c r="C200" s="21" t="s">
        <v>109</v>
      </c>
      <c r="D200" s="22">
        <v>1</v>
      </c>
      <c r="E200" s="21" t="s">
        <v>483</v>
      </c>
      <c r="F200" s="21" t="s">
        <v>151</v>
      </c>
      <c r="G200" s="21" t="s">
        <v>146</v>
      </c>
      <c r="H200" s="21" t="s">
        <v>465</v>
      </c>
      <c r="I200" s="21" t="s">
        <v>148</v>
      </c>
      <c r="J200" s="21" t="s">
        <v>484</v>
      </c>
    </row>
    <row r="201" spans="1:10" ht="19.5" customHeight="1" x14ac:dyDescent="0.35">
      <c r="A201" s="21" t="s">
        <v>142</v>
      </c>
      <c r="B201" s="21" t="s">
        <v>38</v>
      </c>
      <c r="C201" s="21" t="s">
        <v>109</v>
      </c>
      <c r="D201" s="22">
        <v>1</v>
      </c>
      <c r="E201" s="21" t="s">
        <v>485</v>
      </c>
      <c r="F201" s="21" t="s">
        <v>151</v>
      </c>
      <c r="G201" s="21" t="s">
        <v>146</v>
      </c>
      <c r="H201" s="21" t="s">
        <v>465</v>
      </c>
      <c r="I201" s="21" t="s">
        <v>148</v>
      </c>
      <c r="J201" s="21" t="s">
        <v>486</v>
      </c>
    </row>
    <row r="202" spans="1:10" ht="19.5" customHeight="1" x14ac:dyDescent="0.35">
      <c r="A202" s="21" t="s">
        <v>142</v>
      </c>
      <c r="B202" s="21" t="s">
        <v>38</v>
      </c>
      <c r="C202" s="21" t="s">
        <v>109</v>
      </c>
      <c r="D202" s="22">
        <v>1</v>
      </c>
      <c r="E202" s="21" t="s">
        <v>487</v>
      </c>
      <c r="F202" s="21" t="s">
        <v>151</v>
      </c>
      <c r="G202" s="21" t="s">
        <v>146</v>
      </c>
      <c r="H202" s="21" t="s">
        <v>465</v>
      </c>
      <c r="I202" s="21" t="s">
        <v>148</v>
      </c>
      <c r="J202" s="21" t="s">
        <v>488</v>
      </c>
    </row>
    <row r="203" spans="1:10" ht="19.5" customHeight="1" x14ac:dyDescent="0.35">
      <c r="A203" s="21" t="s">
        <v>142</v>
      </c>
      <c r="B203" s="21" t="s">
        <v>38</v>
      </c>
      <c r="C203" s="21" t="s">
        <v>109</v>
      </c>
      <c r="D203" s="22">
        <v>1</v>
      </c>
      <c r="E203" s="21" t="s">
        <v>489</v>
      </c>
      <c r="F203" s="21" t="s">
        <v>151</v>
      </c>
      <c r="G203" s="21" t="s">
        <v>146</v>
      </c>
      <c r="H203" s="21" t="s">
        <v>465</v>
      </c>
      <c r="I203" s="21" t="s">
        <v>148</v>
      </c>
      <c r="J203" s="21" t="s">
        <v>490</v>
      </c>
    </row>
    <row r="204" spans="1:10" ht="19.5" customHeight="1" x14ac:dyDescent="0.35">
      <c r="A204" s="21" t="s">
        <v>142</v>
      </c>
      <c r="B204" s="21" t="s">
        <v>38</v>
      </c>
      <c r="C204" s="21" t="s">
        <v>109</v>
      </c>
      <c r="D204" s="22">
        <v>1</v>
      </c>
      <c r="E204" s="21" t="s">
        <v>491</v>
      </c>
      <c r="F204" s="21" t="s">
        <v>151</v>
      </c>
      <c r="G204" s="21" t="s">
        <v>146</v>
      </c>
      <c r="H204" s="21" t="s">
        <v>465</v>
      </c>
      <c r="I204" s="21" t="s">
        <v>148</v>
      </c>
      <c r="J204" s="21" t="s">
        <v>492</v>
      </c>
    </row>
    <row r="205" spans="1:10" ht="19.5" customHeight="1" x14ac:dyDescent="0.35">
      <c r="A205" s="21" t="s">
        <v>142</v>
      </c>
      <c r="B205" s="21" t="s">
        <v>424</v>
      </c>
      <c r="C205" s="21" t="s">
        <v>109</v>
      </c>
      <c r="D205" s="22">
        <v>1</v>
      </c>
      <c r="E205" s="21" t="s">
        <v>493</v>
      </c>
      <c r="F205" s="21" t="s">
        <v>145</v>
      </c>
      <c r="G205" s="21" t="s">
        <v>146</v>
      </c>
      <c r="H205" s="21" t="s">
        <v>425</v>
      </c>
      <c r="I205" s="21" t="s">
        <v>148</v>
      </c>
      <c r="J205" s="21" t="s">
        <v>494</v>
      </c>
    </row>
    <row r="206" spans="1:10" ht="19.5" customHeight="1" x14ac:dyDescent="0.35">
      <c r="A206" s="21" t="s">
        <v>142</v>
      </c>
      <c r="B206" s="21" t="s">
        <v>424</v>
      </c>
      <c r="C206" s="21" t="s">
        <v>109</v>
      </c>
      <c r="D206" s="22">
        <v>1</v>
      </c>
      <c r="E206" s="21" t="s">
        <v>495</v>
      </c>
      <c r="F206" s="21" t="s">
        <v>145</v>
      </c>
      <c r="G206" s="21" t="s">
        <v>146</v>
      </c>
      <c r="H206" s="21" t="s">
        <v>425</v>
      </c>
      <c r="I206" s="21" t="s">
        <v>148</v>
      </c>
      <c r="J206" s="21" t="s">
        <v>496</v>
      </c>
    </row>
    <row r="207" spans="1:10" ht="19.5" customHeight="1" x14ac:dyDescent="0.35">
      <c r="A207" s="21" t="s">
        <v>142</v>
      </c>
      <c r="B207" s="21" t="s">
        <v>497</v>
      </c>
      <c r="C207" s="21" t="s">
        <v>109</v>
      </c>
      <c r="D207" s="22">
        <v>1</v>
      </c>
      <c r="E207" s="21" t="s">
        <v>498</v>
      </c>
      <c r="F207" s="21" t="s">
        <v>145</v>
      </c>
      <c r="G207" s="21" t="s">
        <v>146</v>
      </c>
      <c r="H207" s="21" t="s">
        <v>499</v>
      </c>
      <c r="I207" s="21" t="s">
        <v>148</v>
      </c>
      <c r="J207" s="21" t="s">
        <v>500</v>
      </c>
    </row>
    <row r="208" spans="1:10" ht="19.5" customHeight="1" x14ac:dyDescent="0.35">
      <c r="A208" s="21" t="s">
        <v>142</v>
      </c>
      <c r="B208" s="21" t="s">
        <v>497</v>
      </c>
      <c r="C208" s="21" t="s">
        <v>109</v>
      </c>
      <c r="D208" s="22">
        <v>1</v>
      </c>
      <c r="E208" s="21" t="s">
        <v>501</v>
      </c>
      <c r="F208" s="21" t="s">
        <v>145</v>
      </c>
      <c r="G208" s="21" t="s">
        <v>146</v>
      </c>
      <c r="H208" s="21" t="s">
        <v>499</v>
      </c>
      <c r="I208" s="21" t="s">
        <v>148</v>
      </c>
      <c r="J208" s="21" t="s">
        <v>502</v>
      </c>
    </row>
    <row r="209" spans="1:10" ht="19.5" customHeight="1" x14ac:dyDescent="0.35">
      <c r="A209" s="21" t="s">
        <v>142</v>
      </c>
      <c r="B209" s="21" t="s">
        <v>497</v>
      </c>
      <c r="C209" s="21" t="s">
        <v>109</v>
      </c>
      <c r="D209" s="22">
        <v>1</v>
      </c>
      <c r="E209" s="21" t="s">
        <v>503</v>
      </c>
      <c r="F209" s="21" t="s">
        <v>145</v>
      </c>
      <c r="G209" s="21" t="s">
        <v>146</v>
      </c>
      <c r="H209" s="21" t="s">
        <v>499</v>
      </c>
      <c r="I209" s="21" t="s">
        <v>148</v>
      </c>
      <c r="J209" s="21" t="s">
        <v>504</v>
      </c>
    </row>
    <row r="210" spans="1:10" ht="19.5" customHeight="1" x14ac:dyDescent="0.35">
      <c r="A210" s="21" t="s">
        <v>142</v>
      </c>
      <c r="B210" s="21" t="s">
        <v>497</v>
      </c>
      <c r="C210" s="21" t="s">
        <v>109</v>
      </c>
      <c r="D210" s="22">
        <v>1</v>
      </c>
      <c r="E210" s="21" t="s">
        <v>505</v>
      </c>
      <c r="F210" s="21" t="s">
        <v>145</v>
      </c>
      <c r="G210" s="21" t="s">
        <v>146</v>
      </c>
      <c r="H210" s="21" t="s">
        <v>499</v>
      </c>
      <c r="I210" s="21" t="s">
        <v>148</v>
      </c>
      <c r="J210" s="21" t="s">
        <v>506</v>
      </c>
    </row>
    <row r="211" spans="1:10" ht="19.5" customHeight="1" x14ac:dyDescent="0.35">
      <c r="A211" s="21" t="s">
        <v>142</v>
      </c>
      <c r="B211" s="21" t="s">
        <v>497</v>
      </c>
      <c r="C211" s="21" t="s">
        <v>109</v>
      </c>
      <c r="D211" s="22">
        <v>1</v>
      </c>
      <c r="E211" s="21" t="s">
        <v>507</v>
      </c>
      <c r="F211" s="21" t="s">
        <v>145</v>
      </c>
      <c r="G211" s="21" t="s">
        <v>146</v>
      </c>
      <c r="H211" s="21" t="s">
        <v>499</v>
      </c>
      <c r="I211" s="21" t="s">
        <v>148</v>
      </c>
      <c r="J211" s="21" t="s">
        <v>508</v>
      </c>
    </row>
    <row r="212" spans="1:10" ht="19.5" customHeight="1" x14ac:dyDescent="0.35">
      <c r="A212" s="21" t="s">
        <v>142</v>
      </c>
      <c r="B212" s="21" t="s">
        <v>497</v>
      </c>
      <c r="C212" s="21" t="s">
        <v>109</v>
      </c>
      <c r="D212" s="22">
        <v>1</v>
      </c>
      <c r="E212" s="21" t="s">
        <v>509</v>
      </c>
      <c r="F212" s="21" t="s">
        <v>145</v>
      </c>
      <c r="G212" s="21" t="s">
        <v>146</v>
      </c>
      <c r="H212" s="21" t="s">
        <v>499</v>
      </c>
      <c r="I212" s="21" t="s">
        <v>148</v>
      </c>
      <c r="J212" s="21" t="s">
        <v>510</v>
      </c>
    </row>
    <row r="213" spans="1:10" ht="19.5" customHeight="1" x14ac:dyDescent="0.35">
      <c r="A213" s="21" t="s">
        <v>142</v>
      </c>
      <c r="B213" s="21" t="s">
        <v>497</v>
      </c>
      <c r="C213" s="21" t="s">
        <v>109</v>
      </c>
      <c r="D213" s="22">
        <v>1</v>
      </c>
      <c r="E213" s="21" t="s">
        <v>511</v>
      </c>
      <c r="F213" s="21" t="s">
        <v>145</v>
      </c>
      <c r="G213" s="21" t="s">
        <v>146</v>
      </c>
      <c r="H213" s="21" t="s">
        <v>499</v>
      </c>
      <c r="I213" s="21" t="s">
        <v>148</v>
      </c>
      <c r="J213" s="21" t="s">
        <v>512</v>
      </c>
    </row>
    <row r="214" spans="1:10" ht="19.5" customHeight="1" x14ac:dyDescent="0.35">
      <c r="A214" s="21" t="s">
        <v>142</v>
      </c>
      <c r="B214" s="21" t="s">
        <v>497</v>
      </c>
      <c r="C214" s="21" t="s">
        <v>109</v>
      </c>
      <c r="D214" s="22">
        <v>1</v>
      </c>
      <c r="E214" s="21" t="s">
        <v>513</v>
      </c>
      <c r="F214" s="21" t="s">
        <v>145</v>
      </c>
      <c r="G214" s="21" t="s">
        <v>146</v>
      </c>
      <c r="H214" s="21" t="s">
        <v>499</v>
      </c>
      <c r="I214" s="21" t="s">
        <v>148</v>
      </c>
      <c r="J214" s="21" t="s">
        <v>514</v>
      </c>
    </row>
    <row r="215" spans="1:10" ht="19.5" customHeight="1" x14ac:dyDescent="0.35">
      <c r="A215" s="21" t="s">
        <v>142</v>
      </c>
      <c r="B215" s="21" t="s">
        <v>497</v>
      </c>
      <c r="C215" s="21" t="s">
        <v>109</v>
      </c>
      <c r="D215" s="22">
        <v>1</v>
      </c>
      <c r="E215" s="21" t="s">
        <v>515</v>
      </c>
      <c r="F215" s="21" t="s">
        <v>145</v>
      </c>
      <c r="G215" s="21" t="s">
        <v>146</v>
      </c>
      <c r="H215" s="21" t="s">
        <v>499</v>
      </c>
      <c r="I215" s="21" t="s">
        <v>148</v>
      </c>
      <c r="J215" s="21" t="s">
        <v>516</v>
      </c>
    </row>
    <row r="216" spans="1:10" ht="19.5" customHeight="1" x14ac:dyDescent="0.35">
      <c r="A216" s="21" t="s">
        <v>142</v>
      </c>
      <c r="B216" s="21" t="s">
        <v>497</v>
      </c>
      <c r="C216" s="21" t="s">
        <v>109</v>
      </c>
      <c r="D216" s="22">
        <v>1</v>
      </c>
      <c r="E216" s="21" t="s">
        <v>517</v>
      </c>
      <c r="F216" s="21" t="s">
        <v>145</v>
      </c>
      <c r="G216" s="21" t="s">
        <v>146</v>
      </c>
      <c r="H216" s="21" t="s">
        <v>499</v>
      </c>
      <c r="I216" s="21" t="s">
        <v>148</v>
      </c>
      <c r="J216" s="21" t="s">
        <v>518</v>
      </c>
    </row>
    <row r="217" spans="1:10" ht="19.5" customHeight="1" x14ac:dyDescent="0.35">
      <c r="A217" s="21" t="s">
        <v>142</v>
      </c>
      <c r="B217" s="21" t="s">
        <v>497</v>
      </c>
      <c r="C217" s="21" t="s">
        <v>109</v>
      </c>
      <c r="D217" s="22">
        <v>1</v>
      </c>
      <c r="E217" s="21" t="s">
        <v>519</v>
      </c>
      <c r="F217" s="21" t="s">
        <v>145</v>
      </c>
      <c r="G217" s="21" t="s">
        <v>146</v>
      </c>
      <c r="H217" s="21" t="s">
        <v>499</v>
      </c>
      <c r="I217" s="21" t="s">
        <v>148</v>
      </c>
      <c r="J217" s="21" t="s">
        <v>520</v>
      </c>
    </row>
    <row r="218" spans="1:10" ht="19.5" customHeight="1" x14ac:dyDescent="0.35">
      <c r="A218" s="21" t="s">
        <v>142</v>
      </c>
      <c r="B218" s="21" t="s">
        <v>497</v>
      </c>
      <c r="C218" s="21" t="s">
        <v>109</v>
      </c>
      <c r="D218" s="22">
        <v>1</v>
      </c>
      <c r="E218" s="21" t="s">
        <v>521</v>
      </c>
      <c r="F218" s="21" t="s">
        <v>145</v>
      </c>
      <c r="G218" s="21" t="s">
        <v>146</v>
      </c>
      <c r="H218" s="21" t="s">
        <v>499</v>
      </c>
      <c r="I218" s="21" t="s">
        <v>148</v>
      </c>
      <c r="J218" s="21" t="s">
        <v>522</v>
      </c>
    </row>
    <row r="219" spans="1:10" ht="19.5" customHeight="1" x14ac:dyDescent="0.35">
      <c r="A219" s="23" t="s">
        <v>142</v>
      </c>
      <c r="B219" s="23" t="s">
        <v>497</v>
      </c>
      <c r="C219" s="23" t="s">
        <v>109</v>
      </c>
      <c r="D219" s="24">
        <v>1</v>
      </c>
      <c r="E219" s="23" t="s">
        <v>523</v>
      </c>
      <c r="F219" s="23" t="s">
        <v>258</v>
      </c>
      <c r="G219" s="23" t="s">
        <v>158</v>
      </c>
      <c r="H219" s="23" t="s">
        <v>499</v>
      </c>
      <c r="I219" s="23" t="s">
        <v>148</v>
      </c>
      <c r="J219" s="23" t="s">
        <v>524</v>
      </c>
    </row>
    <row r="220" spans="1:10" ht="19.5" customHeight="1" x14ac:dyDescent="0.35">
      <c r="A220" s="21" t="s">
        <v>142</v>
      </c>
      <c r="B220" s="21" t="s">
        <v>497</v>
      </c>
      <c r="C220" s="21" t="s">
        <v>109</v>
      </c>
      <c r="D220" s="22">
        <v>1</v>
      </c>
      <c r="E220" s="21" t="s">
        <v>525</v>
      </c>
      <c r="F220" s="21" t="s">
        <v>145</v>
      </c>
      <c r="G220" s="21" t="s">
        <v>146</v>
      </c>
      <c r="H220" s="21" t="s">
        <v>499</v>
      </c>
      <c r="I220" s="21" t="s">
        <v>148</v>
      </c>
      <c r="J220" s="21" t="s">
        <v>526</v>
      </c>
    </row>
    <row r="221" spans="1:10" ht="19.5" customHeight="1" x14ac:dyDescent="0.35">
      <c r="A221" s="21" t="s">
        <v>142</v>
      </c>
      <c r="B221" s="21" t="s">
        <v>497</v>
      </c>
      <c r="C221" s="21" t="s">
        <v>109</v>
      </c>
      <c r="D221" s="22">
        <v>1</v>
      </c>
      <c r="E221" s="21" t="s">
        <v>527</v>
      </c>
      <c r="F221" s="21" t="s">
        <v>145</v>
      </c>
      <c r="G221" s="21" t="s">
        <v>146</v>
      </c>
      <c r="H221" s="21" t="s">
        <v>499</v>
      </c>
      <c r="I221" s="21" t="s">
        <v>148</v>
      </c>
      <c r="J221" s="21" t="s">
        <v>528</v>
      </c>
    </row>
    <row r="222" spans="1:10" ht="19.5" customHeight="1" x14ac:dyDescent="0.35">
      <c r="A222" s="21" t="s">
        <v>142</v>
      </c>
      <c r="B222" s="21" t="s">
        <v>497</v>
      </c>
      <c r="C222" s="21" t="s">
        <v>109</v>
      </c>
      <c r="D222" s="22">
        <v>1</v>
      </c>
      <c r="E222" s="21" t="s">
        <v>529</v>
      </c>
      <c r="F222" s="21" t="s">
        <v>145</v>
      </c>
      <c r="G222" s="21" t="s">
        <v>146</v>
      </c>
      <c r="H222" s="21" t="s">
        <v>499</v>
      </c>
      <c r="I222" s="21" t="s">
        <v>148</v>
      </c>
      <c r="J222" s="21" t="s">
        <v>530</v>
      </c>
    </row>
    <row r="223" spans="1:10" ht="19.5" customHeight="1" x14ac:dyDescent="0.35">
      <c r="A223" s="21" t="s">
        <v>142</v>
      </c>
      <c r="B223" s="21" t="s">
        <v>497</v>
      </c>
      <c r="C223" s="21" t="s">
        <v>109</v>
      </c>
      <c r="D223" s="22">
        <v>1</v>
      </c>
      <c r="E223" s="21" t="s">
        <v>531</v>
      </c>
      <c r="F223" s="21" t="s">
        <v>145</v>
      </c>
      <c r="G223" s="21" t="s">
        <v>146</v>
      </c>
      <c r="H223" s="21" t="s">
        <v>499</v>
      </c>
      <c r="I223" s="21" t="s">
        <v>148</v>
      </c>
      <c r="J223" s="21" t="s">
        <v>532</v>
      </c>
    </row>
    <row r="224" spans="1:10" ht="19.5" customHeight="1" x14ac:dyDescent="0.35">
      <c r="A224" s="21" t="s">
        <v>142</v>
      </c>
      <c r="B224" s="21" t="s">
        <v>497</v>
      </c>
      <c r="C224" s="21" t="s">
        <v>109</v>
      </c>
      <c r="D224" s="22">
        <v>1</v>
      </c>
      <c r="E224" s="21" t="s">
        <v>533</v>
      </c>
      <c r="F224" s="21" t="s">
        <v>145</v>
      </c>
      <c r="G224" s="21" t="s">
        <v>146</v>
      </c>
      <c r="H224" s="21" t="s">
        <v>499</v>
      </c>
      <c r="I224" s="21" t="s">
        <v>148</v>
      </c>
      <c r="J224" s="21" t="s">
        <v>534</v>
      </c>
    </row>
    <row r="225" spans="1:10" ht="19.5" customHeight="1" x14ac:dyDescent="0.35">
      <c r="A225" s="23" t="s">
        <v>142</v>
      </c>
      <c r="B225" s="23" t="s">
        <v>497</v>
      </c>
      <c r="C225" s="23" t="s">
        <v>109</v>
      </c>
      <c r="D225" s="24">
        <v>1</v>
      </c>
      <c r="E225" s="23" t="s">
        <v>535</v>
      </c>
      <c r="F225" s="23" t="s">
        <v>258</v>
      </c>
      <c r="G225" s="23" t="s">
        <v>158</v>
      </c>
      <c r="H225" s="23" t="s">
        <v>499</v>
      </c>
      <c r="I225" s="23" t="s">
        <v>148</v>
      </c>
      <c r="J225" s="23" t="s">
        <v>536</v>
      </c>
    </row>
    <row r="226" spans="1:10" ht="19.5" customHeight="1" x14ac:dyDescent="0.35">
      <c r="A226" s="21" t="s">
        <v>142</v>
      </c>
      <c r="B226" s="21" t="s">
        <v>497</v>
      </c>
      <c r="C226" s="21" t="s">
        <v>109</v>
      </c>
      <c r="D226" s="22">
        <v>1</v>
      </c>
      <c r="E226" s="21" t="s">
        <v>537</v>
      </c>
      <c r="F226" s="21" t="s">
        <v>145</v>
      </c>
      <c r="G226" s="21" t="s">
        <v>146</v>
      </c>
      <c r="H226" s="21" t="s">
        <v>499</v>
      </c>
      <c r="I226" s="21" t="s">
        <v>148</v>
      </c>
      <c r="J226" s="21" t="s">
        <v>538</v>
      </c>
    </row>
    <row r="227" spans="1:10" ht="19.5" customHeight="1" x14ac:dyDescent="0.35">
      <c r="A227" s="21" t="s">
        <v>142</v>
      </c>
      <c r="B227" s="21" t="s">
        <v>497</v>
      </c>
      <c r="C227" s="21" t="s">
        <v>109</v>
      </c>
      <c r="D227" s="22">
        <v>1</v>
      </c>
      <c r="E227" s="21" t="s">
        <v>539</v>
      </c>
      <c r="F227" s="21" t="s">
        <v>145</v>
      </c>
      <c r="G227" s="21" t="s">
        <v>146</v>
      </c>
      <c r="H227" s="21" t="s">
        <v>499</v>
      </c>
      <c r="I227" s="21" t="s">
        <v>148</v>
      </c>
      <c r="J227" s="21" t="s">
        <v>540</v>
      </c>
    </row>
    <row r="228" spans="1:10" ht="19.5" customHeight="1" x14ac:dyDescent="0.35">
      <c r="A228" s="23" t="s">
        <v>142</v>
      </c>
      <c r="B228" s="23" t="s">
        <v>497</v>
      </c>
      <c r="C228" s="23" t="s">
        <v>109</v>
      </c>
      <c r="D228" s="24">
        <v>1</v>
      </c>
      <c r="E228" s="23"/>
      <c r="F228" s="23" t="s">
        <v>258</v>
      </c>
      <c r="G228" s="23" t="s">
        <v>158</v>
      </c>
      <c r="H228" s="23" t="s">
        <v>499</v>
      </c>
      <c r="I228" s="23" t="s">
        <v>148</v>
      </c>
      <c r="J228" s="23" t="s">
        <v>541</v>
      </c>
    </row>
    <row r="229" spans="1:10" ht="19.5" customHeight="1" x14ac:dyDescent="0.35">
      <c r="A229" s="21" t="s">
        <v>142</v>
      </c>
      <c r="B229" s="21" t="s">
        <v>497</v>
      </c>
      <c r="C229" s="21" t="s">
        <v>109</v>
      </c>
      <c r="D229" s="22">
        <v>1</v>
      </c>
      <c r="E229" s="21" t="s">
        <v>542</v>
      </c>
      <c r="F229" s="21" t="s">
        <v>145</v>
      </c>
      <c r="G229" s="21" t="s">
        <v>146</v>
      </c>
      <c r="H229" s="21" t="s">
        <v>499</v>
      </c>
      <c r="I229" s="21" t="s">
        <v>148</v>
      </c>
      <c r="J229" s="21" t="s">
        <v>543</v>
      </c>
    </row>
    <row r="230" spans="1:10" ht="19.5" customHeight="1" x14ac:dyDescent="0.35">
      <c r="A230" s="23" t="s">
        <v>142</v>
      </c>
      <c r="B230" s="23" t="s">
        <v>497</v>
      </c>
      <c r="C230" s="23" t="s">
        <v>109</v>
      </c>
      <c r="D230" s="24">
        <v>1</v>
      </c>
      <c r="E230" s="23" t="s">
        <v>544</v>
      </c>
      <c r="F230" s="23" t="s">
        <v>258</v>
      </c>
      <c r="G230" s="23" t="s">
        <v>158</v>
      </c>
      <c r="H230" s="23" t="s">
        <v>499</v>
      </c>
      <c r="I230" s="23" t="s">
        <v>148</v>
      </c>
      <c r="J230" s="23" t="s">
        <v>545</v>
      </c>
    </row>
    <row r="231" spans="1:10" ht="19.5" customHeight="1" x14ac:dyDescent="0.35">
      <c r="A231" s="21" t="s">
        <v>142</v>
      </c>
      <c r="B231" s="21" t="s">
        <v>497</v>
      </c>
      <c r="C231" s="21" t="s">
        <v>109</v>
      </c>
      <c r="D231" s="22">
        <v>1</v>
      </c>
      <c r="E231" s="21" t="s">
        <v>546</v>
      </c>
      <c r="F231" s="21" t="s">
        <v>145</v>
      </c>
      <c r="G231" s="21" t="s">
        <v>146</v>
      </c>
      <c r="H231" s="21" t="s">
        <v>499</v>
      </c>
      <c r="I231" s="21" t="s">
        <v>148</v>
      </c>
      <c r="J231" s="21" t="s">
        <v>547</v>
      </c>
    </row>
    <row r="232" spans="1:10" ht="19.5" customHeight="1" x14ac:dyDescent="0.35">
      <c r="A232" s="21" t="s">
        <v>142</v>
      </c>
      <c r="B232" s="21" t="s">
        <v>497</v>
      </c>
      <c r="C232" s="21" t="s">
        <v>109</v>
      </c>
      <c r="D232" s="22">
        <v>1</v>
      </c>
      <c r="E232" s="21" t="s">
        <v>548</v>
      </c>
      <c r="F232" s="21" t="s">
        <v>145</v>
      </c>
      <c r="G232" s="21" t="s">
        <v>146</v>
      </c>
      <c r="H232" s="21" t="s">
        <v>499</v>
      </c>
      <c r="I232" s="21" t="s">
        <v>148</v>
      </c>
      <c r="J232" s="21" t="s">
        <v>549</v>
      </c>
    </row>
    <row r="233" spans="1:10" ht="19.5" customHeight="1" x14ac:dyDescent="0.35">
      <c r="A233" s="21" t="s">
        <v>142</v>
      </c>
      <c r="B233" s="21" t="s">
        <v>497</v>
      </c>
      <c r="C233" s="21" t="s">
        <v>109</v>
      </c>
      <c r="D233" s="22">
        <v>1</v>
      </c>
      <c r="E233" s="21" t="s">
        <v>550</v>
      </c>
      <c r="F233" s="21" t="s">
        <v>145</v>
      </c>
      <c r="G233" s="21" t="s">
        <v>146</v>
      </c>
      <c r="H233" s="21" t="s">
        <v>499</v>
      </c>
      <c r="I233" s="21" t="s">
        <v>148</v>
      </c>
      <c r="J233" s="21" t="s">
        <v>551</v>
      </c>
    </row>
    <row r="234" spans="1:10" ht="19.5" customHeight="1" x14ac:dyDescent="0.35">
      <c r="A234" s="21" t="s">
        <v>142</v>
      </c>
      <c r="B234" s="21" t="s">
        <v>497</v>
      </c>
      <c r="C234" s="21" t="s">
        <v>109</v>
      </c>
      <c r="D234" s="22">
        <v>1</v>
      </c>
      <c r="E234" s="21" t="s">
        <v>552</v>
      </c>
      <c r="F234" s="21" t="s">
        <v>145</v>
      </c>
      <c r="G234" s="21" t="s">
        <v>146</v>
      </c>
      <c r="H234" s="21" t="s">
        <v>499</v>
      </c>
      <c r="I234" s="21" t="s">
        <v>148</v>
      </c>
      <c r="J234" s="21" t="s">
        <v>553</v>
      </c>
    </row>
    <row r="235" spans="1:10" ht="19.5" customHeight="1" x14ac:dyDescent="0.35">
      <c r="A235" s="21" t="s">
        <v>142</v>
      </c>
      <c r="B235" s="21" t="s">
        <v>497</v>
      </c>
      <c r="C235" s="21" t="s">
        <v>109</v>
      </c>
      <c r="D235" s="22">
        <v>1</v>
      </c>
      <c r="E235" s="21" t="s">
        <v>554</v>
      </c>
      <c r="F235" s="21" t="s">
        <v>145</v>
      </c>
      <c r="G235" s="21" t="s">
        <v>146</v>
      </c>
      <c r="H235" s="21" t="s">
        <v>499</v>
      </c>
      <c r="I235" s="21" t="s">
        <v>148</v>
      </c>
      <c r="J235" s="21" t="s">
        <v>555</v>
      </c>
    </row>
    <row r="236" spans="1:10" ht="19.5" customHeight="1" x14ac:dyDescent="0.35">
      <c r="A236" s="21" t="s">
        <v>142</v>
      </c>
      <c r="B236" s="21" t="s">
        <v>497</v>
      </c>
      <c r="C236" s="21" t="s">
        <v>109</v>
      </c>
      <c r="D236" s="22">
        <v>1</v>
      </c>
      <c r="E236" s="21" t="s">
        <v>556</v>
      </c>
      <c r="F236" s="21" t="s">
        <v>145</v>
      </c>
      <c r="G236" s="21" t="s">
        <v>146</v>
      </c>
      <c r="H236" s="21" t="s">
        <v>499</v>
      </c>
      <c r="I236" s="21" t="s">
        <v>148</v>
      </c>
      <c r="J236" s="21" t="s">
        <v>557</v>
      </c>
    </row>
    <row r="237" spans="1:10" ht="19.5" customHeight="1" x14ac:dyDescent="0.35">
      <c r="A237" s="21" t="s">
        <v>142</v>
      </c>
      <c r="B237" s="21" t="s">
        <v>497</v>
      </c>
      <c r="C237" s="21" t="s">
        <v>109</v>
      </c>
      <c r="D237" s="22">
        <v>1</v>
      </c>
      <c r="E237" s="21" t="s">
        <v>558</v>
      </c>
      <c r="F237" s="21" t="s">
        <v>145</v>
      </c>
      <c r="G237" s="21" t="s">
        <v>146</v>
      </c>
      <c r="H237" s="21" t="s">
        <v>499</v>
      </c>
      <c r="I237" s="21" t="s">
        <v>148</v>
      </c>
      <c r="J237" s="21" t="s">
        <v>559</v>
      </c>
    </row>
    <row r="238" spans="1:10" ht="19.5" customHeight="1" x14ac:dyDescent="0.35">
      <c r="A238" s="21" t="s">
        <v>142</v>
      </c>
      <c r="B238" s="21" t="s">
        <v>497</v>
      </c>
      <c r="C238" s="21" t="s">
        <v>109</v>
      </c>
      <c r="D238" s="22">
        <v>1</v>
      </c>
      <c r="E238" s="21" t="s">
        <v>560</v>
      </c>
      <c r="F238" s="21" t="s">
        <v>145</v>
      </c>
      <c r="G238" s="21" t="s">
        <v>146</v>
      </c>
      <c r="H238" s="21" t="s">
        <v>499</v>
      </c>
      <c r="I238" s="21" t="s">
        <v>148</v>
      </c>
      <c r="J238" s="21" t="s">
        <v>561</v>
      </c>
    </row>
    <row r="239" spans="1:10" ht="19.5" customHeight="1" x14ac:dyDescent="0.35">
      <c r="A239" s="21" t="s">
        <v>142</v>
      </c>
      <c r="B239" s="21" t="s">
        <v>497</v>
      </c>
      <c r="C239" s="21" t="s">
        <v>109</v>
      </c>
      <c r="D239" s="22">
        <v>1</v>
      </c>
      <c r="E239" s="21" t="s">
        <v>562</v>
      </c>
      <c r="F239" s="21" t="s">
        <v>145</v>
      </c>
      <c r="G239" s="21" t="s">
        <v>146</v>
      </c>
      <c r="H239" s="21" t="s">
        <v>499</v>
      </c>
      <c r="I239" s="21" t="s">
        <v>148</v>
      </c>
      <c r="J239" s="21" t="s">
        <v>563</v>
      </c>
    </row>
    <row r="240" spans="1:10" ht="19.5" customHeight="1" x14ac:dyDescent="0.35">
      <c r="A240" s="23" t="s">
        <v>142</v>
      </c>
      <c r="B240" s="23" t="s">
        <v>497</v>
      </c>
      <c r="C240" s="23" t="s">
        <v>109</v>
      </c>
      <c r="D240" s="24">
        <v>1</v>
      </c>
      <c r="E240" s="23" t="s">
        <v>564</v>
      </c>
      <c r="F240" s="23" t="s">
        <v>258</v>
      </c>
      <c r="G240" s="23" t="s">
        <v>158</v>
      </c>
      <c r="H240" s="23" t="s">
        <v>499</v>
      </c>
      <c r="I240" s="23" t="s">
        <v>148</v>
      </c>
      <c r="J240" s="23" t="s">
        <v>565</v>
      </c>
    </row>
    <row r="241" spans="1:10" ht="19.5" customHeight="1" x14ac:dyDescent="0.35">
      <c r="A241" s="21" t="s">
        <v>142</v>
      </c>
      <c r="B241" s="21" t="s">
        <v>497</v>
      </c>
      <c r="C241" s="21" t="s">
        <v>109</v>
      </c>
      <c r="D241" s="22">
        <v>1</v>
      </c>
      <c r="E241" s="21" t="s">
        <v>566</v>
      </c>
      <c r="F241" s="21" t="s">
        <v>145</v>
      </c>
      <c r="G241" s="21" t="s">
        <v>146</v>
      </c>
      <c r="H241" s="21" t="s">
        <v>499</v>
      </c>
      <c r="I241" s="21" t="s">
        <v>148</v>
      </c>
      <c r="J241" s="21" t="s">
        <v>567</v>
      </c>
    </row>
    <row r="242" spans="1:10" ht="19.5" customHeight="1" x14ac:dyDescent="0.35">
      <c r="A242" s="21" t="s">
        <v>142</v>
      </c>
      <c r="B242" s="21" t="s">
        <v>497</v>
      </c>
      <c r="C242" s="21" t="s">
        <v>109</v>
      </c>
      <c r="D242" s="22">
        <v>1</v>
      </c>
      <c r="E242" s="21" t="s">
        <v>568</v>
      </c>
      <c r="F242" s="21" t="s">
        <v>145</v>
      </c>
      <c r="G242" s="21" t="s">
        <v>146</v>
      </c>
      <c r="H242" s="21" t="s">
        <v>499</v>
      </c>
      <c r="I242" s="21" t="s">
        <v>148</v>
      </c>
      <c r="J242" s="21" t="s">
        <v>569</v>
      </c>
    </row>
    <row r="243" spans="1:10" ht="19.5" customHeight="1" x14ac:dyDescent="0.35">
      <c r="A243" s="23" t="s">
        <v>142</v>
      </c>
      <c r="B243" s="23" t="s">
        <v>497</v>
      </c>
      <c r="C243" s="23" t="s">
        <v>109</v>
      </c>
      <c r="D243" s="24">
        <v>1</v>
      </c>
      <c r="E243" s="23" t="s">
        <v>570</v>
      </c>
      <c r="F243" s="23" t="s">
        <v>258</v>
      </c>
      <c r="G243" s="23" t="s">
        <v>158</v>
      </c>
      <c r="H243" s="23" t="s">
        <v>499</v>
      </c>
      <c r="I243" s="23" t="s">
        <v>148</v>
      </c>
      <c r="J243" s="23" t="s">
        <v>571</v>
      </c>
    </row>
    <row r="244" spans="1:10" ht="19.5" customHeight="1" x14ac:dyDescent="0.35">
      <c r="A244" s="21" t="s">
        <v>142</v>
      </c>
      <c r="B244" s="21" t="s">
        <v>497</v>
      </c>
      <c r="C244" s="21" t="s">
        <v>109</v>
      </c>
      <c r="D244" s="22">
        <v>1</v>
      </c>
      <c r="E244" s="21" t="s">
        <v>572</v>
      </c>
      <c r="F244" s="21" t="s">
        <v>145</v>
      </c>
      <c r="G244" s="21" t="s">
        <v>146</v>
      </c>
      <c r="H244" s="21" t="s">
        <v>499</v>
      </c>
      <c r="I244" s="21" t="s">
        <v>148</v>
      </c>
      <c r="J244" s="21" t="s">
        <v>567</v>
      </c>
    </row>
    <row r="245" spans="1:10" ht="19.5" customHeight="1" x14ac:dyDescent="0.35">
      <c r="A245" s="21" t="s">
        <v>142</v>
      </c>
      <c r="B245" s="21" t="s">
        <v>497</v>
      </c>
      <c r="C245" s="21" t="s">
        <v>109</v>
      </c>
      <c r="D245" s="22">
        <v>1</v>
      </c>
      <c r="E245" s="21" t="s">
        <v>573</v>
      </c>
      <c r="F245" s="21" t="s">
        <v>145</v>
      </c>
      <c r="G245" s="21" t="s">
        <v>146</v>
      </c>
      <c r="H245" s="21" t="s">
        <v>499</v>
      </c>
      <c r="I245" s="21" t="s">
        <v>148</v>
      </c>
      <c r="J245" s="21" t="s">
        <v>574</v>
      </c>
    </row>
    <row r="246" spans="1:10" ht="19.5" customHeight="1" x14ac:dyDescent="0.35">
      <c r="A246" s="23" t="s">
        <v>142</v>
      </c>
      <c r="B246" s="23" t="s">
        <v>497</v>
      </c>
      <c r="C246" s="23" t="s">
        <v>109</v>
      </c>
      <c r="D246" s="24">
        <v>1</v>
      </c>
      <c r="E246" s="23" t="s">
        <v>575</v>
      </c>
      <c r="F246" s="23" t="s">
        <v>258</v>
      </c>
      <c r="G246" s="23" t="s">
        <v>158</v>
      </c>
      <c r="H246" s="23" t="s">
        <v>499</v>
      </c>
      <c r="I246" s="23" t="s">
        <v>148</v>
      </c>
      <c r="J246" s="23" t="s">
        <v>576</v>
      </c>
    </row>
    <row r="247" spans="1:10" ht="19.5" customHeight="1" x14ac:dyDescent="0.35">
      <c r="A247" s="21" t="s">
        <v>142</v>
      </c>
      <c r="B247" s="21" t="s">
        <v>497</v>
      </c>
      <c r="C247" s="21" t="s">
        <v>109</v>
      </c>
      <c r="D247" s="22">
        <v>1</v>
      </c>
      <c r="E247" s="21" t="s">
        <v>577</v>
      </c>
      <c r="F247" s="21" t="s">
        <v>145</v>
      </c>
      <c r="G247" s="21" t="s">
        <v>146</v>
      </c>
      <c r="H247" s="21" t="s">
        <v>499</v>
      </c>
      <c r="I247" s="21" t="s">
        <v>148</v>
      </c>
      <c r="J247" s="21" t="s">
        <v>578</v>
      </c>
    </row>
    <row r="248" spans="1:10" ht="19.5" customHeight="1" x14ac:dyDescent="0.35">
      <c r="A248" s="21" t="s">
        <v>142</v>
      </c>
      <c r="B248" s="21" t="s">
        <v>497</v>
      </c>
      <c r="C248" s="21" t="s">
        <v>109</v>
      </c>
      <c r="D248" s="22">
        <v>1</v>
      </c>
      <c r="E248" s="21" t="s">
        <v>579</v>
      </c>
      <c r="F248" s="21" t="s">
        <v>145</v>
      </c>
      <c r="G248" s="21" t="s">
        <v>146</v>
      </c>
      <c r="H248" s="21" t="s">
        <v>499</v>
      </c>
      <c r="I248" s="21" t="s">
        <v>148</v>
      </c>
      <c r="J248" s="21" t="s">
        <v>580</v>
      </c>
    </row>
    <row r="249" spans="1:10" ht="19.5" customHeight="1" x14ac:dyDescent="0.35">
      <c r="A249" s="21" t="s">
        <v>142</v>
      </c>
      <c r="B249" s="21" t="s">
        <v>497</v>
      </c>
      <c r="C249" s="21" t="s">
        <v>109</v>
      </c>
      <c r="D249" s="22">
        <v>1</v>
      </c>
      <c r="E249" s="21" t="s">
        <v>581</v>
      </c>
      <c r="F249" s="21" t="s">
        <v>145</v>
      </c>
      <c r="G249" s="21" t="s">
        <v>146</v>
      </c>
      <c r="H249" s="21" t="s">
        <v>499</v>
      </c>
      <c r="I249" s="21" t="s">
        <v>148</v>
      </c>
      <c r="J249" s="21" t="s">
        <v>582</v>
      </c>
    </row>
    <row r="250" spans="1:10" ht="19.5" customHeight="1" x14ac:dyDescent="0.35">
      <c r="A250" s="21" t="s">
        <v>142</v>
      </c>
      <c r="B250" s="21" t="s">
        <v>497</v>
      </c>
      <c r="C250" s="21" t="s">
        <v>109</v>
      </c>
      <c r="D250" s="22">
        <v>1</v>
      </c>
      <c r="E250" s="21" t="s">
        <v>583</v>
      </c>
      <c r="F250" s="21" t="s">
        <v>145</v>
      </c>
      <c r="G250" s="21" t="s">
        <v>146</v>
      </c>
      <c r="H250" s="21" t="s">
        <v>499</v>
      </c>
      <c r="I250" s="21" t="s">
        <v>148</v>
      </c>
      <c r="J250" s="21" t="s">
        <v>584</v>
      </c>
    </row>
    <row r="251" spans="1:10" ht="19.5" customHeight="1" x14ac:dyDescent="0.35">
      <c r="A251" s="23" t="s">
        <v>142</v>
      </c>
      <c r="B251" s="23" t="s">
        <v>497</v>
      </c>
      <c r="C251" s="23" t="s">
        <v>109</v>
      </c>
      <c r="D251" s="24">
        <v>1</v>
      </c>
      <c r="E251" s="23"/>
      <c r="F251" s="23" t="s">
        <v>258</v>
      </c>
      <c r="G251" s="23" t="s">
        <v>158</v>
      </c>
      <c r="H251" s="23" t="s">
        <v>499</v>
      </c>
      <c r="I251" s="23" t="s">
        <v>148</v>
      </c>
      <c r="J251" s="23" t="s">
        <v>541</v>
      </c>
    </row>
    <row r="252" spans="1:10" ht="19.5" customHeight="1" x14ac:dyDescent="0.35">
      <c r="A252" s="23" t="s">
        <v>142</v>
      </c>
      <c r="B252" s="23" t="s">
        <v>497</v>
      </c>
      <c r="C252" s="23" t="s">
        <v>109</v>
      </c>
      <c r="D252" s="24">
        <v>1</v>
      </c>
      <c r="E252" s="23" t="s">
        <v>585</v>
      </c>
      <c r="F252" s="23" t="s">
        <v>258</v>
      </c>
      <c r="G252" s="23" t="s">
        <v>158</v>
      </c>
      <c r="H252" s="23" t="s">
        <v>499</v>
      </c>
      <c r="I252" s="23" t="s">
        <v>148</v>
      </c>
      <c r="J252" s="23" t="s">
        <v>586</v>
      </c>
    </row>
    <row r="253" spans="1:10" ht="19.5" customHeight="1" x14ac:dyDescent="0.35">
      <c r="A253" s="21" t="s">
        <v>142</v>
      </c>
      <c r="B253" s="21" t="s">
        <v>497</v>
      </c>
      <c r="C253" s="21" t="s">
        <v>109</v>
      </c>
      <c r="D253" s="22">
        <v>1</v>
      </c>
      <c r="E253" s="21" t="s">
        <v>587</v>
      </c>
      <c r="F253" s="21" t="s">
        <v>145</v>
      </c>
      <c r="G253" s="21" t="s">
        <v>146</v>
      </c>
      <c r="H253" s="21" t="s">
        <v>499</v>
      </c>
      <c r="I253" s="21" t="s">
        <v>148</v>
      </c>
      <c r="J253" s="21" t="s">
        <v>588</v>
      </c>
    </row>
    <row r="254" spans="1:10" ht="19.5" customHeight="1" x14ac:dyDescent="0.35">
      <c r="A254" s="23" t="s">
        <v>142</v>
      </c>
      <c r="B254" s="23" t="s">
        <v>497</v>
      </c>
      <c r="C254" s="23" t="s">
        <v>109</v>
      </c>
      <c r="D254" s="24">
        <v>1</v>
      </c>
      <c r="E254" s="23"/>
      <c r="F254" s="23" t="s">
        <v>258</v>
      </c>
      <c r="G254" s="23" t="s">
        <v>158</v>
      </c>
      <c r="H254" s="23" t="s">
        <v>499</v>
      </c>
      <c r="I254" s="23" t="s">
        <v>148</v>
      </c>
      <c r="J254" s="23" t="s">
        <v>541</v>
      </c>
    </row>
    <row r="255" spans="1:10" ht="19.5" customHeight="1" x14ac:dyDescent="0.35">
      <c r="A255" s="21" t="s">
        <v>142</v>
      </c>
      <c r="B255" s="21" t="s">
        <v>497</v>
      </c>
      <c r="C255" s="21" t="s">
        <v>109</v>
      </c>
      <c r="D255" s="22">
        <v>1</v>
      </c>
      <c r="E255" s="21" t="s">
        <v>589</v>
      </c>
      <c r="F255" s="21" t="s">
        <v>145</v>
      </c>
      <c r="G255" s="21" t="s">
        <v>146</v>
      </c>
      <c r="H255" s="21" t="s">
        <v>499</v>
      </c>
      <c r="I255" s="21" t="s">
        <v>148</v>
      </c>
      <c r="J255" s="21" t="s">
        <v>590</v>
      </c>
    </row>
    <row r="256" spans="1:10" ht="19.5" customHeight="1" x14ac:dyDescent="0.35">
      <c r="A256" s="21" t="s">
        <v>142</v>
      </c>
      <c r="B256" s="21" t="s">
        <v>497</v>
      </c>
      <c r="C256" s="21" t="s">
        <v>109</v>
      </c>
      <c r="D256" s="22">
        <v>1</v>
      </c>
      <c r="E256" s="21" t="s">
        <v>591</v>
      </c>
      <c r="F256" s="21" t="s">
        <v>145</v>
      </c>
      <c r="G256" s="21" t="s">
        <v>146</v>
      </c>
      <c r="H256" s="21" t="s">
        <v>499</v>
      </c>
      <c r="I256" s="21" t="s">
        <v>148</v>
      </c>
      <c r="J256" s="21" t="s">
        <v>592</v>
      </c>
    </row>
    <row r="257" spans="1:10" ht="19.5" customHeight="1" x14ac:dyDescent="0.35">
      <c r="A257" s="21" t="s">
        <v>142</v>
      </c>
      <c r="B257" s="21" t="s">
        <v>497</v>
      </c>
      <c r="C257" s="21" t="s">
        <v>109</v>
      </c>
      <c r="D257" s="22">
        <v>1</v>
      </c>
      <c r="E257" s="21" t="s">
        <v>593</v>
      </c>
      <c r="F257" s="21" t="s">
        <v>145</v>
      </c>
      <c r="G257" s="21" t="s">
        <v>146</v>
      </c>
      <c r="H257" s="21" t="s">
        <v>499</v>
      </c>
      <c r="I257" s="21" t="s">
        <v>148</v>
      </c>
      <c r="J257" s="21" t="s">
        <v>594</v>
      </c>
    </row>
    <row r="258" spans="1:10" ht="19.5" customHeight="1" x14ac:dyDescent="0.35">
      <c r="A258" s="23" t="s">
        <v>142</v>
      </c>
      <c r="B258" s="23" t="s">
        <v>497</v>
      </c>
      <c r="C258" s="23" t="s">
        <v>109</v>
      </c>
      <c r="D258" s="24">
        <v>1</v>
      </c>
      <c r="E258" s="23" t="s">
        <v>595</v>
      </c>
      <c r="F258" s="23" t="s">
        <v>258</v>
      </c>
      <c r="G258" s="23" t="s">
        <v>158</v>
      </c>
      <c r="H258" s="23" t="s">
        <v>499</v>
      </c>
      <c r="I258" s="23" t="s">
        <v>148</v>
      </c>
      <c r="J258" s="23" t="s">
        <v>596</v>
      </c>
    </row>
    <row r="259" spans="1:10" ht="19.5" customHeight="1" x14ac:dyDescent="0.35">
      <c r="A259" s="23" t="s">
        <v>142</v>
      </c>
      <c r="B259" s="23" t="s">
        <v>497</v>
      </c>
      <c r="C259" s="23" t="s">
        <v>109</v>
      </c>
      <c r="D259" s="24">
        <v>1</v>
      </c>
      <c r="E259" s="23"/>
      <c r="F259" s="23" t="s">
        <v>258</v>
      </c>
      <c r="G259" s="23" t="s">
        <v>158</v>
      </c>
      <c r="H259" s="23" t="s">
        <v>499</v>
      </c>
      <c r="I259" s="23" t="s">
        <v>148</v>
      </c>
      <c r="J259" s="23" t="s">
        <v>541</v>
      </c>
    </row>
    <row r="260" spans="1:10" ht="19.5" customHeight="1" x14ac:dyDescent="0.35">
      <c r="A260" s="21" t="s">
        <v>142</v>
      </c>
      <c r="B260" s="21" t="s">
        <v>497</v>
      </c>
      <c r="C260" s="21" t="s">
        <v>109</v>
      </c>
      <c r="D260" s="22">
        <v>1</v>
      </c>
      <c r="E260" s="21" t="s">
        <v>597</v>
      </c>
      <c r="F260" s="21" t="s">
        <v>145</v>
      </c>
      <c r="G260" s="21" t="s">
        <v>146</v>
      </c>
      <c r="H260" s="21" t="s">
        <v>499</v>
      </c>
      <c r="I260" s="21" t="s">
        <v>148</v>
      </c>
      <c r="J260" s="21" t="s">
        <v>598</v>
      </c>
    </row>
    <row r="261" spans="1:10" ht="19.5" customHeight="1" x14ac:dyDescent="0.35">
      <c r="A261" s="21" t="s">
        <v>142</v>
      </c>
      <c r="B261" s="21" t="s">
        <v>497</v>
      </c>
      <c r="C261" s="21" t="s">
        <v>109</v>
      </c>
      <c r="D261" s="22">
        <v>1</v>
      </c>
      <c r="E261" s="21" t="s">
        <v>599</v>
      </c>
      <c r="F261" s="21" t="s">
        <v>145</v>
      </c>
      <c r="G261" s="21" t="s">
        <v>146</v>
      </c>
      <c r="H261" s="21" t="s">
        <v>499</v>
      </c>
      <c r="I261" s="21" t="s">
        <v>148</v>
      </c>
      <c r="J261" s="21" t="s">
        <v>600</v>
      </c>
    </row>
    <row r="262" spans="1:10" ht="19.5" customHeight="1" x14ac:dyDescent="0.35">
      <c r="A262" s="21" t="s">
        <v>142</v>
      </c>
      <c r="B262" s="21" t="s">
        <v>497</v>
      </c>
      <c r="C262" s="21" t="s">
        <v>109</v>
      </c>
      <c r="D262" s="22">
        <v>1</v>
      </c>
      <c r="E262" s="21" t="s">
        <v>601</v>
      </c>
      <c r="F262" s="21" t="s">
        <v>145</v>
      </c>
      <c r="G262" s="21" t="s">
        <v>146</v>
      </c>
      <c r="H262" s="21" t="s">
        <v>499</v>
      </c>
      <c r="I262" s="21" t="s">
        <v>148</v>
      </c>
      <c r="J262" s="21" t="s">
        <v>602</v>
      </c>
    </row>
    <row r="263" spans="1:10" ht="19.5" customHeight="1" x14ac:dyDescent="0.35">
      <c r="A263" s="21" t="s">
        <v>142</v>
      </c>
      <c r="B263" s="21" t="s">
        <v>497</v>
      </c>
      <c r="C263" s="21" t="s">
        <v>109</v>
      </c>
      <c r="D263" s="22">
        <v>1</v>
      </c>
      <c r="E263" s="21" t="s">
        <v>603</v>
      </c>
      <c r="F263" s="21" t="s">
        <v>145</v>
      </c>
      <c r="G263" s="21" t="s">
        <v>146</v>
      </c>
      <c r="H263" s="21" t="s">
        <v>499</v>
      </c>
      <c r="I263" s="21" t="s">
        <v>148</v>
      </c>
      <c r="J263" s="21" t="s">
        <v>604</v>
      </c>
    </row>
    <row r="264" spans="1:10" ht="19.5" customHeight="1" x14ac:dyDescent="0.35">
      <c r="A264" s="23" t="s">
        <v>142</v>
      </c>
      <c r="B264" s="23" t="s">
        <v>497</v>
      </c>
      <c r="C264" s="23" t="s">
        <v>109</v>
      </c>
      <c r="D264" s="24">
        <v>1</v>
      </c>
      <c r="E264" s="23"/>
      <c r="F264" s="23" t="s">
        <v>258</v>
      </c>
      <c r="G264" s="23" t="s">
        <v>158</v>
      </c>
      <c r="H264" s="23" t="s">
        <v>499</v>
      </c>
      <c r="I264" s="23" t="s">
        <v>148</v>
      </c>
      <c r="J264" s="23" t="s">
        <v>541</v>
      </c>
    </row>
    <row r="265" spans="1:10" ht="19.5" customHeight="1" x14ac:dyDescent="0.35">
      <c r="A265" s="23" t="s">
        <v>142</v>
      </c>
      <c r="B265" s="23" t="s">
        <v>497</v>
      </c>
      <c r="C265" s="23" t="s">
        <v>109</v>
      </c>
      <c r="D265" s="24">
        <v>1</v>
      </c>
      <c r="E265" s="23"/>
      <c r="F265" s="23" t="s">
        <v>258</v>
      </c>
      <c r="G265" s="23" t="s">
        <v>158</v>
      </c>
      <c r="H265" s="23" t="s">
        <v>499</v>
      </c>
      <c r="I265" s="23" t="s">
        <v>148</v>
      </c>
      <c r="J265" s="23" t="s">
        <v>541</v>
      </c>
    </row>
    <row r="266" spans="1:10" ht="19.5" customHeight="1" x14ac:dyDescent="0.35">
      <c r="A266" s="21" t="s">
        <v>142</v>
      </c>
      <c r="B266" s="21" t="s">
        <v>497</v>
      </c>
      <c r="C266" s="21" t="s">
        <v>109</v>
      </c>
      <c r="D266" s="22">
        <v>1</v>
      </c>
      <c r="E266" s="21" t="s">
        <v>605</v>
      </c>
      <c r="F266" s="21" t="s">
        <v>145</v>
      </c>
      <c r="G266" s="21" t="s">
        <v>146</v>
      </c>
      <c r="H266" s="21" t="s">
        <v>499</v>
      </c>
      <c r="I266" s="21" t="s">
        <v>148</v>
      </c>
      <c r="J266" s="21" t="s">
        <v>606</v>
      </c>
    </row>
    <row r="267" spans="1:10" ht="19.5" customHeight="1" x14ac:dyDescent="0.35">
      <c r="A267" s="21" t="s">
        <v>142</v>
      </c>
      <c r="B267" s="21" t="s">
        <v>497</v>
      </c>
      <c r="C267" s="21" t="s">
        <v>109</v>
      </c>
      <c r="D267" s="22">
        <v>1</v>
      </c>
      <c r="E267" s="21" t="s">
        <v>607</v>
      </c>
      <c r="F267" s="21" t="s">
        <v>145</v>
      </c>
      <c r="G267" s="21" t="s">
        <v>146</v>
      </c>
      <c r="H267" s="21" t="s">
        <v>499</v>
      </c>
      <c r="I267" s="21" t="s">
        <v>148</v>
      </c>
      <c r="J267" s="21" t="s">
        <v>608</v>
      </c>
    </row>
    <row r="268" spans="1:10" ht="19.5" customHeight="1" x14ac:dyDescent="0.35">
      <c r="A268" s="21" t="s">
        <v>142</v>
      </c>
      <c r="B268" s="21" t="s">
        <v>497</v>
      </c>
      <c r="C268" s="21" t="s">
        <v>109</v>
      </c>
      <c r="D268" s="22">
        <v>1</v>
      </c>
      <c r="E268" s="21" t="s">
        <v>609</v>
      </c>
      <c r="F268" s="21" t="s">
        <v>145</v>
      </c>
      <c r="G268" s="21" t="s">
        <v>146</v>
      </c>
      <c r="H268" s="21" t="s">
        <v>499</v>
      </c>
      <c r="I268" s="21" t="s">
        <v>148</v>
      </c>
      <c r="J268" s="21" t="s">
        <v>610</v>
      </c>
    </row>
    <row r="269" spans="1:10" ht="19.5" customHeight="1" x14ac:dyDescent="0.35">
      <c r="A269" s="21" t="s">
        <v>142</v>
      </c>
      <c r="B269" s="21" t="s">
        <v>497</v>
      </c>
      <c r="C269" s="21" t="s">
        <v>109</v>
      </c>
      <c r="D269" s="22">
        <v>1</v>
      </c>
      <c r="E269" s="21" t="s">
        <v>611</v>
      </c>
      <c r="F269" s="21" t="s">
        <v>145</v>
      </c>
      <c r="G269" s="21" t="s">
        <v>146</v>
      </c>
      <c r="H269" s="21" t="s">
        <v>499</v>
      </c>
      <c r="I269" s="21" t="s">
        <v>148</v>
      </c>
      <c r="J269" s="21" t="s">
        <v>612</v>
      </c>
    </row>
    <row r="270" spans="1:10" ht="19.5" customHeight="1" x14ac:dyDescent="0.35">
      <c r="A270" s="21" t="s">
        <v>142</v>
      </c>
      <c r="B270" s="21" t="s">
        <v>497</v>
      </c>
      <c r="C270" s="21" t="s">
        <v>109</v>
      </c>
      <c r="D270" s="22">
        <v>1</v>
      </c>
      <c r="E270" s="21" t="s">
        <v>613</v>
      </c>
      <c r="F270" s="21" t="s">
        <v>145</v>
      </c>
      <c r="G270" s="21" t="s">
        <v>146</v>
      </c>
      <c r="H270" s="21" t="s">
        <v>499</v>
      </c>
      <c r="I270" s="21" t="s">
        <v>148</v>
      </c>
      <c r="J270" s="21" t="s">
        <v>614</v>
      </c>
    </row>
    <row r="271" spans="1:10" ht="19.5" customHeight="1" x14ac:dyDescent="0.35">
      <c r="A271" s="21" t="s">
        <v>142</v>
      </c>
      <c r="B271" s="21" t="s">
        <v>497</v>
      </c>
      <c r="C271" s="21" t="s">
        <v>109</v>
      </c>
      <c r="D271" s="22">
        <v>1</v>
      </c>
      <c r="E271" s="21" t="s">
        <v>615</v>
      </c>
      <c r="F271" s="21" t="s">
        <v>145</v>
      </c>
      <c r="G271" s="21" t="s">
        <v>146</v>
      </c>
      <c r="H271" s="21" t="s">
        <v>499</v>
      </c>
      <c r="I271" s="21" t="s">
        <v>148</v>
      </c>
      <c r="J271" s="21" t="s">
        <v>616</v>
      </c>
    </row>
    <row r="272" spans="1:10" ht="19.5" customHeight="1" x14ac:dyDescent="0.35">
      <c r="A272" s="21" t="s">
        <v>142</v>
      </c>
      <c r="B272" s="21" t="s">
        <v>497</v>
      </c>
      <c r="C272" s="21" t="s">
        <v>109</v>
      </c>
      <c r="D272" s="22">
        <v>1</v>
      </c>
      <c r="E272" s="21" t="s">
        <v>617</v>
      </c>
      <c r="F272" s="21" t="s">
        <v>145</v>
      </c>
      <c r="G272" s="21" t="s">
        <v>146</v>
      </c>
      <c r="H272" s="21" t="s">
        <v>499</v>
      </c>
      <c r="I272" s="21" t="s">
        <v>148</v>
      </c>
      <c r="J272" s="21" t="s">
        <v>618</v>
      </c>
    </row>
    <row r="273" spans="1:10" ht="19.5" customHeight="1" x14ac:dyDescent="0.35">
      <c r="A273" s="21" t="s">
        <v>142</v>
      </c>
      <c r="B273" s="21" t="s">
        <v>497</v>
      </c>
      <c r="C273" s="21" t="s">
        <v>109</v>
      </c>
      <c r="D273" s="22">
        <v>1</v>
      </c>
      <c r="E273" s="21" t="s">
        <v>619</v>
      </c>
      <c r="F273" s="21" t="s">
        <v>145</v>
      </c>
      <c r="G273" s="21" t="s">
        <v>146</v>
      </c>
      <c r="H273" s="21" t="s">
        <v>499</v>
      </c>
      <c r="I273" s="21" t="s">
        <v>148</v>
      </c>
      <c r="J273" s="21" t="s">
        <v>620</v>
      </c>
    </row>
    <row r="274" spans="1:10" ht="19.5" customHeight="1" x14ac:dyDescent="0.35">
      <c r="A274" s="21" t="s">
        <v>142</v>
      </c>
      <c r="B274" s="21" t="s">
        <v>497</v>
      </c>
      <c r="C274" s="21" t="s">
        <v>109</v>
      </c>
      <c r="D274" s="22">
        <v>1</v>
      </c>
      <c r="E274" s="21" t="s">
        <v>621</v>
      </c>
      <c r="F274" s="21" t="s">
        <v>145</v>
      </c>
      <c r="G274" s="21" t="s">
        <v>146</v>
      </c>
      <c r="H274" s="21" t="s">
        <v>499</v>
      </c>
      <c r="I274" s="21" t="s">
        <v>148</v>
      </c>
      <c r="J274" s="21" t="s">
        <v>622</v>
      </c>
    </row>
    <row r="275" spans="1:10" ht="19.5" customHeight="1" x14ac:dyDescent="0.35">
      <c r="A275" s="21" t="s">
        <v>142</v>
      </c>
      <c r="B275" s="21" t="s">
        <v>497</v>
      </c>
      <c r="C275" s="21" t="s">
        <v>109</v>
      </c>
      <c r="D275" s="22">
        <v>1</v>
      </c>
      <c r="E275" s="21" t="s">
        <v>623</v>
      </c>
      <c r="F275" s="21" t="s">
        <v>145</v>
      </c>
      <c r="G275" s="21" t="s">
        <v>146</v>
      </c>
      <c r="H275" s="21" t="s">
        <v>499</v>
      </c>
      <c r="I275" s="21" t="s">
        <v>148</v>
      </c>
      <c r="J275" s="21" t="s">
        <v>624</v>
      </c>
    </row>
    <row r="276" spans="1:10" ht="19.5" customHeight="1" x14ac:dyDescent="0.35">
      <c r="A276" s="21" t="s">
        <v>142</v>
      </c>
      <c r="B276" s="21" t="s">
        <v>497</v>
      </c>
      <c r="C276" s="21" t="s">
        <v>109</v>
      </c>
      <c r="D276" s="22">
        <v>1</v>
      </c>
      <c r="E276" s="21" t="s">
        <v>625</v>
      </c>
      <c r="F276" s="21" t="s">
        <v>145</v>
      </c>
      <c r="G276" s="21" t="s">
        <v>146</v>
      </c>
      <c r="H276" s="21" t="s">
        <v>499</v>
      </c>
      <c r="I276" s="21" t="s">
        <v>148</v>
      </c>
      <c r="J276" s="21" t="s">
        <v>626</v>
      </c>
    </row>
    <row r="277" spans="1:10" ht="19.5" customHeight="1" x14ac:dyDescent="0.35">
      <c r="A277" s="21" t="s">
        <v>142</v>
      </c>
      <c r="B277" s="21" t="s">
        <v>497</v>
      </c>
      <c r="C277" s="21" t="s">
        <v>109</v>
      </c>
      <c r="D277" s="22">
        <v>1</v>
      </c>
      <c r="E277" s="21" t="s">
        <v>627</v>
      </c>
      <c r="F277" s="21" t="s">
        <v>145</v>
      </c>
      <c r="G277" s="21" t="s">
        <v>146</v>
      </c>
      <c r="H277" s="21" t="s">
        <v>499</v>
      </c>
      <c r="I277" s="21" t="s">
        <v>148</v>
      </c>
      <c r="J277" s="21" t="s">
        <v>628</v>
      </c>
    </row>
    <row r="278" spans="1:10" ht="19.5" customHeight="1" x14ac:dyDescent="0.35">
      <c r="A278" s="23" t="s">
        <v>142</v>
      </c>
      <c r="B278" s="23" t="s">
        <v>497</v>
      </c>
      <c r="C278" s="23" t="s">
        <v>109</v>
      </c>
      <c r="D278" s="24">
        <v>1</v>
      </c>
      <c r="E278" s="23" t="s">
        <v>629</v>
      </c>
      <c r="F278" s="23" t="s">
        <v>258</v>
      </c>
      <c r="G278" s="23" t="s">
        <v>158</v>
      </c>
      <c r="H278" s="23" t="s">
        <v>499</v>
      </c>
      <c r="I278" s="23" t="s">
        <v>148</v>
      </c>
      <c r="J278" s="23" t="s">
        <v>630</v>
      </c>
    </row>
    <row r="279" spans="1:10" ht="19.5" customHeight="1" x14ac:dyDescent="0.35">
      <c r="A279" s="21" t="s">
        <v>142</v>
      </c>
      <c r="B279" s="21" t="s">
        <v>497</v>
      </c>
      <c r="C279" s="21" t="s">
        <v>109</v>
      </c>
      <c r="D279" s="22">
        <v>1</v>
      </c>
      <c r="E279" s="21" t="s">
        <v>631</v>
      </c>
      <c r="F279" s="21" t="s">
        <v>145</v>
      </c>
      <c r="G279" s="21" t="s">
        <v>146</v>
      </c>
      <c r="H279" s="21" t="s">
        <v>499</v>
      </c>
      <c r="I279" s="21" t="s">
        <v>148</v>
      </c>
      <c r="J279" s="21" t="s">
        <v>632</v>
      </c>
    </row>
    <row r="280" spans="1:10" ht="19.5" customHeight="1" x14ac:dyDescent="0.35">
      <c r="A280" s="21" t="s">
        <v>142</v>
      </c>
      <c r="B280" s="21" t="s">
        <v>497</v>
      </c>
      <c r="C280" s="21" t="s">
        <v>109</v>
      </c>
      <c r="D280" s="22">
        <v>1</v>
      </c>
      <c r="E280" s="21" t="s">
        <v>633</v>
      </c>
      <c r="F280" s="21" t="s">
        <v>145</v>
      </c>
      <c r="G280" s="21" t="s">
        <v>146</v>
      </c>
      <c r="H280" s="21" t="s">
        <v>499</v>
      </c>
      <c r="I280" s="21" t="s">
        <v>148</v>
      </c>
      <c r="J280" s="21" t="s">
        <v>634</v>
      </c>
    </row>
    <row r="281" spans="1:10" ht="19.5" customHeight="1" x14ac:dyDescent="0.35">
      <c r="A281" s="23" t="s">
        <v>142</v>
      </c>
      <c r="B281" s="23" t="s">
        <v>497</v>
      </c>
      <c r="C281" s="23" t="s">
        <v>109</v>
      </c>
      <c r="D281" s="24">
        <v>1</v>
      </c>
      <c r="E281" s="23" t="s">
        <v>635</v>
      </c>
      <c r="F281" s="23" t="s">
        <v>258</v>
      </c>
      <c r="G281" s="23" t="s">
        <v>158</v>
      </c>
      <c r="H281" s="23" t="s">
        <v>499</v>
      </c>
      <c r="I281" s="23" t="s">
        <v>148</v>
      </c>
      <c r="J281" s="23" t="s">
        <v>636</v>
      </c>
    </row>
    <row r="282" spans="1:10" ht="19.5" customHeight="1" x14ac:dyDescent="0.35">
      <c r="A282" s="21" t="s">
        <v>142</v>
      </c>
      <c r="B282" s="21" t="s">
        <v>497</v>
      </c>
      <c r="C282" s="21" t="s">
        <v>109</v>
      </c>
      <c r="D282" s="22">
        <v>1</v>
      </c>
      <c r="E282" s="21" t="s">
        <v>637</v>
      </c>
      <c r="F282" s="21" t="s">
        <v>145</v>
      </c>
      <c r="G282" s="21" t="s">
        <v>146</v>
      </c>
      <c r="H282" s="21" t="s">
        <v>499</v>
      </c>
      <c r="I282" s="21" t="s">
        <v>148</v>
      </c>
      <c r="J282" s="21" t="s">
        <v>638</v>
      </c>
    </row>
    <row r="283" spans="1:10" ht="19.5" customHeight="1" x14ac:dyDescent="0.35">
      <c r="A283" s="21" t="s">
        <v>142</v>
      </c>
      <c r="B283" s="21" t="s">
        <v>497</v>
      </c>
      <c r="C283" s="21" t="s">
        <v>109</v>
      </c>
      <c r="D283" s="22">
        <v>1</v>
      </c>
      <c r="E283" s="21" t="s">
        <v>639</v>
      </c>
      <c r="F283" s="21" t="s">
        <v>145</v>
      </c>
      <c r="G283" s="21" t="s">
        <v>146</v>
      </c>
      <c r="H283" s="21" t="s">
        <v>499</v>
      </c>
      <c r="I283" s="21" t="s">
        <v>148</v>
      </c>
      <c r="J283" s="21" t="s">
        <v>640</v>
      </c>
    </row>
    <row r="284" spans="1:10" ht="19.5" customHeight="1" x14ac:dyDescent="0.35">
      <c r="A284" s="21" t="s">
        <v>142</v>
      </c>
      <c r="B284" s="21" t="s">
        <v>497</v>
      </c>
      <c r="C284" s="21" t="s">
        <v>109</v>
      </c>
      <c r="D284" s="22">
        <v>1</v>
      </c>
      <c r="E284" s="21" t="s">
        <v>641</v>
      </c>
      <c r="F284" s="21" t="s">
        <v>145</v>
      </c>
      <c r="G284" s="21" t="s">
        <v>146</v>
      </c>
      <c r="H284" s="21" t="s">
        <v>499</v>
      </c>
      <c r="I284" s="21" t="s">
        <v>148</v>
      </c>
      <c r="J284" s="21" t="s">
        <v>642</v>
      </c>
    </row>
    <row r="285" spans="1:10" ht="19.5" customHeight="1" x14ac:dyDescent="0.35">
      <c r="A285" s="21" t="s">
        <v>142</v>
      </c>
      <c r="B285" s="21" t="s">
        <v>497</v>
      </c>
      <c r="C285" s="21" t="s">
        <v>109</v>
      </c>
      <c r="D285" s="22">
        <v>1</v>
      </c>
      <c r="E285" s="21" t="s">
        <v>643</v>
      </c>
      <c r="F285" s="21" t="s">
        <v>145</v>
      </c>
      <c r="G285" s="21" t="s">
        <v>146</v>
      </c>
      <c r="H285" s="21" t="s">
        <v>499</v>
      </c>
      <c r="I285" s="21" t="s">
        <v>148</v>
      </c>
      <c r="J285" s="21" t="s">
        <v>644</v>
      </c>
    </row>
    <row r="286" spans="1:10" ht="19.5" customHeight="1" x14ac:dyDescent="0.35">
      <c r="A286" s="21" t="s">
        <v>142</v>
      </c>
      <c r="B286" s="21" t="s">
        <v>497</v>
      </c>
      <c r="C286" s="21" t="s">
        <v>109</v>
      </c>
      <c r="D286" s="22">
        <v>1</v>
      </c>
      <c r="E286" s="21" t="s">
        <v>645</v>
      </c>
      <c r="F286" s="21" t="s">
        <v>145</v>
      </c>
      <c r="G286" s="21" t="s">
        <v>146</v>
      </c>
      <c r="H286" s="21" t="s">
        <v>499</v>
      </c>
      <c r="I286" s="21" t="s">
        <v>148</v>
      </c>
      <c r="J286" s="21" t="s">
        <v>646</v>
      </c>
    </row>
    <row r="287" spans="1:10" ht="19.5" customHeight="1" x14ac:dyDescent="0.35">
      <c r="A287" s="21" t="s">
        <v>142</v>
      </c>
      <c r="B287" s="21" t="s">
        <v>497</v>
      </c>
      <c r="C287" s="21" t="s">
        <v>109</v>
      </c>
      <c r="D287" s="22">
        <v>1</v>
      </c>
      <c r="E287" s="21" t="s">
        <v>647</v>
      </c>
      <c r="F287" s="21" t="s">
        <v>145</v>
      </c>
      <c r="G287" s="21" t="s">
        <v>146</v>
      </c>
      <c r="H287" s="21" t="s">
        <v>499</v>
      </c>
      <c r="I287" s="21" t="s">
        <v>148</v>
      </c>
      <c r="J287" s="21" t="s">
        <v>648</v>
      </c>
    </row>
    <row r="288" spans="1:10" ht="19.5" customHeight="1" x14ac:dyDescent="0.35">
      <c r="A288" s="21" t="s">
        <v>649</v>
      </c>
      <c r="B288" s="21" t="s">
        <v>650</v>
      </c>
      <c r="C288" s="21" t="s">
        <v>651</v>
      </c>
      <c r="D288" s="22">
        <v>1</v>
      </c>
      <c r="E288" s="21" t="s">
        <v>652</v>
      </c>
      <c r="F288" s="21" t="s">
        <v>653</v>
      </c>
      <c r="G288" s="21" t="s">
        <v>654</v>
      </c>
      <c r="H288" s="21" t="s">
        <v>655</v>
      </c>
      <c r="I288" s="21" t="s">
        <v>656</v>
      </c>
      <c r="J288" s="21" t="s">
        <v>657</v>
      </c>
    </row>
    <row r="289" spans="1:10" ht="19.5" customHeight="1" x14ac:dyDescent="0.35">
      <c r="A289" s="21" t="s">
        <v>649</v>
      </c>
      <c r="B289" s="21" t="s">
        <v>650</v>
      </c>
      <c r="C289" s="21" t="s">
        <v>651</v>
      </c>
      <c r="D289" s="22">
        <v>1</v>
      </c>
      <c r="E289" s="21" t="s">
        <v>658</v>
      </c>
      <c r="F289" s="21" t="s">
        <v>653</v>
      </c>
      <c r="G289" s="21" t="s">
        <v>654</v>
      </c>
      <c r="H289" s="21" t="s">
        <v>655</v>
      </c>
      <c r="I289" s="21" t="s">
        <v>656</v>
      </c>
      <c r="J289" s="21" t="s">
        <v>659</v>
      </c>
    </row>
    <row r="290" spans="1:10" ht="19.5" customHeight="1" x14ac:dyDescent="0.35">
      <c r="A290" s="21" t="s">
        <v>649</v>
      </c>
      <c r="B290" s="21" t="s">
        <v>660</v>
      </c>
      <c r="C290" s="21" t="s">
        <v>651</v>
      </c>
      <c r="D290" s="22">
        <v>1</v>
      </c>
      <c r="E290" s="21" t="s">
        <v>661</v>
      </c>
      <c r="F290" s="21" t="s">
        <v>653</v>
      </c>
      <c r="G290" s="21" t="s">
        <v>654</v>
      </c>
      <c r="H290" s="21" t="s">
        <v>655</v>
      </c>
      <c r="I290" s="21" t="s">
        <v>656</v>
      </c>
      <c r="J290" s="21" t="s">
        <v>662</v>
      </c>
    </row>
    <row r="291" spans="1:10" ht="19.5" customHeight="1" x14ac:dyDescent="0.35">
      <c r="A291" s="21" t="s">
        <v>649</v>
      </c>
      <c r="B291" s="21" t="s">
        <v>663</v>
      </c>
      <c r="C291" s="21" t="s">
        <v>651</v>
      </c>
      <c r="D291" s="22">
        <v>1</v>
      </c>
      <c r="E291" s="21" t="s">
        <v>664</v>
      </c>
      <c r="F291" s="21" t="s">
        <v>653</v>
      </c>
      <c r="G291" s="21" t="s">
        <v>654</v>
      </c>
      <c r="H291" s="21" t="s">
        <v>655</v>
      </c>
      <c r="I291" s="21" t="s">
        <v>656</v>
      </c>
      <c r="J291" s="21" t="s">
        <v>665</v>
      </c>
    </row>
    <row r="292" spans="1:10" ht="19.5" customHeight="1" x14ac:dyDescent="0.35">
      <c r="A292" s="21" t="s">
        <v>649</v>
      </c>
      <c r="B292" s="21" t="s">
        <v>663</v>
      </c>
      <c r="C292" s="21" t="s">
        <v>651</v>
      </c>
      <c r="D292" s="22">
        <v>1</v>
      </c>
      <c r="E292" s="21" t="s">
        <v>666</v>
      </c>
      <c r="F292" s="21" t="s">
        <v>653</v>
      </c>
      <c r="G292" s="21" t="s">
        <v>654</v>
      </c>
      <c r="H292" s="21" t="s">
        <v>655</v>
      </c>
      <c r="I292" s="21" t="s">
        <v>656</v>
      </c>
      <c r="J292" s="21" t="s">
        <v>667</v>
      </c>
    </row>
    <row r="293" spans="1:10" ht="19.5" customHeight="1" x14ac:dyDescent="0.35">
      <c r="A293" s="21" t="s">
        <v>649</v>
      </c>
      <c r="B293" s="21" t="s">
        <v>660</v>
      </c>
      <c r="C293" s="21" t="s">
        <v>651</v>
      </c>
      <c r="D293" s="22">
        <v>1</v>
      </c>
      <c r="E293" s="21" t="s">
        <v>668</v>
      </c>
      <c r="F293" s="21" t="s">
        <v>653</v>
      </c>
      <c r="G293" s="21" t="s">
        <v>654</v>
      </c>
      <c r="H293" s="21" t="s">
        <v>655</v>
      </c>
      <c r="I293" s="21" t="s">
        <v>656</v>
      </c>
      <c r="J293" s="21" t="s">
        <v>669</v>
      </c>
    </row>
    <row r="294" spans="1:10" ht="19.5" customHeight="1" x14ac:dyDescent="0.35">
      <c r="A294" s="21" t="s">
        <v>649</v>
      </c>
      <c r="B294" s="21" t="s">
        <v>660</v>
      </c>
      <c r="C294" s="21" t="s">
        <v>651</v>
      </c>
      <c r="D294" s="22">
        <v>1</v>
      </c>
      <c r="E294" s="21" t="s">
        <v>670</v>
      </c>
      <c r="F294" s="21" t="s">
        <v>653</v>
      </c>
      <c r="G294" s="21" t="s">
        <v>654</v>
      </c>
      <c r="H294" s="21" t="s">
        <v>655</v>
      </c>
      <c r="I294" s="21" t="s">
        <v>656</v>
      </c>
      <c r="J294" s="21" t="s">
        <v>671</v>
      </c>
    </row>
    <row r="295" spans="1:10" ht="19.5" customHeight="1" x14ac:dyDescent="0.35">
      <c r="A295" s="21" t="s">
        <v>649</v>
      </c>
      <c r="B295" s="21" t="s">
        <v>660</v>
      </c>
      <c r="C295" s="21" t="s">
        <v>651</v>
      </c>
      <c r="D295" s="22">
        <v>1</v>
      </c>
      <c r="E295" s="21" t="s">
        <v>672</v>
      </c>
      <c r="F295" s="21" t="s">
        <v>653</v>
      </c>
      <c r="G295" s="21" t="s">
        <v>654</v>
      </c>
      <c r="H295" s="21" t="s">
        <v>655</v>
      </c>
      <c r="I295" s="21" t="s">
        <v>656</v>
      </c>
      <c r="J295" s="21" t="s">
        <v>673</v>
      </c>
    </row>
    <row r="296" spans="1:10" ht="19.5" customHeight="1" x14ac:dyDescent="0.35">
      <c r="A296" s="21" t="s">
        <v>649</v>
      </c>
      <c r="B296" s="21" t="s">
        <v>660</v>
      </c>
      <c r="C296" s="21" t="s">
        <v>651</v>
      </c>
      <c r="D296" s="22">
        <v>1</v>
      </c>
      <c r="E296" s="21" t="s">
        <v>674</v>
      </c>
      <c r="F296" s="21" t="s">
        <v>653</v>
      </c>
      <c r="G296" s="21" t="s">
        <v>654</v>
      </c>
      <c r="H296" s="21" t="s">
        <v>655</v>
      </c>
      <c r="I296" s="21" t="s">
        <v>656</v>
      </c>
      <c r="J296" s="21" t="s">
        <v>675</v>
      </c>
    </row>
    <row r="297" spans="1:10" ht="19.5" customHeight="1" x14ac:dyDescent="0.35">
      <c r="A297" s="21" t="s">
        <v>649</v>
      </c>
      <c r="B297" s="21" t="s">
        <v>676</v>
      </c>
      <c r="C297" s="21" t="s">
        <v>651</v>
      </c>
      <c r="D297" s="22">
        <v>1</v>
      </c>
      <c r="E297" s="21" t="s">
        <v>677</v>
      </c>
      <c r="F297" s="21" t="s">
        <v>653</v>
      </c>
      <c r="G297" s="21" t="s">
        <v>654</v>
      </c>
      <c r="H297" s="21" t="s">
        <v>655</v>
      </c>
      <c r="I297" s="21" t="s">
        <v>656</v>
      </c>
      <c r="J297" s="21" t="s">
        <v>678</v>
      </c>
    </row>
    <row r="298" spans="1:10" ht="19.5" customHeight="1" x14ac:dyDescent="0.35">
      <c r="A298" s="21" t="s">
        <v>649</v>
      </c>
      <c r="B298" s="21" t="s">
        <v>679</v>
      </c>
      <c r="C298" s="21" t="s">
        <v>651</v>
      </c>
      <c r="D298" s="22">
        <v>1</v>
      </c>
      <c r="E298" s="21" t="s">
        <v>680</v>
      </c>
      <c r="F298" s="21" t="s">
        <v>653</v>
      </c>
      <c r="G298" s="21" t="s">
        <v>654</v>
      </c>
      <c r="H298" s="21" t="s">
        <v>655</v>
      </c>
      <c r="I298" s="21" t="s">
        <v>656</v>
      </c>
      <c r="J298" s="21" t="s">
        <v>681</v>
      </c>
    </row>
    <row r="299" spans="1:10" ht="19.5" customHeight="1" x14ac:dyDescent="0.35">
      <c r="A299" s="21" t="s">
        <v>649</v>
      </c>
      <c r="B299" s="21" t="s">
        <v>679</v>
      </c>
      <c r="C299" s="21" t="s">
        <v>651</v>
      </c>
      <c r="D299" s="22">
        <v>1</v>
      </c>
      <c r="E299" s="21" t="s">
        <v>682</v>
      </c>
      <c r="F299" s="21" t="s">
        <v>653</v>
      </c>
      <c r="G299" s="21" t="s">
        <v>654</v>
      </c>
      <c r="H299" s="21" t="s">
        <v>655</v>
      </c>
      <c r="I299" s="21" t="s">
        <v>656</v>
      </c>
      <c r="J299" s="21" t="s">
        <v>681</v>
      </c>
    </row>
    <row r="300" spans="1:10" ht="19.5" customHeight="1" x14ac:dyDescent="0.35">
      <c r="A300" s="21" t="s">
        <v>649</v>
      </c>
      <c r="B300" s="21" t="s">
        <v>660</v>
      </c>
      <c r="C300" s="21" t="s">
        <v>651</v>
      </c>
      <c r="D300" s="22">
        <v>1</v>
      </c>
      <c r="E300" s="21" t="s">
        <v>683</v>
      </c>
      <c r="F300" s="21" t="s">
        <v>653</v>
      </c>
      <c r="G300" s="21" t="s">
        <v>654</v>
      </c>
      <c r="H300" s="21" t="s">
        <v>655</v>
      </c>
      <c r="I300" s="21" t="s">
        <v>656</v>
      </c>
      <c r="J300" s="21" t="s">
        <v>684</v>
      </c>
    </row>
    <row r="301" spans="1:10" ht="19.5" customHeight="1" x14ac:dyDescent="0.35">
      <c r="A301" s="21" t="s">
        <v>649</v>
      </c>
      <c r="B301" s="21" t="s">
        <v>660</v>
      </c>
      <c r="C301" s="21" t="s">
        <v>651</v>
      </c>
      <c r="D301" s="22">
        <v>1</v>
      </c>
      <c r="E301" s="21" t="s">
        <v>685</v>
      </c>
      <c r="F301" s="21" t="s">
        <v>653</v>
      </c>
      <c r="G301" s="21" t="s">
        <v>654</v>
      </c>
      <c r="H301" s="21" t="s">
        <v>655</v>
      </c>
      <c r="I301" s="21" t="s">
        <v>656</v>
      </c>
      <c r="J301" s="21" t="s">
        <v>686</v>
      </c>
    </row>
    <row r="302" spans="1:10" ht="19.5" customHeight="1" x14ac:dyDescent="0.35">
      <c r="A302" s="21" t="s">
        <v>649</v>
      </c>
      <c r="B302" s="21" t="s">
        <v>660</v>
      </c>
      <c r="C302" s="21" t="s">
        <v>651</v>
      </c>
      <c r="D302" s="22">
        <v>1</v>
      </c>
      <c r="E302" s="21" t="s">
        <v>687</v>
      </c>
      <c r="F302" s="21" t="s">
        <v>653</v>
      </c>
      <c r="G302" s="21" t="s">
        <v>654</v>
      </c>
      <c r="H302" s="21" t="s">
        <v>655</v>
      </c>
      <c r="I302" s="21" t="s">
        <v>656</v>
      </c>
      <c r="J302" s="21" t="s">
        <v>688</v>
      </c>
    </row>
    <row r="303" spans="1:10" ht="19.5" customHeight="1" x14ac:dyDescent="0.35">
      <c r="A303" s="21" t="s">
        <v>649</v>
      </c>
      <c r="B303" s="21" t="s">
        <v>650</v>
      </c>
      <c r="C303" s="21" t="s">
        <v>651</v>
      </c>
      <c r="D303" s="22">
        <v>1</v>
      </c>
      <c r="E303" s="21" t="s">
        <v>689</v>
      </c>
      <c r="F303" s="21" t="s">
        <v>653</v>
      </c>
      <c r="G303" s="21" t="s">
        <v>654</v>
      </c>
      <c r="H303" s="21" t="s">
        <v>655</v>
      </c>
      <c r="I303" s="21" t="s">
        <v>656</v>
      </c>
      <c r="J303" s="21" t="s">
        <v>690</v>
      </c>
    </row>
    <row r="304" spans="1:10" ht="19.5" customHeight="1" x14ac:dyDescent="0.35">
      <c r="A304" s="21" t="s">
        <v>649</v>
      </c>
      <c r="B304" s="21" t="s">
        <v>650</v>
      </c>
      <c r="C304" s="21" t="s">
        <v>651</v>
      </c>
      <c r="D304" s="22">
        <v>1</v>
      </c>
      <c r="E304" s="21" t="s">
        <v>691</v>
      </c>
      <c r="F304" s="21" t="s">
        <v>653</v>
      </c>
      <c r="G304" s="21" t="s">
        <v>654</v>
      </c>
      <c r="H304" s="21" t="s">
        <v>655</v>
      </c>
      <c r="I304" s="21" t="s">
        <v>656</v>
      </c>
      <c r="J304" s="21" t="s">
        <v>692</v>
      </c>
    </row>
    <row r="305" spans="1:10" ht="19.5" customHeight="1" x14ac:dyDescent="0.35">
      <c r="A305" s="21" t="s">
        <v>649</v>
      </c>
      <c r="B305" s="21" t="s">
        <v>650</v>
      </c>
      <c r="C305" s="21" t="s">
        <v>651</v>
      </c>
      <c r="D305" s="22">
        <v>1</v>
      </c>
      <c r="E305" s="21" t="s">
        <v>693</v>
      </c>
      <c r="F305" s="21" t="s">
        <v>653</v>
      </c>
      <c r="G305" s="21" t="s">
        <v>654</v>
      </c>
      <c r="H305" s="21" t="s">
        <v>655</v>
      </c>
      <c r="I305" s="21" t="s">
        <v>656</v>
      </c>
      <c r="J305" s="21" t="s">
        <v>694</v>
      </c>
    </row>
    <row r="306" spans="1:10" ht="19.5" customHeight="1" x14ac:dyDescent="0.35">
      <c r="A306" s="21" t="s">
        <v>649</v>
      </c>
      <c r="B306" s="21" t="s">
        <v>650</v>
      </c>
      <c r="C306" s="21" t="s">
        <v>651</v>
      </c>
      <c r="D306" s="22">
        <v>1</v>
      </c>
      <c r="E306" s="21" t="s">
        <v>695</v>
      </c>
      <c r="F306" s="21" t="s">
        <v>653</v>
      </c>
      <c r="G306" s="21" t="s">
        <v>654</v>
      </c>
      <c r="H306" s="21" t="s">
        <v>655</v>
      </c>
      <c r="I306" s="21" t="s">
        <v>656</v>
      </c>
      <c r="J306" s="21" t="s">
        <v>696</v>
      </c>
    </row>
    <row r="307" spans="1:10" ht="19.5" customHeight="1" x14ac:dyDescent="0.35">
      <c r="A307" s="21" t="s">
        <v>649</v>
      </c>
      <c r="B307" s="21" t="s">
        <v>650</v>
      </c>
      <c r="C307" s="21" t="s">
        <v>651</v>
      </c>
      <c r="D307" s="22">
        <v>1</v>
      </c>
      <c r="E307" s="21" t="s">
        <v>697</v>
      </c>
      <c r="F307" s="21" t="s">
        <v>653</v>
      </c>
      <c r="G307" s="21" t="s">
        <v>654</v>
      </c>
      <c r="H307" s="21" t="s">
        <v>655</v>
      </c>
      <c r="I307" s="21" t="s">
        <v>656</v>
      </c>
      <c r="J307" s="21" t="s">
        <v>698</v>
      </c>
    </row>
    <row r="308" spans="1:10" ht="19.5" customHeight="1" x14ac:dyDescent="0.35">
      <c r="A308" s="21" t="s">
        <v>649</v>
      </c>
      <c r="B308" s="21" t="s">
        <v>650</v>
      </c>
      <c r="C308" s="21" t="s">
        <v>651</v>
      </c>
      <c r="D308" s="22">
        <v>1</v>
      </c>
      <c r="E308" s="21" t="s">
        <v>699</v>
      </c>
      <c r="F308" s="21" t="s">
        <v>653</v>
      </c>
      <c r="G308" s="21" t="s">
        <v>654</v>
      </c>
      <c r="H308" s="21" t="s">
        <v>655</v>
      </c>
      <c r="I308" s="21" t="s">
        <v>656</v>
      </c>
      <c r="J308" s="21" t="s">
        <v>700</v>
      </c>
    </row>
    <row r="309" spans="1:10" ht="19.5" customHeight="1" x14ac:dyDescent="0.35">
      <c r="A309" s="21" t="s">
        <v>649</v>
      </c>
      <c r="B309" s="21" t="s">
        <v>650</v>
      </c>
      <c r="C309" s="21" t="s">
        <v>651</v>
      </c>
      <c r="D309" s="22">
        <v>1</v>
      </c>
      <c r="E309" s="21" t="s">
        <v>701</v>
      </c>
      <c r="F309" s="21" t="s">
        <v>653</v>
      </c>
      <c r="G309" s="21" t="s">
        <v>654</v>
      </c>
      <c r="H309" s="21" t="s">
        <v>655</v>
      </c>
      <c r="I309" s="21" t="s">
        <v>656</v>
      </c>
      <c r="J309" s="21" t="s">
        <v>702</v>
      </c>
    </row>
    <row r="310" spans="1:10" ht="19.5" customHeight="1" x14ac:dyDescent="0.35">
      <c r="A310" s="21" t="s">
        <v>649</v>
      </c>
      <c r="B310" s="21" t="s">
        <v>650</v>
      </c>
      <c r="C310" s="21" t="s">
        <v>651</v>
      </c>
      <c r="D310" s="22">
        <v>1</v>
      </c>
      <c r="E310" s="21" t="s">
        <v>703</v>
      </c>
      <c r="F310" s="21" t="s">
        <v>653</v>
      </c>
      <c r="G310" s="21" t="s">
        <v>654</v>
      </c>
      <c r="H310" s="21" t="s">
        <v>655</v>
      </c>
      <c r="I310" s="21" t="s">
        <v>656</v>
      </c>
      <c r="J310" s="21" t="s">
        <v>704</v>
      </c>
    </row>
    <row r="311" spans="1:10" ht="19.5" customHeight="1" x14ac:dyDescent="0.35">
      <c r="A311" s="21" t="s">
        <v>649</v>
      </c>
      <c r="B311" s="21" t="s">
        <v>650</v>
      </c>
      <c r="C311" s="21" t="s">
        <v>651</v>
      </c>
      <c r="D311" s="22">
        <v>1</v>
      </c>
      <c r="E311" s="21" t="s">
        <v>705</v>
      </c>
      <c r="F311" s="21" t="s">
        <v>653</v>
      </c>
      <c r="G311" s="21" t="s">
        <v>654</v>
      </c>
      <c r="H311" s="21" t="s">
        <v>655</v>
      </c>
      <c r="I311" s="21" t="s">
        <v>656</v>
      </c>
      <c r="J311" s="21" t="s">
        <v>706</v>
      </c>
    </row>
    <row r="312" spans="1:10" ht="19.5" customHeight="1" x14ac:dyDescent="0.35">
      <c r="A312" s="21" t="s">
        <v>649</v>
      </c>
      <c r="B312" s="21" t="s">
        <v>650</v>
      </c>
      <c r="C312" s="21" t="s">
        <v>651</v>
      </c>
      <c r="D312" s="22">
        <v>1</v>
      </c>
      <c r="E312" s="21" t="s">
        <v>707</v>
      </c>
      <c r="F312" s="21" t="s">
        <v>653</v>
      </c>
      <c r="G312" s="21" t="s">
        <v>654</v>
      </c>
      <c r="H312" s="21" t="s">
        <v>655</v>
      </c>
      <c r="I312" s="21" t="s">
        <v>656</v>
      </c>
      <c r="J312" s="21" t="s">
        <v>708</v>
      </c>
    </row>
    <row r="313" spans="1:10" ht="19.5" customHeight="1" x14ac:dyDescent="0.35">
      <c r="A313" s="21" t="s">
        <v>649</v>
      </c>
      <c r="B313" s="21" t="s">
        <v>650</v>
      </c>
      <c r="C313" s="21" t="s">
        <v>651</v>
      </c>
      <c r="D313" s="22">
        <v>1</v>
      </c>
      <c r="E313" s="21" t="s">
        <v>709</v>
      </c>
      <c r="F313" s="21" t="s">
        <v>653</v>
      </c>
      <c r="G313" s="21" t="s">
        <v>654</v>
      </c>
      <c r="H313" s="21" t="s">
        <v>655</v>
      </c>
      <c r="I313" s="21" t="s">
        <v>656</v>
      </c>
      <c r="J313" s="21" t="s">
        <v>710</v>
      </c>
    </row>
    <row r="314" spans="1:10" ht="19.5" customHeight="1" x14ac:dyDescent="0.35">
      <c r="A314" s="21" t="s">
        <v>649</v>
      </c>
      <c r="B314" s="21" t="s">
        <v>650</v>
      </c>
      <c r="C314" s="21" t="s">
        <v>651</v>
      </c>
      <c r="D314" s="22">
        <v>1</v>
      </c>
      <c r="E314" s="21" t="s">
        <v>711</v>
      </c>
      <c r="F314" s="21" t="s">
        <v>653</v>
      </c>
      <c r="G314" s="21" t="s">
        <v>654</v>
      </c>
      <c r="H314" s="21" t="s">
        <v>655</v>
      </c>
      <c r="I314" s="21" t="s">
        <v>656</v>
      </c>
      <c r="J314" s="21" t="s">
        <v>706</v>
      </c>
    </row>
    <row r="315" spans="1:10" ht="19.5" customHeight="1" x14ac:dyDescent="0.35">
      <c r="A315" s="21" t="s">
        <v>649</v>
      </c>
      <c r="B315" s="21" t="s">
        <v>650</v>
      </c>
      <c r="C315" s="21" t="s">
        <v>651</v>
      </c>
      <c r="D315" s="22">
        <v>1</v>
      </c>
      <c r="E315" s="21" t="s">
        <v>712</v>
      </c>
      <c r="F315" s="21" t="s">
        <v>653</v>
      </c>
      <c r="G315" s="21" t="s">
        <v>654</v>
      </c>
      <c r="H315" s="21" t="s">
        <v>655</v>
      </c>
      <c r="I315" s="21" t="s">
        <v>656</v>
      </c>
      <c r="J315" s="21" t="s">
        <v>713</v>
      </c>
    </row>
    <row r="316" spans="1:10" ht="19.5" customHeight="1" x14ac:dyDescent="0.35">
      <c r="A316" s="21" t="s">
        <v>649</v>
      </c>
      <c r="B316" s="21" t="s">
        <v>650</v>
      </c>
      <c r="C316" s="21" t="s">
        <v>651</v>
      </c>
      <c r="D316" s="22">
        <v>1</v>
      </c>
      <c r="E316" s="21" t="s">
        <v>714</v>
      </c>
      <c r="F316" s="21" t="s">
        <v>653</v>
      </c>
      <c r="G316" s="21" t="s">
        <v>654</v>
      </c>
      <c r="H316" s="21" t="s">
        <v>655</v>
      </c>
      <c r="I316" s="21" t="s">
        <v>656</v>
      </c>
      <c r="J316" s="21" t="s">
        <v>706</v>
      </c>
    </row>
    <row r="317" spans="1:10" ht="19.5" customHeight="1" x14ac:dyDescent="0.35">
      <c r="A317" s="21" t="s">
        <v>649</v>
      </c>
      <c r="B317" s="21" t="s">
        <v>660</v>
      </c>
      <c r="C317" s="21" t="s">
        <v>651</v>
      </c>
      <c r="D317" s="22">
        <v>1</v>
      </c>
      <c r="E317" s="21" t="s">
        <v>715</v>
      </c>
      <c r="F317" s="21" t="s">
        <v>653</v>
      </c>
      <c r="G317" s="21" t="s">
        <v>654</v>
      </c>
      <c r="H317" s="21" t="s">
        <v>655</v>
      </c>
      <c r="I317" s="21" t="s">
        <v>656</v>
      </c>
      <c r="J317" s="21" t="s">
        <v>716</v>
      </c>
    </row>
    <row r="318" spans="1:10" ht="19.5" customHeight="1" x14ac:dyDescent="0.35">
      <c r="A318" s="21" t="s">
        <v>649</v>
      </c>
      <c r="B318" s="21" t="s">
        <v>717</v>
      </c>
      <c r="C318" s="21" t="s">
        <v>651</v>
      </c>
      <c r="D318" s="22">
        <v>1</v>
      </c>
      <c r="E318" s="21" t="s">
        <v>718</v>
      </c>
      <c r="F318" s="21" t="s">
        <v>653</v>
      </c>
      <c r="G318" s="21" t="s">
        <v>654</v>
      </c>
      <c r="H318" s="21" t="s">
        <v>655</v>
      </c>
      <c r="I318" s="21" t="s">
        <v>656</v>
      </c>
      <c r="J318" s="21" t="s">
        <v>719</v>
      </c>
    </row>
    <row r="319" spans="1:10" ht="19.5" customHeight="1" x14ac:dyDescent="0.35">
      <c r="A319" s="21" t="s">
        <v>649</v>
      </c>
      <c r="B319" s="21" t="s">
        <v>717</v>
      </c>
      <c r="C319" s="21" t="s">
        <v>651</v>
      </c>
      <c r="D319" s="22">
        <v>1</v>
      </c>
      <c r="E319" s="21" t="s">
        <v>720</v>
      </c>
      <c r="F319" s="21" t="s">
        <v>653</v>
      </c>
      <c r="G319" s="21" t="s">
        <v>654</v>
      </c>
      <c r="H319" s="21" t="s">
        <v>655</v>
      </c>
      <c r="I319" s="21" t="s">
        <v>656</v>
      </c>
      <c r="J319" s="21" t="s">
        <v>719</v>
      </c>
    </row>
    <row r="320" spans="1:10" ht="19.5" customHeight="1" x14ac:dyDescent="0.35">
      <c r="A320" s="21" t="s">
        <v>649</v>
      </c>
      <c r="B320" s="21" t="s">
        <v>717</v>
      </c>
      <c r="C320" s="21" t="s">
        <v>651</v>
      </c>
      <c r="D320" s="22">
        <v>1</v>
      </c>
      <c r="E320" s="21" t="s">
        <v>721</v>
      </c>
      <c r="F320" s="21" t="s">
        <v>653</v>
      </c>
      <c r="G320" s="21" t="s">
        <v>654</v>
      </c>
      <c r="H320" s="21" t="s">
        <v>655</v>
      </c>
      <c r="I320" s="21" t="s">
        <v>656</v>
      </c>
      <c r="J320" s="21" t="s">
        <v>722</v>
      </c>
    </row>
    <row r="321" spans="1:10" ht="19.5" customHeight="1" x14ac:dyDescent="0.35">
      <c r="A321" s="21" t="s">
        <v>649</v>
      </c>
      <c r="B321" s="21" t="s">
        <v>717</v>
      </c>
      <c r="C321" s="21" t="s">
        <v>651</v>
      </c>
      <c r="D321" s="22">
        <v>1</v>
      </c>
      <c r="E321" s="21" t="s">
        <v>723</v>
      </c>
      <c r="F321" s="21" t="s">
        <v>653</v>
      </c>
      <c r="G321" s="21" t="s">
        <v>654</v>
      </c>
      <c r="H321" s="21" t="s">
        <v>655</v>
      </c>
      <c r="I321" s="21" t="s">
        <v>656</v>
      </c>
      <c r="J321" s="21" t="s">
        <v>724</v>
      </c>
    </row>
    <row r="322" spans="1:10" ht="19.5" customHeight="1" x14ac:dyDescent="0.35">
      <c r="A322" s="21" t="s">
        <v>649</v>
      </c>
      <c r="B322" s="21" t="s">
        <v>725</v>
      </c>
      <c r="C322" s="21" t="s">
        <v>651</v>
      </c>
      <c r="D322" s="22">
        <v>1</v>
      </c>
      <c r="E322" s="21" t="s">
        <v>726</v>
      </c>
      <c r="F322" s="21" t="s">
        <v>653</v>
      </c>
      <c r="G322" s="21" t="s">
        <v>654</v>
      </c>
      <c r="H322" s="21" t="s">
        <v>655</v>
      </c>
      <c r="I322" s="21" t="s">
        <v>656</v>
      </c>
      <c r="J322" s="21" t="s">
        <v>727</v>
      </c>
    </row>
    <row r="323" spans="1:10" ht="19.5" customHeight="1" x14ac:dyDescent="0.35">
      <c r="A323" s="21" t="s">
        <v>649</v>
      </c>
      <c r="B323" s="21" t="s">
        <v>717</v>
      </c>
      <c r="C323" s="21" t="s">
        <v>651</v>
      </c>
      <c r="D323" s="22">
        <v>1</v>
      </c>
      <c r="E323" s="21" t="s">
        <v>728</v>
      </c>
      <c r="F323" s="21" t="s">
        <v>653</v>
      </c>
      <c r="G323" s="21" t="s">
        <v>654</v>
      </c>
      <c r="H323" s="21" t="s">
        <v>655</v>
      </c>
      <c r="I323" s="21" t="s">
        <v>656</v>
      </c>
      <c r="J323" s="21" t="s">
        <v>729</v>
      </c>
    </row>
    <row r="324" spans="1:10" ht="19.5" customHeight="1" x14ac:dyDescent="0.35">
      <c r="A324" s="21" t="s">
        <v>649</v>
      </c>
      <c r="B324" s="21" t="s">
        <v>730</v>
      </c>
      <c r="C324" s="21" t="s">
        <v>651</v>
      </c>
      <c r="D324" s="22">
        <v>1</v>
      </c>
      <c r="E324" s="21" t="s">
        <v>731</v>
      </c>
      <c r="F324" s="21" t="s">
        <v>653</v>
      </c>
      <c r="G324" s="21" t="s">
        <v>654</v>
      </c>
      <c r="H324" s="21" t="s">
        <v>655</v>
      </c>
      <c r="I324" s="21" t="s">
        <v>656</v>
      </c>
      <c r="J324" s="21" t="s">
        <v>732</v>
      </c>
    </row>
    <row r="325" spans="1:10" ht="19.5" customHeight="1" x14ac:dyDescent="0.35">
      <c r="A325" s="21" t="s">
        <v>649</v>
      </c>
      <c r="B325" s="21" t="s">
        <v>730</v>
      </c>
      <c r="C325" s="21" t="s">
        <v>651</v>
      </c>
      <c r="D325" s="22">
        <v>1</v>
      </c>
      <c r="E325" s="21" t="s">
        <v>733</v>
      </c>
      <c r="F325" s="21" t="s">
        <v>653</v>
      </c>
      <c r="G325" s="21" t="s">
        <v>654</v>
      </c>
      <c r="H325" s="21" t="s">
        <v>655</v>
      </c>
      <c r="I325" s="21" t="s">
        <v>656</v>
      </c>
      <c r="J325" s="21" t="s">
        <v>734</v>
      </c>
    </row>
    <row r="326" spans="1:10" ht="19.5" customHeight="1" x14ac:dyDescent="0.35">
      <c r="A326" s="21" t="s">
        <v>649</v>
      </c>
      <c r="B326" s="21" t="s">
        <v>730</v>
      </c>
      <c r="C326" s="21" t="s">
        <v>651</v>
      </c>
      <c r="D326" s="22">
        <v>1</v>
      </c>
      <c r="E326" s="21" t="s">
        <v>735</v>
      </c>
      <c r="F326" s="21" t="s">
        <v>653</v>
      </c>
      <c r="G326" s="21" t="s">
        <v>654</v>
      </c>
      <c r="H326" s="21" t="s">
        <v>655</v>
      </c>
      <c r="I326" s="21" t="s">
        <v>656</v>
      </c>
      <c r="J326" s="21" t="s">
        <v>736</v>
      </c>
    </row>
    <row r="327" spans="1:10" ht="19.5" customHeight="1" x14ac:dyDescent="0.35">
      <c r="A327" s="21" t="s">
        <v>649</v>
      </c>
      <c r="B327" s="21" t="s">
        <v>737</v>
      </c>
      <c r="C327" s="21" t="s">
        <v>651</v>
      </c>
      <c r="D327" s="22">
        <v>1</v>
      </c>
      <c r="E327" s="21" t="s">
        <v>738</v>
      </c>
      <c r="F327" s="21" t="s">
        <v>653</v>
      </c>
      <c r="G327" s="21" t="s">
        <v>654</v>
      </c>
      <c r="H327" s="21" t="s">
        <v>655</v>
      </c>
      <c r="I327" s="21" t="s">
        <v>656</v>
      </c>
      <c r="J327" s="21" t="s">
        <v>739</v>
      </c>
    </row>
    <row r="328" spans="1:10" ht="19.5" customHeight="1" x14ac:dyDescent="0.35">
      <c r="A328" s="21" t="s">
        <v>649</v>
      </c>
      <c r="B328" s="21" t="s">
        <v>730</v>
      </c>
      <c r="C328" s="21" t="s">
        <v>651</v>
      </c>
      <c r="D328" s="22">
        <v>1</v>
      </c>
      <c r="E328" s="21" t="s">
        <v>740</v>
      </c>
      <c r="F328" s="21" t="s">
        <v>653</v>
      </c>
      <c r="G328" s="21" t="s">
        <v>654</v>
      </c>
      <c r="H328" s="21" t="s">
        <v>655</v>
      </c>
      <c r="I328" s="21" t="s">
        <v>656</v>
      </c>
      <c r="J328" s="21" t="s">
        <v>741</v>
      </c>
    </row>
    <row r="329" spans="1:10" ht="19.5" customHeight="1" x14ac:dyDescent="0.35">
      <c r="A329" s="21" t="s">
        <v>649</v>
      </c>
      <c r="B329" s="21" t="s">
        <v>730</v>
      </c>
      <c r="C329" s="21" t="s">
        <v>651</v>
      </c>
      <c r="D329" s="22">
        <v>1</v>
      </c>
      <c r="E329" s="21" t="s">
        <v>742</v>
      </c>
      <c r="F329" s="21" t="s">
        <v>653</v>
      </c>
      <c r="G329" s="21" t="s">
        <v>654</v>
      </c>
      <c r="H329" s="21" t="s">
        <v>655</v>
      </c>
      <c r="I329" s="21" t="s">
        <v>656</v>
      </c>
      <c r="J329" s="21" t="s">
        <v>743</v>
      </c>
    </row>
    <row r="330" spans="1:10" ht="19.5" customHeight="1" x14ac:dyDescent="0.35">
      <c r="A330" s="21" t="s">
        <v>649</v>
      </c>
      <c r="B330" s="21" t="s">
        <v>730</v>
      </c>
      <c r="C330" s="21" t="s">
        <v>651</v>
      </c>
      <c r="D330" s="22">
        <v>1</v>
      </c>
      <c r="E330" s="21" t="s">
        <v>744</v>
      </c>
      <c r="F330" s="21" t="s">
        <v>653</v>
      </c>
      <c r="G330" s="21" t="s">
        <v>654</v>
      </c>
      <c r="H330" s="21" t="s">
        <v>655</v>
      </c>
      <c r="I330" s="21" t="s">
        <v>656</v>
      </c>
      <c r="J330" s="21" t="s">
        <v>745</v>
      </c>
    </row>
    <row r="331" spans="1:10" ht="19.5" customHeight="1" x14ac:dyDescent="0.35">
      <c r="A331" s="21" t="s">
        <v>649</v>
      </c>
      <c r="B331" s="21" t="s">
        <v>746</v>
      </c>
      <c r="C331" s="21" t="s">
        <v>651</v>
      </c>
      <c r="D331" s="22">
        <v>1</v>
      </c>
      <c r="E331" s="21" t="s">
        <v>747</v>
      </c>
      <c r="F331" s="21" t="s">
        <v>653</v>
      </c>
      <c r="G331" s="21" t="s">
        <v>654</v>
      </c>
      <c r="H331" s="21" t="s">
        <v>655</v>
      </c>
      <c r="I331" s="21" t="s">
        <v>656</v>
      </c>
      <c r="J331" s="21" t="s">
        <v>748</v>
      </c>
    </row>
    <row r="332" spans="1:10" ht="19.5" customHeight="1" x14ac:dyDescent="0.35">
      <c r="A332" s="21" t="s">
        <v>649</v>
      </c>
      <c r="B332" s="21" t="s">
        <v>746</v>
      </c>
      <c r="C332" s="21" t="s">
        <v>651</v>
      </c>
      <c r="D332" s="22">
        <v>1</v>
      </c>
      <c r="E332" s="21" t="s">
        <v>749</v>
      </c>
      <c r="F332" s="21" t="s">
        <v>653</v>
      </c>
      <c r="G332" s="21" t="s">
        <v>654</v>
      </c>
      <c r="H332" s="21" t="s">
        <v>655</v>
      </c>
      <c r="I332" s="21" t="s">
        <v>656</v>
      </c>
      <c r="J332" s="21" t="s">
        <v>750</v>
      </c>
    </row>
    <row r="333" spans="1:10" ht="19.5" customHeight="1" x14ac:dyDescent="0.35">
      <c r="A333" s="21" t="s">
        <v>649</v>
      </c>
      <c r="B333" s="21" t="s">
        <v>751</v>
      </c>
      <c r="C333" s="21" t="s">
        <v>651</v>
      </c>
      <c r="D333" s="22">
        <v>1</v>
      </c>
      <c r="E333" s="21" t="s">
        <v>752</v>
      </c>
      <c r="F333" s="21" t="s">
        <v>653</v>
      </c>
      <c r="G333" s="21" t="s">
        <v>654</v>
      </c>
      <c r="H333" s="21" t="s">
        <v>655</v>
      </c>
      <c r="I333" s="21" t="s">
        <v>656</v>
      </c>
      <c r="J333" s="21" t="s">
        <v>753</v>
      </c>
    </row>
    <row r="334" spans="1:10" ht="19.5" customHeight="1" x14ac:dyDescent="0.35">
      <c r="A334" s="21" t="s">
        <v>649</v>
      </c>
      <c r="B334" s="21" t="s">
        <v>746</v>
      </c>
      <c r="C334" s="21" t="s">
        <v>651</v>
      </c>
      <c r="D334" s="22">
        <v>1</v>
      </c>
      <c r="E334" s="21" t="s">
        <v>754</v>
      </c>
      <c r="F334" s="21" t="s">
        <v>653</v>
      </c>
      <c r="G334" s="21" t="s">
        <v>654</v>
      </c>
      <c r="H334" s="21" t="s">
        <v>655</v>
      </c>
      <c r="I334" s="21" t="s">
        <v>656</v>
      </c>
      <c r="J334" s="21" t="s">
        <v>755</v>
      </c>
    </row>
    <row r="335" spans="1:10" ht="19.5" customHeight="1" x14ac:dyDescent="0.35">
      <c r="A335" s="21" t="s">
        <v>649</v>
      </c>
      <c r="B335" s="21" t="s">
        <v>751</v>
      </c>
      <c r="C335" s="21" t="s">
        <v>651</v>
      </c>
      <c r="D335" s="22">
        <v>1</v>
      </c>
      <c r="E335" s="21" t="s">
        <v>756</v>
      </c>
      <c r="F335" s="21" t="s">
        <v>653</v>
      </c>
      <c r="G335" s="21" t="s">
        <v>654</v>
      </c>
      <c r="H335" s="21" t="s">
        <v>655</v>
      </c>
      <c r="I335" s="21" t="s">
        <v>656</v>
      </c>
      <c r="J335" s="21" t="s">
        <v>757</v>
      </c>
    </row>
    <row r="336" spans="1:10" ht="19.5" customHeight="1" x14ac:dyDescent="0.35">
      <c r="A336" s="21" t="s">
        <v>649</v>
      </c>
      <c r="B336" s="21" t="s">
        <v>746</v>
      </c>
      <c r="C336" s="21" t="s">
        <v>651</v>
      </c>
      <c r="D336" s="22">
        <v>1</v>
      </c>
      <c r="E336" s="21" t="s">
        <v>758</v>
      </c>
      <c r="F336" s="21" t="s">
        <v>653</v>
      </c>
      <c r="G336" s="21" t="s">
        <v>654</v>
      </c>
      <c r="H336" s="21" t="s">
        <v>655</v>
      </c>
      <c r="I336" s="21" t="s">
        <v>656</v>
      </c>
      <c r="J336" s="21" t="s">
        <v>759</v>
      </c>
    </row>
    <row r="337" spans="1:10" ht="19.5" customHeight="1" x14ac:dyDescent="0.35">
      <c r="A337" s="21" t="s">
        <v>649</v>
      </c>
      <c r="B337" s="21" t="s">
        <v>663</v>
      </c>
      <c r="C337" s="21" t="s">
        <v>651</v>
      </c>
      <c r="D337" s="22">
        <v>1</v>
      </c>
      <c r="E337" s="21" t="s">
        <v>760</v>
      </c>
      <c r="F337" s="21" t="s">
        <v>653</v>
      </c>
      <c r="G337" s="21" t="s">
        <v>654</v>
      </c>
      <c r="H337" s="21" t="s">
        <v>655</v>
      </c>
      <c r="I337" s="21" t="s">
        <v>656</v>
      </c>
      <c r="J337" s="21" t="s">
        <v>761</v>
      </c>
    </row>
    <row r="338" spans="1:10" ht="19.5" customHeight="1" x14ac:dyDescent="0.35">
      <c r="A338" s="21" t="s">
        <v>649</v>
      </c>
      <c r="B338" s="21" t="s">
        <v>725</v>
      </c>
      <c r="C338" s="21" t="s">
        <v>651</v>
      </c>
      <c r="D338" s="22">
        <v>1</v>
      </c>
      <c r="E338" s="21" t="s">
        <v>762</v>
      </c>
      <c r="F338" s="21" t="s">
        <v>653</v>
      </c>
      <c r="G338" s="21" t="s">
        <v>654</v>
      </c>
      <c r="H338" s="21" t="s">
        <v>655</v>
      </c>
      <c r="I338" s="21" t="s">
        <v>656</v>
      </c>
      <c r="J338" s="21" t="s">
        <v>763</v>
      </c>
    </row>
    <row r="339" spans="1:10" ht="19.5" customHeight="1" x14ac:dyDescent="0.35">
      <c r="A339" s="21" t="s">
        <v>649</v>
      </c>
      <c r="B339" s="21" t="s">
        <v>725</v>
      </c>
      <c r="C339" s="21" t="s">
        <v>651</v>
      </c>
      <c r="D339" s="22">
        <v>1</v>
      </c>
      <c r="E339" s="21" t="s">
        <v>764</v>
      </c>
      <c r="F339" s="21" t="s">
        <v>653</v>
      </c>
      <c r="G339" s="21" t="s">
        <v>654</v>
      </c>
      <c r="H339" s="21" t="s">
        <v>655</v>
      </c>
      <c r="I339" s="21" t="s">
        <v>656</v>
      </c>
      <c r="J339" s="21" t="s">
        <v>765</v>
      </c>
    </row>
    <row r="340" spans="1:10" ht="19.5" customHeight="1" x14ac:dyDescent="0.35">
      <c r="A340" s="21" t="s">
        <v>649</v>
      </c>
      <c r="B340" s="21" t="s">
        <v>766</v>
      </c>
      <c r="C340" s="21" t="s">
        <v>651</v>
      </c>
      <c r="D340" s="22">
        <v>1</v>
      </c>
      <c r="E340" s="21" t="s">
        <v>767</v>
      </c>
      <c r="F340" s="21" t="s">
        <v>653</v>
      </c>
      <c r="G340" s="21" t="s">
        <v>654</v>
      </c>
      <c r="H340" s="21" t="s">
        <v>655</v>
      </c>
      <c r="I340" s="21" t="s">
        <v>656</v>
      </c>
      <c r="J340" s="21" t="s">
        <v>768</v>
      </c>
    </row>
    <row r="341" spans="1:10" ht="19.5" customHeight="1" x14ac:dyDescent="0.35">
      <c r="A341" s="21" t="s">
        <v>649</v>
      </c>
      <c r="B341" s="21" t="s">
        <v>766</v>
      </c>
      <c r="C341" s="21" t="s">
        <v>651</v>
      </c>
      <c r="D341" s="22">
        <v>1</v>
      </c>
      <c r="E341" s="21" t="s">
        <v>769</v>
      </c>
      <c r="F341" s="21" t="s">
        <v>653</v>
      </c>
      <c r="G341" s="21" t="s">
        <v>654</v>
      </c>
      <c r="H341" s="21" t="s">
        <v>655</v>
      </c>
      <c r="I341" s="21" t="s">
        <v>656</v>
      </c>
      <c r="J341" s="21" t="s">
        <v>770</v>
      </c>
    </row>
    <row r="342" spans="1:10" ht="19.5" customHeight="1" x14ac:dyDescent="0.35">
      <c r="A342" s="21" t="s">
        <v>649</v>
      </c>
      <c r="B342" s="21" t="s">
        <v>771</v>
      </c>
      <c r="C342" s="21" t="s">
        <v>651</v>
      </c>
      <c r="D342" s="22">
        <v>1</v>
      </c>
      <c r="E342" s="21" t="s">
        <v>772</v>
      </c>
      <c r="F342" s="21" t="s">
        <v>653</v>
      </c>
      <c r="G342" s="21" t="s">
        <v>654</v>
      </c>
      <c r="H342" s="21" t="s">
        <v>655</v>
      </c>
      <c r="I342" s="21" t="s">
        <v>656</v>
      </c>
      <c r="J342" s="21" t="s">
        <v>684</v>
      </c>
    </row>
    <row r="343" spans="1:10" ht="19.5" customHeight="1" x14ac:dyDescent="0.35">
      <c r="A343" s="21" t="s">
        <v>649</v>
      </c>
      <c r="B343" s="21" t="s">
        <v>717</v>
      </c>
      <c r="C343" s="21" t="s">
        <v>651</v>
      </c>
      <c r="D343" s="22">
        <v>1</v>
      </c>
      <c r="E343" s="21" t="s">
        <v>773</v>
      </c>
      <c r="F343" s="21" t="s">
        <v>653</v>
      </c>
      <c r="G343" s="21" t="s">
        <v>654</v>
      </c>
      <c r="H343" s="21" t="s">
        <v>655</v>
      </c>
      <c r="I343" s="21" t="s">
        <v>656</v>
      </c>
      <c r="J343" s="21" t="s">
        <v>684</v>
      </c>
    </row>
    <row r="344" spans="1:10" ht="19.5" customHeight="1" x14ac:dyDescent="0.35">
      <c r="A344" s="21" t="s">
        <v>649</v>
      </c>
      <c r="B344" s="21" t="s">
        <v>717</v>
      </c>
      <c r="C344" s="21" t="s">
        <v>651</v>
      </c>
      <c r="D344" s="22">
        <v>1</v>
      </c>
      <c r="E344" s="21" t="s">
        <v>774</v>
      </c>
      <c r="F344" s="21" t="s">
        <v>653</v>
      </c>
      <c r="G344" s="21" t="s">
        <v>654</v>
      </c>
      <c r="H344" s="21" t="s">
        <v>655</v>
      </c>
      <c r="I344" s="21" t="s">
        <v>656</v>
      </c>
      <c r="J344" s="21" t="s">
        <v>686</v>
      </c>
    </row>
    <row r="345" spans="1:10" ht="19.5" customHeight="1" x14ac:dyDescent="0.35">
      <c r="A345" s="21" t="s">
        <v>649</v>
      </c>
      <c r="B345" s="21" t="s">
        <v>717</v>
      </c>
      <c r="C345" s="21" t="s">
        <v>651</v>
      </c>
      <c r="D345" s="22">
        <v>1</v>
      </c>
      <c r="E345" s="21" t="s">
        <v>775</v>
      </c>
      <c r="F345" s="21" t="s">
        <v>653</v>
      </c>
      <c r="G345" s="21" t="s">
        <v>654</v>
      </c>
      <c r="H345" s="21" t="s">
        <v>655</v>
      </c>
      <c r="I345" s="21" t="s">
        <v>656</v>
      </c>
      <c r="J345" s="21" t="s">
        <v>776</v>
      </c>
    </row>
    <row r="346" spans="1:10" ht="19.5" customHeight="1" x14ac:dyDescent="0.35">
      <c r="A346" s="21" t="s">
        <v>649</v>
      </c>
      <c r="B346" s="21" t="s">
        <v>717</v>
      </c>
      <c r="C346" s="21" t="s">
        <v>651</v>
      </c>
      <c r="D346" s="22">
        <v>1</v>
      </c>
      <c r="E346" s="21" t="s">
        <v>777</v>
      </c>
      <c r="F346" s="21" t="s">
        <v>653</v>
      </c>
      <c r="G346" s="21" t="s">
        <v>654</v>
      </c>
      <c r="H346" s="21" t="s">
        <v>655</v>
      </c>
      <c r="I346" s="21" t="s">
        <v>656</v>
      </c>
      <c r="J346" s="21" t="s">
        <v>667</v>
      </c>
    </row>
    <row r="347" spans="1:10" ht="19.5" customHeight="1" x14ac:dyDescent="0.35">
      <c r="A347" s="21" t="s">
        <v>649</v>
      </c>
      <c r="B347" s="21" t="s">
        <v>778</v>
      </c>
      <c r="C347" s="21" t="s">
        <v>651</v>
      </c>
      <c r="D347" s="22">
        <v>1</v>
      </c>
      <c r="E347" s="21" t="s">
        <v>779</v>
      </c>
      <c r="F347" s="21" t="s">
        <v>653</v>
      </c>
      <c r="G347" s="21" t="s">
        <v>654</v>
      </c>
      <c r="H347" s="21" t="s">
        <v>655</v>
      </c>
      <c r="I347" s="21" t="s">
        <v>656</v>
      </c>
      <c r="J347" s="21" t="s">
        <v>780</v>
      </c>
    </row>
    <row r="348" spans="1:10" ht="19.5" customHeight="1" x14ac:dyDescent="0.35">
      <c r="A348" s="21" t="s">
        <v>649</v>
      </c>
      <c r="B348" s="21" t="s">
        <v>778</v>
      </c>
      <c r="C348" s="21" t="s">
        <v>651</v>
      </c>
      <c r="D348" s="22">
        <v>1</v>
      </c>
      <c r="E348" s="21" t="s">
        <v>781</v>
      </c>
      <c r="F348" s="21" t="s">
        <v>653</v>
      </c>
      <c r="G348" s="21" t="s">
        <v>654</v>
      </c>
      <c r="H348" s="21" t="s">
        <v>655</v>
      </c>
      <c r="I348" s="21" t="s">
        <v>656</v>
      </c>
      <c r="J348" s="21" t="s">
        <v>782</v>
      </c>
    </row>
    <row r="349" spans="1:10" ht="19.5" customHeight="1" x14ac:dyDescent="0.35">
      <c r="A349" s="21" t="s">
        <v>649</v>
      </c>
      <c r="B349" s="21" t="s">
        <v>783</v>
      </c>
      <c r="C349" s="21" t="s">
        <v>651</v>
      </c>
      <c r="D349" s="22">
        <v>1</v>
      </c>
      <c r="E349" s="21" t="s">
        <v>784</v>
      </c>
      <c r="F349" s="21" t="s">
        <v>653</v>
      </c>
      <c r="G349" s="21" t="s">
        <v>654</v>
      </c>
      <c r="H349" s="21" t="s">
        <v>655</v>
      </c>
      <c r="I349" s="21" t="s">
        <v>656</v>
      </c>
      <c r="J349" s="21" t="s">
        <v>750</v>
      </c>
    </row>
    <row r="350" spans="1:10" ht="19.5" customHeight="1" x14ac:dyDescent="0.35">
      <c r="A350" s="21" t="s">
        <v>649</v>
      </c>
      <c r="B350" s="21" t="s">
        <v>783</v>
      </c>
      <c r="C350" s="21" t="s">
        <v>651</v>
      </c>
      <c r="D350" s="22">
        <v>1</v>
      </c>
      <c r="E350" s="21" t="s">
        <v>785</v>
      </c>
      <c r="F350" s="21" t="s">
        <v>653</v>
      </c>
      <c r="G350" s="21" t="s">
        <v>654</v>
      </c>
      <c r="H350" s="21" t="s">
        <v>655</v>
      </c>
      <c r="I350" s="21" t="s">
        <v>656</v>
      </c>
      <c r="J350" s="21" t="s">
        <v>786</v>
      </c>
    </row>
    <row r="351" spans="1:10" ht="19.5" customHeight="1" x14ac:dyDescent="0.35">
      <c r="A351" s="21" t="s">
        <v>649</v>
      </c>
      <c r="B351" s="21" t="s">
        <v>783</v>
      </c>
      <c r="C351" s="21" t="s">
        <v>651</v>
      </c>
      <c r="D351" s="22">
        <v>1</v>
      </c>
      <c r="E351" s="21" t="s">
        <v>787</v>
      </c>
      <c r="F351" s="21" t="s">
        <v>653</v>
      </c>
      <c r="G351" s="21" t="s">
        <v>654</v>
      </c>
      <c r="H351" s="21" t="s">
        <v>655</v>
      </c>
      <c r="I351" s="21" t="s">
        <v>656</v>
      </c>
      <c r="J351" s="21" t="s">
        <v>788</v>
      </c>
    </row>
    <row r="352" spans="1:10" ht="19.5" customHeight="1" x14ac:dyDescent="0.35">
      <c r="A352" s="21" t="s">
        <v>649</v>
      </c>
      <c r="B352" s="21" t="s">
        <v>778</v>
      </c>
      <c r="C352" s="21" t="s">
        <v>651</v>
      </c>
      <c r="D352" s="22">
        <v>1</v>
      </c>
      <c r="E352" s="21" t="s">
        <v>789</v>
      </c>
      <c r="F352" s="21" t="s">
        <v>653</v>
      </c>
      <c r="G352" s="21" t="s">
        <v>654</v>
      </c>
      <c r="H352" s="21" t="s">
        <v>655</v>
      </c>
      <c r="I352" s="21" t="s">
        <v>656</v>
      </c>
      <c r="J352" s="21" t="s">
        <v>790</v>
      </c>
    </row>
    <row r="353" spans="1:10" ht="19.5" customHeight="1" x14ac:dyDescent="0.35">
      <c r="A353" s="21" t="s">
        <v>649</v>
      </c>
      <c r="B353" s="21" t="s">
        <v>778</v>
      </c>
      <c r="C353" s="21" t="s">
        <v>651</v>
      </c>
      <c r="D353" s="22">
        <v>1</v>
      </c>
      <c r="E353" s="21" t="s">
        <v>791</v>
      </c>
      <c r="F353" s="21" t="s">
        <v>653</v>
      </c>
      <c r="G353" s="21" t="s">
        <v>654</v>
      </c>
      <c r="H353" s="21" t="s">
        <v>655</v>
      </c>
      <c r="I353" s="21" t="s">
        <v>656</v>
      </c>
      <c r="J353" s="21" t="s">
        <v>792</v>
      </c>
    </row>
    <row r="354" spans="1:10" ht="19.5" customHeight="1" x14ac:dyDescent="0.35">
      <c r="A354" s="21" t="s">
        <v>649</v>
      </c>
      <c r="B354" s="21" t="s">
        <v>783</v>
      </c>
      <c r="C354" s="21" t="s">
        <v>651</v>
      </c>
      <c r="D354" s="22">
        <v>1</v>
      </c>
      <c r="E354" s="21" t="s">
        <v>793</v>
      </c>
      <c r="F354" s="21" t="s">
        <v>653</v>
      </c>
      <c r="G354" s="21" t="s">
        <v>654</v>
      </c>
      <c r="H354" s="21" t="s">
        <v>655</v>
      </c>
      <c r="I354" s="21" t="s">
        <v>656</v>
      </c>
      <c r="J354" s="21" t="s">
        <v>794</v>
      </c>
    </row>
    <row r="355" spans="1:10" ht="19.5" customHeight="1" x14ac:dyDescent="0.35">
      <c r="A355" s="21" t="s">
        <v>649</v>
      </c>
      <c r="B355" s="21" t="s">
        <v>783</v>
      </c>
      <c r="C355" s="21" t="s">
        <v>651</v>
      </c>
      <c r="D355" s="22">
        <v>1</v>
      </c>
      <c r="E355" s="21" t="s">
        <v>795</v>
      </c>
      <c r="F355" s="21" t="s">
        <v>653</v>
      </c>
      <c r="G355" s="21" t="s">
        <v>654</v>
      </c>
      <c r="H355" s="21" t="s">
        <v>655</v>
      </c>
      <c r="I355" s="21" t="s">
        <v>656</v>
      </c>
      <c r="J355" s="21" t="s">
        <v>796</v>
      </c>
    </row>
    <row r="356" spans="1:10" ht="19.5" customHeight="1" x14ac:dyDescent="0.35">
      <c r="A356" s="21" t="s">
        <v>649</v>
      </c>
      <c r="B356" s="21" t="s">
        <v>778</v>
      </c>
      <c r="C356" s="21" t="s">
        <v>651</v>
      </c>
      <c r="D356" s="22">
        <v>1</v>
      </c>
      <c r="E356" s="21" t="s">
        <v>797</v>
      </c>
      <c r="F356" s="21" t="s">
        <v>653</v>
      </c>
      <c r="G356" s="21" t="s">
        <v>654</v>
      </c>
      <c r="H356" s="21" t="s">
        <v>655</v>
      </c>
      <c r="I356" s="21" t="s">
        <v>656</v>
      </c>
      <c r="J356" s="21" t="s">
        <v>798</v>
      </c>
    </row>
    <row r="357" spans="1:10" ht="19.5" customHeight="1" x14ac:dyDescent="0.35">
      <c r="A357" s="21" t="s">
        <v>649</v>
      </c>
      <c r="B357" s="21" t="s">
        <v>783</v>
      </c>
      <c r="C357" s="21" t="s">
        <v>651</v>
      </c>
      <c r="D357" s="22">
        <v>1</v>
      </c>
      <c r="E357" s="21" t="s">
        <v>799</v>
      </c>
      <c r="F357" s="21" t="s">
        <v>653</v>
      </c>
      <c r="G357" s="21" t="s">
        <v>654</v>
      </c>
      <c r="H357" s="21" t="s">
        <v>655</v>
      </c>
      <c r="I357" s="21" t="s">
        <v>656</v>
      </c>
      <c r="J357" s="21" t="s">
        <v>800</v>
      </c>
    </row>
    <row r="358" spans="1:10" ht="19.5" customHeight="1" x14ac:dyDescent="0.35">
      <c r="A358" s="21" t="s">
        <v>649</v>
      </c>
      <c r="B358" s="21" t="s">
        <v>801</v>
      </c>
      <c r="C358" s="21" t="s">
        <v>651</v>
      </c>
      <c r="D358" s="22">
        <v>1</v>
      </c>
      <c r="E358" s="21" t="s">
        <v>802</v>
      </c>
      <c r="F358" s="21" t="s">
        <v>653</v>
      </c>
      <c r="G358" s="21" t="s">
        <v>654</v>
      </c>
      <c r="H358" s="21" t="s">
        <v>655</v>
      </c>
      <c r="I358" s="21" t="s">
        <v>656</v>
      </c>
      <c r="J358" s="21" t="s">
        <v>803</v>
      </c>
    </row>
    <row r="359" spans="1:10" ht="19.5" customHeight="1" x14ac:dyDescent="0.35">
      <c r="A359" s="21" t="s">
        <v>649</v>
      </c>
      <c r="B359" s="21" t="s">
        <v>801</v>
      </c>
      <c r="C359" s="21" t="s">
        <v>651</v>
      </c>
      <c r="D359" s="22">
        <v>1</v>
      </c>
      <c r="E359" s="21" t="s">
        <v>804</v>
      </c>
      <c r="F359" s="21" t="s">
        <v>653</v>
      </c>
      <c r="G359" s="21" t="s">
        <v>654</v>
      </c>
      <c r="H359" s="21" t="s">
        <v>655</v>
      </c>
      <c r="I359" s="21" t="s">
        <v>656</v>
      </c>
      <c r="J359" s="21" t="s">
        <v>805</v>
      </c>
    </row>
    <row r="360" spans="1:10" ht="19.5" customHeight="1" x14ac:dyDescent="0.35">
      <c r="A360" s="21" t="s">
        <v>649</v>
      </c>
      <c r="B360" s="21" t="s">
        <v>679</v>
      </c>
      <c r="C360" s="21" t="s">
        <v>651</v>
      </c>
      <c r="D360" s="22">
        <v>1</v>
      </c>
      <c r="E360" s="21" t="s">
        <v>806</v>
      </c>
      <c r="F360" s="21" t="s">
        <v>653</v>
      </c>
      <c r="G360" s="21" t="s">
        <v>654</v>
      </c>
      <c r="H360" s="21" t="s">
        <v>655</v>
      </c>
      <c r="I360" s="21" t="s">
        <v>656</v>
      </c>
      <c r="J360" s="21" t="s">
        <v>807</v>
      </c>
    </row>
    <row r="361" spans="1:10" ht="19.5" customHeight="1" x14ac:dyDescent="0.35">
      <c r="A361" s="21" t="s">
        <v>649</v>
      </c>
      <c r="B361" s="21" t="s">
        <v>679</v>
      </c>
      <c r="C361" s="21" t="s">
        <v>651</v>
      </c>
      <c r="D361" s="22">
        <v>1</v>
      </c>
      <c r="E361" s="21" t="s">
        <v>808</v>
      </c>
      <c r="F361" s="21" t="s">
        <v>653</v>
      </c>
      <c r="G361" s="21" t="s">
        <v>654</v>
      </c>
      <c r="H361" s="21" t="s">
        <v>655</v>
      </c>
      <c r="I361" s="21" t="s">
        <v>656</v>
      </c>
      <c r="J361" s="21" t="s">
        <v>809</v>
      </c>
    </row>
    <row r="362" spans="1:10" ht="19.5" customHeight="1" x14ac:dyDescent="0.35">
      <c r="A362" s="21" t="s">
        <v>649</v>
      </c>
      <c r="B362" s="21" t="s">
        <v>679</v>
      </c>
      <c r="C362" s="21" t="s">
        <v>651</v>
      </c>
      <c r="D362" s="22">
        <v>1</v>
      </c>
      <c r="E362" s="21" t="s">
        <v>810</v>
      </c>
      <c r="F362" s="21" t="s">
        <v>653</v>
      </c>
      <c r="G362" s="21" t="s">
        <v>654</v>
      </c>
      <c r="H362" s="21" t="s">
        <v>655</v>
      </c>
      <c r="I362" s="21" t="s">
        <v>656</v>
      </c>
      <c r="J362" s="21" t="s">
        <v>811</v>
      </c>
    </row>
    <row r="363" spans="1:10" ht="19.5" customHeight="1" x14ac:dyDescent="0.35">
      <c r="A363" s="21" t="s">
        <v>649</v>
      </c>
      <c r="B363" s="21" t="s">
        <v>679</v>
      </c>
      <c r="C363" s="21" t="s">
        <v>651</v>
      </c>
      <c r="D363" s="22">
        <v>1</v>
      </c>
      <c r="E363" s="21" t="s">
        <v>812</v>
      </c>
      <c r="F363" s="21" t="s">
        <v>653</v>
      </c>
      <c r="G363" s="21" t="s">
        <v>654</v>
      </c>
      <c r="H363" s="21" t="s">
        <v>655</v>
      </c>
      <c r="I363" s="21" t="s">
        <v>656</v>
      </c>
      <c r="J363" s="21" t="s">
        <v>813</v>
      </c>
    </row>
    <row r="364" spans="1:10" ht="19.5" customHeight="1" x14ac:dyDescent="0.35">
      <c r="A364" s="21" t="s">
        <v>649</v>
      </c>
      <c r="B364" s="21" t="s">
        <v>814</v>
      </c>
      <c r="C364" s="21" t="s">
        <v>651</v>
      </c>
      <c r="D364" s="22">
        <v>1</v>
      </c>
      <c r="E364" s="21" t="s">
        <v>815</v>
      </c>
      <c r="F364" s="21" t="s">
        <v>653</v>
      </c>
      <c r="G364" s="21" t="s">
        <v>654</v>
      </c>
      <c r="H364" s="21" t="s">
        <v>655</v>
      </c>
      <c r="I364" s="21" t="s">
        <v>656</v>
      </c>
      <c r="J364" s="21" t="s">
        <v>816</v>
      </c>
    </row>
    <row r="365" spans="1:10" ht="19.5" customHeight="1" x14ac:dyDescent="0.35">
      <c r="A365" s="21" t="s">
        <v>649</v>
      </c>
      <c r="B365" s="21" t="s">
        <v>814</v>
      </c>
      <c r="C365" s="21" t="s">
        <v>651</v>
      </c>
      <c r="D365" s="22">
        <v>1</v>
      </c>
      <c r="E365" s="21" t="s">
        <v>817</v>
      </c>
      <c r="F365" s="21" t="s">
        <v>653</v>
      </c>
      <c r="G365" s="21" t="s">
        <v>654</v>
      </c>
      <c r="H365" s="21" t="s">
        <v>655</v>
      </c>
      <c r="I365" s="21" t="s">
        <v>656</v>
      </c>
      <c r="J365" s="21" t="s">
        <v>818</v>
      </c>
    </row>
    <row r="366" spans="1:10" ht="19.5" customHeight="1" x14ac:dyDescent="0.35">
      <c r="A366" s="21" t="s">
        <v>649</v>
      </c>
      <c r="B366" s="21" t="s">
        <v>814</v>
      </c>
      <c r="C366" s="21" t="s">
        <v>651</v>
      </c>
      <c r="D366" s="22">
        <v>1</v>
      </c>
      <c r="E366" s="21" t="s">
        <v>819</v>
      </c>
      <c r="F366" s="21" t="s">
        <v>653</v>
      </c>
      <c r="G366" s="21" t="s">
        <v>654</v>
      </c>
      <c r="H366" s="21" t="s">
        <v>655</v>
      </c>
      <c r="I366" s="21" t="s">
        <v>656</v>
      </c>
      <c r="J366" s="21" t="s">
        <v>820</v>
      </c>
    </row>
    <row r="367" spans="1:10" ht="19.5" customHeight="1" x14ac:dyDescent="0.35">
      <c r="A367" s="21" t="s">
        <v>649</v>
      </c>
      <c r="B367" s="21" t="s">
        <v>814</v>
      </c>
      <c r="C367" s="21" t="s">
        <v>651</v>
      </c>
      <c r="D367" s="22">
        <v>1</v>
      </c>
      <c r="E367" s="21" t="s">
        <v>821</v>
      </c>
      <c r="F367" s="21" t="s">
        <v>653</v>
      </c>
      <c r="G367" s="21" t="s">
        <v>654</v>
      </c>
      <c r="H367" s="21" t="s">
        <v>655</v>
      </c>
      <c r="I367" s="21" t="s">
        <v>656</v>
      </c>
      <c r="J367" s="21" t="s">
        <v>822</v>
      </c>
    </row>
    <row r="368" spans="1:10" ht="19.5" customHeight="1" x14ac:dyDescent="0.35">
      <c r="A368" s="21" t="s">
        <v>649</v>
      </c>
      <c r="B368" s="21" t="s">
        <v>814</v>
      </c>
      <c r="C368" s="21" t="s">
        <v>651</v>
      </c>
      <c r="D368" s="22">
        <v>1</v>
      </c>
      <c r="E368" s="21" t="s">
        <v>823</v>
      </c>
      <c r="F368" s="21" t="s">
        <v>653</v>
      </c>
      <c r="G368" s="21" t="s">
        <v>654</v>
      </c>
      <c r="H368" s="21" t="s">
        <v>655</v>
      </c>
      <c r="I368" s="21" t="s">
        <v>656</v>
      </c>
      <c r="J368" s="21" t="s">
        <v>824</v>
      </c>
    </row>
    <row r="369" spans="1:10" ht="19.5" customHeight="1" x14ac:dyDescent="0.35">
      <c r="A369" s="21" t="s">
        <v>649</v>
      </c>
      <c r="B369" s="21" t="s">
        <v>814</v>
      </c>
      <c r="C369" s="21" t="s">
        <v>651</v>
      </c>
      <c r="D369" s="22">
        <v>1</v>
      </c>
      <c r="E369" s="21" t="s">
        <v>825</v>
      </c>
      <c r="F369" s="21" t="s">
        <v>653</v>
      </c>
      <c r="G369" s="21" t="s">
        <v>654</v>
      </c>
      <c r="H369" s="21" t="s">
        <v>655</v>
      </c>
      <c r="I369" s="21" t="s">
        <v>656</v>
      </c>
      <c r="J369" s="21" t="s">
        <v>669</v>
      </c>
    </row>
    <row r="370" spans="1:10" ht="19.5" customHeight="1" x14ac:dyDescent="0.35">
      <c r="A370" s="21" t="s">
        <v>649</v>
      </c>
      <c r="B370" s="21" t="s">
        <v>814</v>
      </c>
      <c r="C370" s="21" t="s">
        <v>651</v>
      </c>
      <c r="D370" s="22">
        <v>1</v>
      </c>
      <c r="E370" s="21" t="s">
        <v>826</v>
      </c>
      <c r="F370" s="21" t="s">
        <v>653</v>
      </c>
      <c r="G370" s="21" t="s">
        <v>654</v>
      </c>
      <c r="H370" s="21" t="s">
        <v>655</v>
      </c>
      <c r="I370" s="21" t="s">
        <v>656</v>
      </c>
      <c r="J370" s="21" t="s">
        <v>827</v>
      </c>
    </row>
    <row r="371" spans="1:10" ht="19.5" customHeight="1" x14ac:dyDescent="0.35">
      <c r="A371" s="21" t="s">
        <v>649</v>
      </c>
      <c r="B371" s="21" t="s">
        <v>679</v>
      </c>
      <c r="C371" s="21" t="s">
        <v>651</v>
      </c>
      <c r="D371" s="22">
        <v>1</v>
      </c>
      <c r="E371" s="21" t="s">
        <v>828</v>
      </c>
      <c r="F371" s="21" t="s">
        <v>653</v>
      </c>
      <c r="G371" s="21" t="s">
        <v>654</v>
      </c>
      <c r="H371" s="21" t="s">
        <v>655</v>
      </c>
      <c r="I371" s="21" t="s">
        <v>656</v>
      </c>
      <c r="J371" s="21" t="s">
        <v>813</v>
      </c>
    </row>
    <row r="372" spans="1:10" ht="19.5" customHeight="1" x14ac:dyDescent="0.35">
      <c r="A372" s="21" t="s">
        <v>649</v>
      </c>
      <c r="B372" s="21" t="s">
        <v>679</v>
      </c>
      <c r="C372" s="21" t="s">
        <v>651</v>
      </c>
      <c r="D372" s="22">
        <v>1</v>
      </c>
      <c r="E372" s="21" t="s">
        <v>829</v>
      </c>
      <c r="F372" s="21" t="s">
        <v>653</v>
      </c>
      <c r="G372" s="21" t="s">
        <v>654</v>
      </c>
      <c r="H372" s="21" t="s">
        <v>655</v>
      </c>
      <c r="I372" s="21" t="s">
        <v>656</v>
      </c>
      <c r="J372" s="21" t="s">
        <v>809</v>
      </c>
    </row>
    <row r="373" spans="1:10" ht="19.5" customHeight="1" x14ac:dyDescent="0.35">
      <c r="A373" s="21" t="s">
        <v>649</v>
      </c>
      <c r="B373" s="21" t="s">
        <v>814</v>
      </c>
      <c r="C373" s="21" t="s">
        <v>651</v>
      </c>
      <c r="D373" s="22">
        <v>1</v>
      </c>
      <c r="E373" s="21" t="s">
        <v>830</v>
      </c>
      <c r="F373" s="21" t="s">
        <v>653</v>
      </c>
      <c r="G373" s="21" t="s">
        <v>654</v>
      </c>
      <c r="H373" s="21" t="s">
        <v>655</v>
      </c>
      <c r="I373" s="21" t="s">
        <v>656</v>
      </c>
      <c r="J373" s="21" t="s">
        <v>831</v>
      </c>
    </row>
    <row r="374" spans="1:10" ht="19.5" customHeight="1" x14ac:dyDescent="0.35">
      <c r="A374" s="21" t="s">
        <v>649</v>
      </c>
      <c r="B374" s="21" t="s">
        <v>814</v>
      </c>
      <c r="C374" s="21" t="s">
        <v>651</v>
      </c>
      <c r="D374" s="22">
        <v>1</v>
      </c>
      <c r="E374" s="21" t="s">
        <v>832</v>
      </c>
      <c r="F374" s="21" t="s">
        <v>653</v>
      </c>
      <c r="G374" s="21" t="s">
        <v>654</v>
      </c>
      <c r="H374" s="21" t="s">
        <v>655</v>
      </c>
      <c r="I374" s="21" t="s">
        <v>656</v>
      </c>
      <c r="J374" s="21" t="s">
        <v>827</v>
      </c>
    </row>
    <row r="375" spans="1:10" ht="19.5" customHeight="1" x14ac:dyDescent="0.35">
      <c r="A375" s="21" t="s">
        <v>649</v>
      </c>
      <c r="B375" s="21" t="s">
        <v>814</v>
      </c>
      <c r="C375" s="21" t="s">
        <v>651</v>
      </c>
      <c r="D375" s="22">
        <v>1</v>
      </c>
      <c r="E375" s="21" t="s">
        <v>833</v>
      </c>
      <c r="F375" s="21" t="s">
        <v>653</v>
      </c>
      <c r="G375" s="21" t="s">
        <v>654</v>
      </c>
      <c r="H375" s="21" t="s">
        <v>655</v>
      </c>
      <c r="I375" s="21" t="s">
        <v>656</v>
      </c>
      <c r="J375" s="21" t="s">
        <v>834</v>
      </c>
    </row>
    <row r="376" spans="1:10" ht="19.5" customHeight="1" x14ac:dyDescent="0.35">
      <c r="A376" s="21" t="s">
        <v>649</v>
      </c>
      <c r="B376" s="21" t="s">
        <v>679</v>
      </c>
      <c r="C376" s="21" t="s">
        <v>651</v>
      </c>
      <c r="D376" s="22">
        <v>1</v>
      </c>
      <c r="E376" s="21" t="s">
        <v>835</v>
      </c>
      <c r="F376" s="21" t="s">
        <v>653</v>
      </c>
      <c r="G376" s="21" t="s">
        <v>654</v>
      </c>
      <c r="H376" s="21" t="s">
        <v>655</v>
      </c>
      <c r="I376" s="21" t="s">
        <v>656</v>
      </c>
      <c r="J376" s="21" t="s">
        <v>836</v>
      </c>
    </row>
    <row r="377" spans="1:10" ht="19.5" customHeight="1" x14ac:dyDescent="0.35">
      <c r="A377" s="21" t="s">
        <v>649</v>
      </c>
      <c r="B377" s="21" t="s">
        <v>679</v>
      </c>
      <c r="C377" s="21" t="s">
        <v>651</v>
      </c>
      <c r="D377" s="22">
        <v>1</v>
      </c>
      <c r="E377" s="21" t="s">
        <v>837</v>
      </c>
      <c r="F377" s="21" t="s">
        <v>653</v>
      </c>
      <c r="G377" s="21" t="s">
        <v>654</v>
      </c>
      <c r="H377" s="21" t="s">
        <v>655</v>
      </c>
      <c r="I377" s="21" t="s">
        <v>656</v>
      </c>
      <c r="J377" s="21" t="s">
        <v>662</v>
      </c>
    </row>
    <row r="378" spans="1:10" ht="19.5" customHeight="1" x14ac:dyDescent="0.35">
      <c r="A378" s="21" t="s">
        <v>649</v>
      </c>
      <c r="B378" s="21" t="s">
        <v>814</v>
      </c>
      <c r="C378" s="21" t="s">
        <v>651</v>
      </c>
      <c r="D378" s="22">
        <v>1</v>
      </c>
      <c r="E378" s="21" t="s">
        <v>838</v>
      </c>
      <c r="F378" s="21" t="s">
        <v>653</v>
      </c>
      <c r="G378" s="21" t="s">
        <v>654</v>
      </c>
      <c r="H378" s="21" t="s">
        <v>655</v>
      </c>
      <c r="I378" s="21" t="s">
        <v>656</v>
      </c>
      <c r="J378" s="21" t="s">
        <v>839</v>
      </c>
    </row>
    <row r="379" spans="1:10" ht="19.5" customHeight="1" x14ac:dyDescent="0.35">
      <c r="A379" s="21" t="s">
        <v>649</v>
      </c>
      <c r="B379" s="21" t="s">
        <v>814</v>
      </c>
      <c r="C379" s="21" t="s">
        <v>651</v>
      </c>
      <c r="D379" s="22">
        <v>1</v>
      </c>
      <c r="E379" s="21" t="s">
        <v>840</v>
      </c>
      <c r="F379" s="21" t="s">
        <v>653</v>
      </c>
      <c r="G379" s="21" t="s">
        <v>654</v>
      </c>
      <c r="H379" s="21" t="s">
        <v>655</v>
      </c>
      <c r="I379" s="21" t="s">
        <v>656</v>
      </c>
      <c r="J379" s="21" t="s">
        <v>765</v>
      </c>
    </row>
    <row r="380" spans="1:10" ht="19.5" customHeight="1" x14ac:dyDescent="0.35">
      <c r="A380" s="21" t="s">
        <v>649</v>
      </c>
      <c r="B380" s="21" t="s">
        <v>814</v>
      </c>
      <c r="C380" s="21" t="s">
        <v>651</v>
      </c>
      <c r="D380" s="22">
        <v>1</v>
      </c>
      <c r="E380" s="21" t="s">
        <v>841</v>
      </c>
      <c r="F380" s="21" t="s">
        <v>653</v>
      </c>
      <c r="G380" s="21" t="s">
        <v>654</v>
      </c>
      <c r="H380" s="21" t="s">
        <v>655</v>
      </c>
      <c r="I380" s="21" t="s">
        <v>656</v>
      </c>
      <c r="J380" s="21" t="s">
        <v>776</v>
      </c>
    </row>
    <row r="381" spans="1:10" ht="19.5" customHeight="1" x14ac:dyDescent="0.35">
      <c r="A381" s="21" t="s">
        <v>649</v>
      </c>
      <c r="B381" s="21" t="s">
        <v>814</v>
      </c>
      <c r="C381" s="21" t="s">
        <v>651</v>
      </c>
      <c r="D381" s="22">
        <v>1</v>
      </c>
      <c r="E381" s="21" t="s">
        <v>842</v>
      </c>
      <c r="F381" s="21" t="s">
        <v>653</v>
      </c>
      <c r="G381" s="21" t="s">
        <v>654</v>
      </c>
      <c r="H381" s="21" t="s">
        <v>655</v>
      </c>
      <c r="I381" s="21" t="s">
        <v>656</v>
      </c>
      <c r="J381" s="21" t="s">
        <v>843</v>
      </c>
    </row>
    <row r="382" spans="1:10" ht="19.5" customHeight="1" x14ac:dyDescent="0.35">
      <c r="A382" s="21" t="s">
        <v>649</v>
      </c>
      <c r="B382" s="21" t="s">
        <v>660</v>
      </c>
      <c r="C382" s="21" t="s">
        <v>651</v>
      </c>
      <c r="D382" s="22">
        <v>1</v>
      </c>
      <c r="E382" s="21" t="s">
        <v>844</v>
      </c>
      <c r="F382" s="21" t="s">
        <v>653</v>
      </c>
      <c r="G382" s="21" t="s">
        <v>654</v>
      </c>
      <c r="H382" s="21" t="s">
        <v>655</v>
      </c>
      <c r="I382" s="21" t="s">
        <v>656</v>
      </c>
      <c r="J382" s="21" t="s">
        <v>845</v>
      </c>
    </row>
    <row r="383" spans="1:10" ht="19.5" customHeight="1" x14ac:dyDescent="0.35">
      <c r="A383" s="21" t="s">
        <v>649</v>
      </c>
      <c r="B383" s="21" t="s">
        <v>660</v>
      </c>
      <c r="C383" s="21" t="s">
        <v>651</v>
      </c>
      <c r="D383" s="22">
        <v>1</v>
      </c>
      <c r="E383" s="21" t="s">
        <v>846</v>
      </c>
      <c r="F383" s="21" t="s">
        <v>653</v>
      </c>
      <c r="G383" s="21" t="s">
        <v>654</v>
      </c>
      <c r="H383" s="21" t="s">
        <v>655</v>
      </c>
      <c r="I383" s="21" t="s">
        <v>656</v>
      </c>
      <c r="J383" s="21" t="s">
        <v>807</v>
      </c>
    </row>
    <row r="384" spans="1:10" ht="19.5" customHeight="1" x14ac:dyDescent="0.35">
      <c r="A384" s="21" t="s">
        <v>649</v>
      </c>
      <c r="B384" s="21" t="s">
        <v>717</v>
      </c>
      <c r="C384" s="21" t="s">
        <v>651</v>
      </c>
      <c r="D384" s="22">
        <v>1</v>
      </c>
      <c r="E384" s="21" t="s">
        <v>847</v>
      </c>
      <c r="F384" s="21" t="s">
        <v>653</v>
      </c>
      <c r="G384" s="21" t="s">
        <v>654</v>
      </c>
      <c r="H384" s="21" t="s">
        <v>655</v>
      </c>
      <c r="I384" s="21" t="s">
        <v>656</v>
      </c>
      <c r="J384" s="21" t="s">
        <v>761</v>
      </c>
    </row>
    <row r="385" spans="1:10" ht="19.5" customHeight="1" x14ac:dyDescent="0.35">
      <c r="A385" s="21" t="s">
        <v>649</v>
      </c>
      <c r="B385" s="21" t="s">
        <v>717</v>
      </c>
      <c r="C385" s="21" t="s">
        <v>651</v>
      </c>
      <c r="D385" s="22">
        <v>1</v>
      </c>
      <c r="E385" s="21" t="s">
        <v>848</v>
      </c>
      <c r="F385" s="21" t="s">
        <v>653</v>
      </c>
      <c r="G385" s="21" t="s">
        <v>654</v>
      </c>
      <c r="H385" s="21" t="s">
        <v>655</v>
      </c>
      <c r="I385" s="21" t="s">
        <v>656</v>
      </c>
      <c r="J385" s="21" t="s">
        <v>820</v>
      </c>
    </row>
    <row r="386" spans="1:10" ht="19.5" customHeight="1" x14ac:dyDescent="0.35">
      <c r="A386" s="21" t="s">
        <v>649</v>
      </c>
      <c r="B386" s="21" t="s">
        <v>679</v>
      </c>
      <c r="C386" s="21" t="s">
        <v>651</v>
      </c>
      <c r="D386" s="22">
        <v>1</v>
      </c>
      <c r="E386" s="21" t="s">
        <v>849</v>
      </c>
      <c r="F386" s="21" t="s">
        <v>653</v>
      </c>
      <c r="G386" s="21" t="s">
        <v>654</v>
      </c>
      <c r="H386" s="21" t="s">
        <v>655</v>
      </c>
      <c r="I386" s="21" t="s">
        <v>656</v>
      </c>
      <c r="J386" s="21" t="s">
        <v>763</v>
      </c>
    </row>
    <row r="387" spans="1:10" ht="19.5" customHeight="1" x14ac:dyDescent="0.35">
      <c r="A387" s="21" t="s">
        <v>649</v>
      </c>
      <c r="B387" s="21" t="s">
        <v>679</v>
      </c>
      <c r="C387" s="21" t="s">
        <v>651</v>
      </c>
      <c r="D387" s="22">
        <v>1</v>
      </c>
      <c r="E387" s="21" t="s">
        <v>850</v>
      </c>
      <c r="F387" s="21" t="s">
        <v>653</v>
      </c>
      <c r="G387" s="21" t="s">
        <v>654</v>
      </c>
      <c r="H387" s="21" t="s">
        <v>655</v>
      </c>
      <c r="I387" s="21" t="s">
        <v>656</v>
      </c>
      <c r="J387" s="21" t="s">
        <v>818</v>
      </c>
    </row>
    <row r="388" spans="1:10" ht="19.5" customHeight="1" x14ac:dyDescent="0.35">
      <c r="A388" s="21" t="s">
        <v>649</v>
      </c>
      <c r="B388" s="21" t="s">
        <v>771</v>
      </c>
      <c r="C388" s="21" t="s">
        <v>651</v>
      </c>
      <c r="D388" s="22">
        <v>1</v>
      </c>
      <c r="E388" s="21" t="s">
        <v>851</v>
      </c>
      <c r="F388" s="21" t="s">
        <v>653</v>
      </c>
      <c r="G388" s="21" t="s">
        <v>654</v>
      </c>
      <c r="H388" s="21" t="s">
        <v>655</v>
      </c>
      <c r="I388" s="21" t="s">
        <v>656</v>
      </c>
      <c r="J388" s="21" t="s">
        <v>852</v>
      </c>
    </row>
    <row r="389" spans="1:10" ht="19.5" customHeight="1" x14ac:dyDescent="0.35">
      <c r="A389" s="21" t="s">
        <v>649</v>
      </c>
      <c r="B389" s="21" t="s">
        <v>771</v>
      </c>
      <c r="C389" s="21" t="s">
        <v>651</v>
      </c>
      <c r="D389" s="22">
        <v>1</v>
      </c>
      <c r="E389" s="21" t="s">
        <v>853</v>
      </c>
      <c r="F389" s="21" t="s">
        <v>653</v>
      </c>
      <c r="G389" s="21" t="s">
        <v>654</v>
      </c>
      <c r="H389" s="21" t="s">
        <v>655</v>
      </c>
      <c r="I389" s="21" t="s">
        <v>656</v>
      </c>
      <c r="J389" s="21" t="s">
        <v>843</v>
      </c>
    </row>
    <row r="390" spans="1:10" ht="19.5" customHeight="1" x14ac:dyDescent="0.35">
      <c r="A390" s="21" t="s">
        <v>649</v>
      </c>
      <c r="B390" s="21" t="s">
        <v>771</v>
      </c>
      <c r="C390" s="21" t="s">
        <v>651</v>
      </c>
      <c r="D390" s="22">
        <v>1</v>
      </c>
      <c r="E390" s="21" t="s">
        <v>854</v>
      </c>
      <c r="F390" s="21" t="s">
        <v>653</v>
      </c>
      <c r="G390" s="21" t="s">
        <v>654</v>
      </c>
      <c r="H390" s="21" t="s">
        <v>655</v>
      </c>
      <c r="I390" s="21" t="s">
        <v>656</v>
      </c>
      <c r="J390" s="21" t="s">
        <v>855</v>
      </c>
    </row>
    <row r="391" spans="1:10" ht="19.5" customHeight="1" x14ac:dyDescent="0.35">
      <c r="A391" s="21" t="s">
        <v>649</v>
      </c>
      <c r="B391" s="21" t="s">
        <v>717</v>
      </c>
      <c r="C391" s="21" t="s">
        <v>651</v>
      </c>
      <c r="D391" s="22">
        <v>1</v>
      </c>
      <c r="E391" s="21" t="s">
        <v>856</v>
      </c>
      <c r="F391" s="21" t="s">
        <v>653</v>
      </c>
      <c r="G391" s="21" t="s">
        <v>654</v>
      </c>
      <c r="H391" s="21" t="s">
        <v>655</v>
      </c>
      <c r="I391" s="21" t="s">
        <v>656</v>
      </c>
      <c r="J391" s="21" t="s">
        <v>857</v>
      </c>
    </row>
    <row r="392" spans="1:10" ht="19.5" customHeight="1" x14ac:dyDescent="0.35">
      <c r="A392" s="21" t="s">
        <v>649</v>
      </c>
      <c r="B392" s="21" t="s">
        <v>717</v>
      </c>
      <c r="C392" s="21" t="s">
        <v>651</v>
      </c>
      <c r="D392" s="22">
        <v>1</v>
      </c>
      <c r="E392" s="21" t="s">
        <v>858</v>
      </c>
      <c r="F392" s="21" t="s">
        <v>653</v>
      </c>
      <c r="G392" s="21" t="s">
        <v>654</v>
      </c>
      <c r="H392" s="21" t="s">
        <v>655</v>
      </c>
      <c r="I392" s="21" t="s">
        <v>656</v>
      </c>
      <c r="J392" s="21" t="s">
        <v>859</v>
      </c>
    </row>
    <row r="393" spans="1:10" ht="19.5" customHeight="1" x14ac:dyDescent="0.35">
      <c r="A393" s="21" t="s">
        <v>649</v>
      </c>
      <c r="B393" s="21" t="s">
        <v>771</v>
      </c>
      <c r="C393" s="21" t="s">
        <v>651</v>
      </c>
      <c r="D393" s="22">
        <v>1</v>
      </c>
      <c r="E393" s="21" t="s">
        <v>860</v>
      </c>
      <c r="F393" s="21" t="s">
        <v>653</v>
      </c>
      <c r="G393" s="21" t="s">
        <v>654</v>
      </c>
      <c r="H393" s="21" t="s">
        <v>655</v>
      </c>
      <c r="I393" s="21" t="s">
        <v>656</v>
      </c>
      <c r="J393" s="21" t="s">
        <v>861</v>
      </c>
    </row>
    <row r="394" spans="1:10" ht="19.5" customHeight="1" x14ac:dyDescent="0.35">
      <c r="A394" s="21" t="s">
        <v>649</v>
      </c>
      <c r="B394" s="21" t="s">
        <v>650</v>
      </c>
      <c r="C394" s="21" t="s">
        <v>651</v>
      </c>
      <c r="D394" s="22">
        <v>1</v>
      </c>
      <c r="E394" s="21" t="s">
        <v>862</v>
      </c>
      <c r="F394" s="21" t="s">
        <v>653</v>
      </c>
      <c r="G394" s="21" t="s">
        <v>654</v>
      </c>
      <c r="H394" s="21" t="s">
        <v>655</v>
      </c>
      <c r="I394" s="21" t="s">
        <v>656</v>
      </c>
      <c r="J394" s="21" t="s">
        <v>722</v>
      </c>
    </row>
    <row r="395" spans="1:10" ht="19.5" customHeight="1" x14ac:dyDescent="0.35">
      <c r="A395" s="21" t="s">
        <v>649</v>
      </c>
      <c r="B395" s="21" t="s">
        <v>717</v>
      </c>
      <c r="C395" s="21" t="s">
        <v>651</v>
      </c>
      <c r="D395" s="22">
        <v>1</v>
      </c>
      <c r="E395" s="21" t="s">
        <v>863</v>
      </c>
      <c r="F395" s="21" t="s">
        <v>653</v>
      </c>
      <c r="G395" s="21" t="s">
        <v>654</v>
      </c>
      <c r="H395" s="21" t="s">
        <v>655</v>
      </c>
      <c r="I395" s="21" t="s">
        <v>656</v>
      </c>
      <c r="J395" s="21" t="s">
        <v>816</v>
      </c>
    </row>
    <row r="396" spans="1:10" ht="19.5" customHeight="1" x14ac:dyDescent="0.35">
      <c r="A396" s="21" t="s">
        <v>649</v>
      </c>
      <c r="B396" s="21" t="s">
        <v>717</v>
      </c>
      <c r="C396" s="21" t="s">
        <v>651</v>
      </c>
      <c r="D396" s="22">
        <v>1</v>
      </c>
      <c r="E396" s="21" t="s">
        <v>864</v>
      </c>
      <c r="F396" s="21" t="s">
        <v>653</v>
      </c>
      <c r="G396" s="21" t="s">
        <v>654</v>
      </c>
      <c r="H396" s="21" t="s">
        <v>655</v>
      </c>
      <c r="I396" s="21" t="s">
        <v>656</v>
      </c>
      <c r="J396" s="21" t="s">
        <v>859</v>
      </c>
    </row>
    <row r="397" spans="1:10" ht="19.5" customHeight="1" x14ac:dyDescent="0.35">
      <c r="A397" s="21" t="s">
        <v>649</v>
      </c>
      <c r="B397" s="21" t="s">
        <v>771</v>
      </c>
      <c r="C397" s="21" t="s">
        <v>651</v>
      </c>
      <c r="D397" s="22">
        <v>1</v>
      </c>
      <c r="E397" s="21" t="s">
        <v>865</v>
      </c>
      <c r="F397" s="21" t="s">
        <v>653</v>
      </c>
      <c r="G397" s="21" t="s">
        <v>654</v>
      </c>
      <c r="H397" s="21" t="s">
        <v>655</v>
      </c>
      <c r="I397" s="21" t="s">
        <v>656</v>
      </c>
      <c r="J397" s="21" t="s">
        <v>866</v>
      </c>
    </row>
    <row r="398" spans="1:10" ht="19.5" customHeight="1" x14ac:dyDescent="0.35">
      <c r="A398" s="21" t="s">
        <v>649</v>
      </c>
      <c r="B398" s="21" t="s">
        <v>771</v>
      </c>
      <c r="C398" s="21" t="s">
        <v>651</v>
      </c>
      <c r="D398" s="22">
        <v>1</v>
      </c>
      <c r="E398" s="21" t="s">
        <v>867</v>
      </c>
      <c r="F398" s="21" t="s">
        <v>653</v>
      </c>
      <c r="G398" s="21" t="s">
        <v>654</v>
      </c>
      <c r="H398" s="21" t="s">
        <v>655</v>
      </c>
      <c r="I398" s="21" t="s">
        <v>656</v>
      </c>
      <c r="J398" s="21" t="s">
        <v>684</v>
      </c>
    </row>
    <row r="399" spans="1:10" ht="19.5" customHeight="1" x14ac:dyDescent="0.35">
      <c r="A399" s="21" t="s">
        <v>649</v>
      </c>
      <c r="B399" s="21" t="s">
        <v>771</v>
      </c>
      <c r="C399" s="21" t="s">
        <v>651</v>
      </c>
      <c r="D399" s="22">
        <v>1</v>
      </c>
      <c r="E399" s="21" t="s">
        <v>868</v>
      </c>
      <c r="F399" s="21" t="s">
        <v>653</v>
      </c>
      <c r="G399" s="21" t="s">
        <v>654</v>
      </c>
      <c r="H399" s="21" t="s">
        <v>655</v>
      </c>
      <c r="I399" s="21" t="s">
        <v>656</v>
      </c>
      <c r="J399" s="21" t="s">
        <v>869</v>
      </c>
    </row>
    <row r="400" spans="1:10" ht="19.5" customHeight="1" x14ac:dyDescent="0.35">
      <c r="A400" s="21" t="s">
        <v>649</v>
      </c>
      <c r="B400" s="21" t="s">
        <v>771</v>
      </c>
      <c r="C400" s="21" t="s">
        <v>651</v>
      </c>
      <c r="D400" s="22">
        <v>1</v>
      </c>
      <c r="E400" s="21" t="s">
        <v>870</v>
      </c>
      <c r="F400" s="21" t="s">
        <v>653</v>
      </c>
      <c r="G400" s="21" t="s">
        <v>654</v>
      </c>
      <c r="H400" s="21" t="s">
        <v>655</v>
      </c>
      <c r="I400" s="21" t="s">
        <v>656</v>
      </c>
      <c r="J400" s="21" t="s">
        <v>688</v>
      </c>
    </row>
    <row r="401" spans="1:10" ht="19.5" customHeight="1" x14ac:dyDescent="0.35">
      <c r="A401" s="21" t="s">
        <v>649</v>
      </c>
      <c r="B401" s="21" t="s">
        <v>771</v>
      </c>
      <c r="C401" s="21" t="s">
        <v>651</v>
      </c>
      <c r="D401" s="22">
        <v>1</v>
      </c>
      <c r="E401" s="21" t="s">
        <v>871</v>
      </c>
      <c r="F401" s="21" t="s">
        <v>653</v>
      </c>
      <c r="G401" s="21" t="s">
        <v>654</v>
      </c>
      <c r="H401" s="21" t="s">
        <v>655</v>
      </c>
      <c r="I401" s="21" t="s">
        <v>656</v>
      </c>
      <c r="J401" s="21" t="s">
        <v>684</v>
      </c>
    </row>
    <row r="402" spans="1:10" ht="19.5" customHeight="1" x14ac:dyDescent="0.35">
      <c r="A402" s="21" t="s">
        <v>649</v>
      </c>
      <c r="B402" s="21" t="s">
        <v>771</v>
      </c>
      <c r="C402" s="21" t="s">
        <v>651</v>
      </c>
      <c r="D402" s="22">
        <v>1</v>
      </c>
      <c r="E402" s="21" t="s">
        <v>872</v>
      </c>
      <c r="F402" s="21" t="s">
        <v>653</v>
      </c>
      <c r="G402" s="21" t="s">
        <v>654</v>
      </c>
      <c r="H402" s="21" t="s">
        <v>655</v>
      </c>
      <c r="I402" s="21" t="s">
        <v>656</v>
      </c>
      <c r="J402" s="21" t="s">
        <v>765</v>
      </c>
    </row>
    <row r="403" spans="1:10" ht="19.5" customHeight="1" x14ac:dyDescent="0.35">
      <c r="A403" s="21" t="s">
        <v>649</v>
      </c>
      <c r="B403" s="21" t="s">
        <v>771</v>
      </c>
      <c r="C403" s="21" t="s">
        <v>651</v>
      </c>
      <c r="D403" s="22">
        <v>1</v>
      </c>
      <c r="E403" s="21" t="s">
        <v>873</v>
      </c>
      <c r="F403" s="21" t="s">
        <v>653</v>
      </c>
      <c r="G403" s="21" t="s">
        <v>654</v>
      </c>
      <c r="H403" s="21" t="s">
        <v>655</v>
      </c>
      <c r="I403" s="21" t="s">
        <v>656</v>
      </c>
      <c r="J403" s="21" t="s">
        <v>874</v>
      </c>
    </row>
    <row r="404" spans="1:10" ht="19.5" customHeight="1" x14ac:dyDescent="0.35">
      <c r="A404" s="21" t="s">
        <v>649</v>
      </c>
      <c r="B404" s="21" t="s">
        <v>771</v>
      </c>
      <c r="C404" s="21" t="s">
        <v>651</v>
      </c>
      <c r="D404" s="22">
        <v>1</v>
      </c>
      <c r="E404" s="21" t="s">
        <v>875</v>
      </c>
      <c r="F404" s="21" t="s">
        <v>653</v>
      </c>
      <c r="G404" s="21" t="s">
        <v>654</v>
      </c>
      <c r="H404" s="21" t="s">
        <v>655</v>
      </c>
      <c r="I404" s="21" t="s">
        <v>656</v>
      </c>
      <c r="J404" s="21" t="s">
        <v>876</v>
      </c>
    </row>
    <row r="405" spans="1:10" ht="19.5" customHeight="1" x14ac:dyDescent="0.35">
      <c r="A405" s="21" t="s">
        <v>649</v>
      </c>
      <c r="B405" s="21" t="s">
        <v>660</v>
      </c>
      <c r="C405" s="21" t="s">
        <v>651</v>
      </c>
      <c r="D405" s="22">
        <v>1</v>
      </c>
      <c r="E405" s="21" t="s">
        <v>877</v>
      </c>
      <c r="F405" s="21" t="s">
        <v>653</v>
      </c>
      <c r="G405" s="21" t="s">
        <v>654</v>
      </c>
      <c r="H405" s="21" t="s">
        <v>655</v>
      </c>
      <c r="I405" s="21" t="s">
        <v>656</v>
      </c>
      <c r="J405" s="21" t="s">
        <v>878</v>
      </c>
    </row>
    <row r="406" spans="1:10" ht="19.5" customHeight="1" x14ac:dyDescent="0.35">
      <c r="A406" s="21" t="s">
        <v>649</v>
      </c>
      <c r="B406" s="21" t="s">
        <v>660</v>
      </c>
      <c r="C406" s="21" t="s">
        <v>651</v>
      </c>
      <c r="D406" s="22">
        <v>1</v>
      </c>
      <c r="E406" s="21" t="s">
        <v>879</v>
      </c>
      <c r="F406" s="21" t="s">
        <v>653</v>
      </c>
      <c r="G406" s="21" t="s">
        <v>654</v>
      </c>
      <c r="H406" s="21" t="s">
        <v>655</v>
      </c>
      <c r="I406" s="21" t="s">
        <v>656</v>
      </c>
      <c r="J406" s="21" t="s">
        <v>880</v>
      </c>
    </row>
    <row r="407" spans="1:10" ht="19.5" customHeight="1" x14ac:dyDescent="0.35">
      <c r="A407" s="21" t="s">
        <v>649</v>
      </c>
      <c r="B407" s="21" t="s">
        <v>771</v>
      </c>
      <c r="C407" s="21" t="s">
        <v>651</v>
      </c>
      <c r="D407" s="22">
        <v>1</v>
      </c>
      <c r="E407" s="21" t="s">
        <v>881</v>
      </c>
      <c r="F407" s="21" t="s">
        <v>653</v>
      </c>
      <c r="G407" s="21" t="s">
        <v>654</v>
      </c>
      <c r="H407" s="21" t="s">
        <v>655</v>
      </c>
      <c r="I407" s="21" t="s">
        <v>656</v>
      </c>
      <c r="J407" s="21" t="s">
        <v>882</v>
      </c>
    </row>
    <row r="408" spans="1:10" ht="19.5" customHeight="1" x14ac:dyDescent="0.35">
      <c r="A408" s="21" t="s">
        <v>649</v>
      </c>
      <c r="B408" s="21" t="s">
        <v>660</v>
      </c>
      <c r="C408" s="21" t="s">
        <v>651</v>
      </c>
      <c r="D408" s="22">
        <v>1</v>
      </c>
      <c r="E408" s="21" t="s">
        <v>883</v>
      </c>
      <c r="F408" s="21" t="s">
        <v>653</v>
      </c>
      <c r="G408" s="21" t="s">
        <v>654</v>
      </c>
      <c r="H408" s="21" t="s">
        <v>655</v>
      </c>
      <c r="I408" s="21" t="s">
        <v>656</v>
      </c>
      <c r="J408" s="21" t="s">
        <v>768</v>
      </c>
    </row>
    <row r="409" spans="1:10" ht="19.5" customHeight="1" x14ac:dyDescent="0.35">
      <c r="A409" s="21" t="s">
        <v>649</v>
      </c>
      <c r="B409" s="21" t="s">
        <v>660</v>
      </c>
      <c r="C409" s="21" t="s">
        <v>651</v>
      </c>
      <c r="D409" s="22">
        <v>1</v>
      </c>
      <c r="E409" s="21" t="s">
        <v>884</v>
      </c>
      <c r="F409" s="21" t="s">
        <v>653</v>
      </c>
      <c r="G409" s="21" t="s">
        <v>654</v>
      </c>
      <c r="H409" s="21" t="s">
        <v>655</v>
      </c>
      <c r="I409" s="21" t="s">
        <v>656</v>
      </c>
      <c r="J409" s="21" t="s">
        <v>885</v>
      </c>
    </row>
    <row r="410" spans="1:10" ht="19.5" customHeight="1" x14ac:dyDescent="0.35">
      <c r="A410" s="21" t="s">
        <v>649</v>
      </c>
      <c r="B410" s="21" t="s">
        <v>660</v>
      </c>
      <c r="C410" s="21" t="s">
        <v>651</v>
      </c>
      <c r="D410" s="22">
        <v>1</v>
      </c>
      <c r="E410" s="21" t="s">
        <v>886</v>
      </c>
      <c r="F410" s="21" t="s">
        <v>653</v>
      </c>
      <c r="G410" s="21" t="s">
        <v>654</v>
      </c>
      <c r="H410" s="21" t="s">
        <v>655</v>
      </c>
      <c r="I410" s="21" t="s">
        <v>656</v>
      </c>
      <c r="J410" s="21" t="s">
        <v>839</v>
      </c>
    </row>
    <row r="411" spans="1:10" ht="19.5" customHeight="1" x14ac:dyDescent="0.35">
      <c r="A411" s="21" t="s">
        <v>649</v>
      </c>
      <c r="B411" s="21" t="s">
        <v>660</v>
      </c>
      <c r="C411" s="21" t="s">
        <v>651</v>
      </c>
      <c r="D411" s="22">
        <v>1</v>
      </c>
      <c r="E411" s="21" t="s">
        <v>887</v>
      </c>
      <c r="F411" s="21" t="s">
        <v>653</v>
      </c>
      <c r="G411" s="21" t="s">
        <v>654</v>
      </c>
      <c r="H411" s="21" t="s">
        <v>655</v>
      </c>
      <c r="I411" s="21" t="s">
        <v>656</v>
      </c>
      <c r="J411" s="21" t="s">
        <v>882</v>
      </c>
    </row>
    <row r="412" spans="1:10" ht="19.5" customHeight="1" x14ac:dyDescent="0.35">
      <c r="A412" s="21" t="s">
        <v>649</v>
      </c>
      <c r="B412" s="21" t="s">
        <v>771</v>
      </c>
      <c r="C412" s="21" t="s">
        <v>651</v>
      </c>
      <c r="D412" s="22">
        <v>1</v>
      </c>
      <c r="E412" s="21" t="s">
        <v>888</v>
      </c>
      <c r="F412" s="21" t="s">
        <v>653</v>
      </c>
      <c r="G412" s="21" t="s">
        <v>654</v>
      </c>
      <c r="H412" s="21" t="s">
        <v>655</v>
      </c>
      <c r="I412" s="21" t="s">
        <v>656</v>
      </c>
      <c r="J412" s="21" t="s">
        <v>889</v>
      </c>
    </row>
    <row r="413" spans="1:10" ht="19.5" customHeight="1" x14ac:dyDescent="0.35">
      <c r="A413" s="21" t="s">
        <v>649</v>
      </c>
      <c r="B413" s="21" t="s">
        <v>771</v>
      </c>
      <c r="C413" s="21" t="s">
        <v>651</v>
      </c>
      <c r="D413" s="22">
        <v>1</v>
      </c>
      <c r="E413" s="21" t="s">
        <v>890</v>
      </c>
      <c r="F413" s="21" t="s">
        <v>653</v>
      </c>
      <c r="G413" s="21" t="s">
        <v>654</v>
      </c>
      <c r="H413" s="21" t="s">
        <v>655</v>
      </c>
      <c r="I413" s="21" t="s">
        <v>656</v>
      </c>
      <c r="J413" s="21" t="s">
        <v>891</v>
      </c>
    </row>
    <row r="414" spans="1:10" ht="19.5" customHeight="1" x14ac:dyDescent="0.35">
      <c r="A414" s="21" t="s">
        <v>649</v>
      </c>
      <c r="B414" s="21" t="s">
        <v>679</v>
      </c>
      <c r="C414" s="21" t="s">
        <v>651</v>
      </c>
      <c r="D414" s="22">
        <v>1</v>
      </c>
      <c r="E414" s="21" t="s">
        <v>892</v>
      </c>
      <c r="F414" s="21" t="s">
        <v>653</v>
      </c>
      <c r="G414" s="21" t="s">
        <v>654</v>
      </c>
      <c r="H414" s="21" t="s">
        <v>655</v>
      </c>
      <c r="I414" s="21" t="s">
        <v>656</v>
      </c>
      <c r="J414" s="21" t="s">
        <v>893</v>
      </c>
    </row>
    <row r="415" spans="1:10" ht="19.5" customHeight="1" x14ac:dyDescent="0.35">
      <c r="A415" s="21" t="s">
        <v>649</v>
      </c>
      <c r="B415" s="21" t="s">
        <v>679</v>
      </c>
      <c r="C415" s="21" t="s">
        <v>651</v>
      </c>
      <c r="D415" s="22">
        <v>1</v>
      </c>
      <c r="E415" s="21" t="s">
        <v>894</v>
      </c>
      <c r="F415" s="21" t="s">
        <v>653</v>
      </c>
      <c r="G415" s="21" t="s">
        <v>654</v>
      </c>
      <c r="H415" s="21" t="s">
        <v>655</v>
      </c>
      <c r="I415" s="21" t="s">
        <v>656</v>
      </c>
      <c r="J415" s="21" t="s">
        <v>813</v>
      </c>
    </row>
    <row r="416" spans="1:10" ht="19.5" customHeight="1" x14ac:dyDescent="0.35">
      <c r="A416" s="21" t="s">
        <v>649</v>
      </c>
      <c r="B416" s="21" t="s">
        <v>814</v>
      </c>
      <c r="C416" s="21" t="s">
        <v>651</v>
      </c>
      <c r="D416" s="22">
        <v>1</v>
      </c>
      <c r="E416" s="21" t="s">
        <v>895</v>
      </c>
      <c r="F416" s="21" t="s">
        <v>653</v>
      </c>
      <c r="G416" s="21" t="s">
        <v>654</v>
      </c>
      <c r="H416" s="21" t="s">
        <v>655</v>
      </c>
      <c r="I416" s="21" t="s">
        <v>656</v>
      </c>
      <c r="J416" s="21" t="s">
        <v>839</v>
      </c>
    </row>
    <row r="417" spans="1:10" ht="19.5" customHeight="1" x14ac:dyDescent="0.35">
      <c r="A417" s="25" t="s">
        <v>896</v>
      </c>
      <c r="B417" s="25" t="s">
        <v>897</v>
      </c>
      <c r="C417" s="25" t="s">
        <v>898</v>
      </c>
      <c r="D417" s="26">
        <v>1</v>
      </c>
      <c r="E417" s="25" t="s">
        <v>899</v>
      </c>
      <c r="F417" s="25" t="s">
        <v>900</v>
      </c>
      <c r="G417" s="25" t="s">
        <v>901</v>
      </c>
      <c r="H417" s="25" t="s">
        <v>902</v>
      </c>
      <c r="I417" s="25" t="s">
        <v>656</v>
      </c>
      <c r="J417" s="25" t="s">
        <v>903</v>
      </c>
    </row>
    <row r="418" spans="1:10" ht="19.5" customHeight="1" x14ac:dyDescent="0.35">
      <c r="A418" s="25" t="s">
        <v>896</v>
      </c>
      <c r="B418" s="25" t="s">
        <v>904</v>
      </c>
      <c r="C418" s="25" t="s">
        <v>905</v>
      </c>
      <c r="D418" s="26">
        <v>1</v>
      </c>
      <c r="E418" s="25" t="s">
        <v>906</v>
      </c>
      <c r="F418" s="25" t="s">
        <v>900</v>
      </c>
      <c r="G418" s="25" t="s">
        <v>901</v>
      </c>
      <c r="H418" s="25" t="s">
        <v>902</v>
      </c>
      <c r="I418" s="25" t="s">
        <v>656</v>
      </c>
      <c r="J418" s="25" t="s">
        <v>907</v>
      </c>
    </row>
    <row r="419" spans="1:10" ht="19.5" customHeight="1" x14ac:dyDescent="0.35">
      <c r="A419" s="25" t="s">
        <v>896</v>
      </c>
      <c r="B419" s="25" t="s">
        <v>908</v>
      </c>
      <c r="C419" s="25" t="s">
        <v>909</v>
      </c>
      <c r="D419" s="26">
        <v>1</v>
      </c>
      <c r="E419" s="25" t="s">
        <v>910</v>
      </c>
      <c r="F419" s="25" t="s">
        <v>900</v>
      </c>
      <c r="G419" s="25" t="s">
        <v>901</v>
      </c>
      <c r="H419" s="25" t="s">
        <v>902</v>
      </c>
      <c r="I419" s="25" t="s">
        <v>656</v>
      </c>
      <c r="J419" s="25" t="s">
        <v>911</v>
      </c>
    </row>
    <row r="420" spans="1:10" ht="19.5" customHeight="1" x14ac:dyDescent="0.35">
      <c r="A420" s="25" t="s">
        <v>896</v>
      </c>
      <c r="B420" s="25" t="s">
        <v>912</v>
      </c>
      <c r="C420" s="25" t="s">
        <v>913</v>
      </c>
      <c r="D420" s="26">
        <v>1</v>
      </c>
      <c r="E420" s="25" t="s">
        <v>914</v>
      </c>
      <c r="F420" s="25" t="s">
        <v>900</v>
      </c>
      <c r="G420" s="25" t="s">
        <v>901</v>
      </c>
      <c r="H420" s="25" t="s">
        <v>902</v>
      </c>
      <c r="I420" s="25" t="s">
        <v>656</v>
      </c>
      <c r="J420" s="25" t="s">
        <v>915</v>
      </c>
    </row>
    <row r="421" spans="1:10" ht="19.5" customHeight="1" x14ac:dyDescent="0.35">
      <c r="A421" s="25" t="s">
        <v>896</v>
      </c>
      <c r="B421" s="25" t="s">
        <v>916</v>
      </c>
      <c r="C421" s="25" t="s">
        <v>917</v>
      </c>
      <c r="D421" s="26">
        <v>1</v>
      </c>
      <c r="E421" s="25" t="s">
        <v>918</v>
      </c>
      <c r="F421" s="25" t="s">
        <v>900</v>
      </c>
      <c r="G421" s="25" t="s">
        <v>901</v>
      </c>
      <c r="H421" s="25" t="s">
        <v>902</v>
      </c>
      <c r="I421" s="25" t="s">
        <v>656</v>
      </c>
      <c r="J421" s="25" t="s">
        <v>919</v>
      </c>
    </row>
    <row r="422" spans="1:10" ht="19.5" customHeight="1" x14ac:dyDescent="0.35">
      <c r="A422" s="25" t="s">
        <v>896</v>
      </c>
      <c r="B422" s="25" t="s">
        <v>920</v>
      </c>
      <c r="C422" s="25" t="s">
        <v>921</v>
      </c>
      <c r="D422" s="26">
        <v>1</v>
      </c>
      <c r="E422" s="25" t="s">
        <v>922</v>
      </c>
      <c r="F422" s="25" t="s">
        <v>900</v>
      </c>
      <c r="G422" s="25" t="s">
        <v>901</v>
      </c>
      <c r="H422" s="25" t="s">
        <v>902</v>
      </c>
      <c r="I422" s="25" t="s">
        <v>656</v>
      </c>
      <c r="J422" s="25" t="s">
        <v>923</v>
      </c>
    </row>
    <row r="423" spans="1:10" ht="19.5" customHeight="1" x14ac:dyDescent="0.35">
      <c r="A423" s="25" t="s">
        <v>896</v>
      </c>
      <c r="B423" s="25" t="s">
        <v>924</v>
      </c>
      <c r="C423" s="25" t="s">
        <v>925</v>
      </c>
      <c r="D423" s="26">
        <v>1</v>
      </c>
      <c r="E423" s="25" t="s">
        <v>926</v>
      </c>
      <c r="F423" s="25" t="s">
        <v>900</v>
      </c>
      <c r="G423" s="25" t="s">
        <v>901</v>
      </c>
      <c r="H423" s="25" t="s">
        <v>902</v>
      </c>
      <c r="I423" s="25" t="s">
        <v>656</v>
      </c>
      <c r="J423" s="25" t="s">
        <v>927</v>
      </c>
    </row>
    <row r="424" spans="1:10" ht="19.5" customHeight="1" x14ac:dyDescent="0.35">
      <c r="A424" s="25" t="s">
        <v>896</v>
      </c>
      <c r="B424" s="25" t="s">
        <v>928</v>
      </c>
      <c r="C424" s="25" t="s">
        <v>929</v>
      </c>
      <c r="D424" s="26">
        <v>1</v>
      </c>
      <c r="E424" s="25" t="s">
        <v>930</v>
      </c>
      <c r="F424" s="25" t="s">
        <v>900</v>
      </c>
      <c r="G424" s="25" t="s">
        <v>901</v>
      </c>
      <c r="H424" s="25" t="s">
        <v>902</v>
      </c>
      <c r="I424" s="25" t="s">
        <v>656</v>
      </c>
      <c r="J424" s="25" t="s">
        <v>931</v>
      </c>
    </row>
    <row r="425" spans="1:10" ht="19.5" customHeight="1" x14ac:dyDescent="0.35">
      <c r="A425" s="25" t="s">
        <v>896</v>
      </c>
      <c r="B425" s="25" t="s">
        <v>932</v>
      </c>
      <c r="C425" s="25" t="s">
        <v>921</v>
      </c>
      <c r="D425" s="26">
        <v>1</v>
      </c>
      <c r="E425" s="25" t="s">
        <v>933</v>
      </c>
      <c r="F425" s="25" t="s">
        <v>900</v>
      </c>
      <c r="G425" s="25" t="s">
        <v>901</v>
      </c>
      <c r="H425" s="25" t="s">
        <v>902</v>
      </c>
      <c r="I425" s="25" t="s">
        <v>656</v>
      </c>
      <c r="J425" s="25" t="s">
        <v>934</v>
      </c>
    </row>
    <row r="426" spans="1:10" ht="19.5" customHeight="1" x14ac:dyDescent="0.35">
      <c r="A426" s="25" t="s">
        <v>896</v>
      </c>
      <c r="B426" s="25" t="s">
        <v>935</v>
      </c>
      <c r="C426" s="25" t="s">
        <v>921</v>
      </c>
      <c r="D426" s="26">
        <v>1</v>
      </c>
      <c r="E426" s="25" t="s">
        <v>936</v>
      </c>
      <c r="F426" s="25" t="s">
        <v>900</v>
      </c>
      <c r="G426" s="25" t="s">
        <v>901</v>
      </c>
      <c r="H426" s="25" t="s">
        <v>902</v>
      </c>
      <c r="I426" s="25" t="s">
        <v>656</v>
      </c>
      <c r="J426" s="25" t="s">
        <v>937</v>
      </c>
    </row>
    <row r="427" spans="1:10" ht="19.5" customHeight="1" x14ac:dyDescent="0.35">
      <c r="A427" s="25" t="s">
        <v>896</v>
      </c>
      <c r="B427" s="25" t="s">
        <v>938</v>
      </c>
      <c r="C427" s="25" t="s">
        <v>925</v>
      </c>
      <c r="D427" s="26">
        <v>1</v>
      </c>
      <c r="E427" s="25" t="s">
        <v>939</v>
      </c>
      <c r="F427" s="25" t="s">
        <v>900</v>
      </c>
      <c r="G427" s="25" t="s">
        <v>901</v>
      </c>
      <c r="H427" s="25" t="s">
        <v>902</v>
      </c>
      <c r="I427" s="25" t="s">
        <v>656</v>
      </c>
      <c r="J427" s="25" t="s">
        <v>940</v>
      </c>
    </row>
    <row r="428" spans="1:10" ht="19.5" customHeight="1" x14ac:dyDescent="0.35">
      <c r="A428" s="25" t="s">
        <v>896</v>
      </c>
      <c r="B428" s="25" t="s">
        <v>941</v>
      </c>
      <c r="C428" s="25" t="s">
        <v>942</v>
      </c>
      <c r="D428" s="26">
        <v>1</v>
      </c>
      <c r="E428" s="25" t="s">
        <v>943</v>
      </c>
      <c r="F428" s="25" t="s">
        <v>900</v>
      </c>
      <c r="G428" s="25" t="s">
        <v>901</v>
      </c>
      <c r="H428" s="25" t="s">
        <v>902</v>
      </c>
      <c r="I428" s="25" t="s">
        <v>656</v>
      </c>
      <c r="J428" s="25" t="s">
        <v>944</v>
      </c>
    </row>
    <row r="429" spans="1:10" ht="19.5" customHeight="1" x14ac:dyDescent="0.35">
      <c r="A429" s="25" t="s">
        <v>896</v>
      </c>
      <c r="B429" s="25" t="s">
        <v>945</v>
      </c>
      <c r="C429" s="25" t="s">
        <v>946</v>
      </c>
      <c r="D429" s="26">
        <v>1</v>
      </c>
      <c r="E429" s="25" t="s">
        <v>947</v>
      </c>
      <c r="F429" s="25" t="s">
        <v>900</v>
      </c>
      <c r="G429" s="25" t="s">
        <v>901</v>
      </c>
      <c r="H429" s="25" t="s">
        <v>902</v>
      </c>
      <c r="I429" s="25" t="s">
        <v>656</v>
      </c>
      <c r="J429" s="25" t="s">
        <v>948</v>
      </c>
    </row>
    <row r="430" spans="1:10" ht="19.5" customHeight="1" x14ac:dyDescent="0.35">
      <c r="A430" s="25" t="s">
        <v>896</v>
      </c>
      <c r="B430" s="25" t="s">
        <v>949</v>
      </c>
      <c r="C430" s="25" t="s">
        <v>925</v>
      </c>
      <c r="D430" s="26">
        <v>1</v>
      </c>
      <c r="E430" s="25" t="s">
        <v>950</v>
      </c>
      <c r="F430" s="25" t="s">
        <v>900</v>
      </c>
      <c r="G430" s="25" t="s">
        <v>901</v>
      </c>
      <c r="H430" s="25" t="s">
        <v>902</v>
      </c>
      <c r="I430" s="25" t="s">
        <v>656</v>
      </c>
      <c r="J430" s="25" t="s">
        <v>951</v>
      </c>
    </row>
    <row r="431" spans="1:10" ht="19.5" customHeight="1" x14ac:dyDescent="0.35">
      <c r="A431" s="25" t="s">
        <v>896</v>
      </c>
      <c r="B431" s="25" t="s">
        <v>952</v>
      </c>
      <c r="C431" s="25" t="s">
        <v>913</v>
      </c>
      <c r="D431" s="26">
        <v>1</v>
      </c>
      <c r="E431" s="25" t="s">
        <v>953</v>
      </c>
      <c r="F431" s="25" t="s">
        <v>900</v>
      </c>
      <c r="G431" s="25" t="s">
        <v>901</v>
      </c>
      <c r="H431" s="25" t="s">
        <v>902</v>
      </c>
      <c r="I431" s="25" t="s">
        <v>656</v>
      </c>
      <c r="J431" s="25" t="s">
        <v>954</v>
      </c>
    </row>
    <row r="432" spans="1:10" ht="19.5" customHeight="1" x14ac:dyDescent="0.35">
      <c r="A432" s="25" t="s">
        <v>896</v>
      </c>
      <c r="B432" s="25" t="s">
        <v>955</v>
      </c>
      <c r="C432" s="25" t="s">
        <v>921</v>
      </c>
      <c r="D432" s="26">
        <v>1</v>
      </c>
      <c r="E432" s="25" t="s">
        <v>956</v>
      </c>
      <c r="F432" s="25" t="s">
        <v>900</v>
      </c>
      <c r="G432" s="25" t="s">
        <v>901</v>
      </c>
      <c r="H432" s="25" t="s">
        <v>902</v>
      </c>
      <c r="I432" s="25" t="s">
        <v>656</v>
      </c>
      <c r="J432" s="25" t="s">
        <v>957</v>
      </c>
    </row>
    <row r="433" spans="1:10" ht="19.5" customHeight="1" x14ac:dyDescent="0.35">
      <c r="A433" s="25" t="s">
        <v>896</v>
      </c>
      <c r="B433" s="25" t="s">
        <v>958</v>
      </c>
      <c r="C433" s="25" t="s">
        <v>959</v>
      </c>
      <c r="D433" s="26">
        <v>1</v>
      </c>
      <c r="E433" s="25" t="s">
        <v>960</v>
      </c>
      <c r="F433" s="25" t="s">
        <v>900</v>
      </c>
      <c r="G433" s="25" t="s">
        <v>901</v>
      </c>
      <c r="H433" s="25" t="s">
        <v>902</v>
      </c>
      <c r="I433" s="25" t="s">
        <v>656</v>
      </c>
      <c r="J433" s="25" t="s">
        <v>961</v>
      </c>
    </row>
    <row r="434" spans="1:10" ht="19.5" customHeight="1" x14ac:dyDescent="0.35">
      <c r="A434" s="25" t="s">
        <v>896</v>
      </c>
      <c r="B434" s="25" t="s">
        <v>962</v>
      </c>
      <c r="C434" s="25" t="s">
        <v>963</v>
      </c>
      <c r="D434" s="26">
        <v>1</v>
      </c>
      <c r="E434" s="25" t="s">
        <v>964</v>
      </c>
      <c r="F434" s="25" t="s">
        <v>900</v>
      </c>
      <c r="G434" s="25" t="s">
        <v>901</v>
      </c>
      <c r="H434" s="25" t="s">
        <v>902</v>
      </c>
      <c r="I434" s="25" t="s">
        <v>656</v>
      </c>
      <c r="J434" s="25" t="s">
        <v>965</v>
      </c>
    </row>
    <row r="435" spans="1:10" ht="19.5" customHeight="1" x14ac:dyDescent="0.35">
      <c r="A435" s="25" t="s">
        <v>896</v>
      </c>
      <c r="B435" s="25" t="s">
        <v>966</v>
      </c>
      <c r="C435" s="25" t="s">
        <v>921</v>
      </c>
      <c r="D435" s="26">
        <v>1</v>
      </c>
      <c r="E435" s="25" t="s">
        <v>967</v>
      </c>
      <c r="F435" s="25" t="s">
        <v>900</v>
      </c>
      <c r="G435" s="25" t="s">
        <v>901</v>
      </c>
      <c r="H435" s="25" t="s">
        <v>902</v>
      </c>
      <c r="I435" s="25" t="s">
        <v>656</v>
      </c>
      <c r="J435" s="25" t="s">
        <v>968</v>
      </c>
    </row>
    <row r="436" spans="1:10" ht="19.5" customHeight="1" x14ac:dyDescent="0.35">
      <c r="A436" s="25" t="s">
        <v>896</v>
      </c>
      <c r="B436" s="25" t="s">
        <v>969</v>
      </c>
      <c r="C436" s="25" t="s">
        <v>946</v>
      </c>
      <c r="D436" s="26">
        <v>1</v>
      </c>
      <c r="E436" s="25" t="s">
        <v>970</v>
      </c>
      <c r="F436" s="25" t="s">
        <v>900</v>
      </c>
      <c r="G436" s="25" t="s">
        <v>901</v>
      </c>
      <c r="H436" s="25" t="s">
        <v>902</v>
      </c>
      <c r="I436" s="25" t="s">
        <v>656</v>
      </c>
      <c r="J436" s="25" t="s">
        <v>971</v>
      </c>
    </row>
    <row r="437" spans="1:10" ht="19.5" customHeight="1" x14ac:dyDescent="0.35">
      <c r="A437" s="25" t="s">
        <v>896</v>
      </c>
      <c r="B437" s="25" t="s">
        <v>972</v>
      </c>
      <c r="C437" s="25" t="s">
        <v>973</v>
      </c>
      <c r="D437" s="26">
        <v>1</v>
      </c>
      <c r="E437" s="25" t="s">
        <v>974</v>
      </c>
      <c r="F437" s="25" t="s">
        <v>900</v>
      </c>
      <c r="G437" s="25" t="s">
        <v>901</v>
      </c>
      <c r="H437" s="25" t="s">
        <v>902</v>
      </c>
      <c r="I437" s="25" t="s">
        <v>656</v>
      </c>
      <c r="J437" s="25" t="s">
        <v>975</v>
      </c>
    </row>
    <row r="438" spans="1:10" ht="19.5" customHeight="1" x14ac:dyDescent="0.35">
      <c r="A438" s="25" t="s">
        <v>896</v>
      </c>
      <c r="B438" s="25" t="s">
        <v>976</v>
      </c>
      <c r="C438" s="25" t="s">
        <v>959</v>
      </c>
      <c r="D438" s="26">
        <v>1</v>
      </c>
      <c r="E438" s="25" t="s">
        <v>977</v>
      </c>
      <c r="F438" s="25" t="s">
        <v>900</v>
      </c>
      <c r="G438" s="25" t="s">
        <v>901</v>
      </c>
      <c r="H438" s="25" t="s">
        <v>902</v>
      </c>
      <c r="I438" s="25" t="s">
        <v>656</v>
      </c>
      <c r="J438" s="25" t="s">
        <v>978</v>
      </c>
    </row>
    <row r="439" spans="1:10" ht="19.5" customHeight="1" x14ac:dyDescent="0.35">
      <c r="A439" s="25" t="s">
        <v>896</v>
      </c>
      <c r="B439" s="25" t="s">
        <v>979</v>
      </c>
      <c r="C439" s="25" t="s">
        <v>925</v>
      </c>
      <c r="D439" s="26">
        <v>1</v>
      </c>
      <c r="E439" s="25" t="s">
        <v>980</v>
      </c>
      <c r="F439" s="25" t="s">
        <v>900</v>
      </c>
      <c r="G439" s="25" t="s">
        <v>901</v>
      </c>
      <c r="H439" s="25" t="s">
        <v>902</v>
      </c>
      <c r="I439" s="25" t="s">
        <v>656</v>
      </c>
      <c r="J439" s="25" t="s">
        <v>981</v>
      </c>
    </row>
    <row r="440" spans="1:10" ht="19.5" customHeight="1" x14ac:dyDescent="0.35">
      <c r="A440" s="25" t="s">
        <v>896</v>
      </c>
      <c r="B440" s="25" t="s">
        <v>982</v>
      </c>
      <c r="C440" s="25" t="s">
        <v>909</v>
      </c>
      <c r="D440" s="26">
        <v>1</v>
      </c>
      <c r="E440" s="25" t="s">
        <v>983</v>
      </c>
      <c r="F440" s="25" t="s">
        <v>900</v>
      </c>
      <c r="G440" s="25" t="s">
        <v>901</v>
      </c>
      <c r="H440" s="25" t="s">
        <v>902</v>
      </c>
      <c r="I440" s="25" t="s">
        <v>656</v>
      </c>
      <c r="J440" s="25" t="s">
        <v>984</v>
      </c>
    </row>
    <row r="441" spans="1:10" ht="19.5" customHeight="1" x14ac:dyDescent="0.35">
      <c r="A441" s="25" t="s">
        <v>896</v>
      </c>
      <c r="B441" s="25" t="s">
        <v>985</v>
      </c>
      <c r="C441" s="25" t="s">
        <v>925</v>
      </c>
      <c r="D441" s="26">
        <v>1</v>
      </c>
      <c r="E441" s="25" t="s">
        <v>986</v>
      </c>
      <c r="F441" s="25" t="s">
        <v>900</v>
      </c>
      <c r="G441" s="25" t="s">
        <v>901</v>
      </c>
      <c r="H441" s="25" t="s">
        <v>902</v>
      </c>
      <c r="I441" s="25" t="s">
        <v>656</v>
      </c>
      <c r="J441" s="25" t="s">
        <v>987</v>
      </c>
    </row>
    <row r="442" spans="1:10" ht="19.5" customHeight="1" x14ac:dyDescent="0.35">
      <c r="A442" s="25" t="s">
        <v>896</v>
      </c>
      <c r="B442" s="25" t="s">
        <v>988</v>
      </c>
      <c r="C442" s="25" t="s">
        <v>989</v>
      </c>
      <c r="D442" s="26">
        <v>1</v>
      </c>
      <c r="E442" s="25" t="s">
        <v>990</v>
      </c>
      <c r="F442" s="25" t="s">
        <v>900</v>
      </c>
      <c r="G442" s="25" t="s">
        <v>901</v>
      </c>
      <c r="H442" s="25" t="s">
        <v>902</v>
      </c>
      <c r="I442" s="25" t="s">
        <v>656</v>
      </c>
      <c r="J442" s="25" t="s">
        <v>991</v>
      </c>
    </row>
    <row r="443" spans="1:10" ht="19.5" customHeight="1" x14ac:dyDescent="0.35">
      <c r="A443" s="25" t="s">
        <v>896</v>
      </c>
      <c r="B443" s="25" t="s">
        <v>992</v>
      </c>
      <c r="C443" s="25" t="s">
        <v>909</v>
      </c>
      <c r="D443" s="26">
        <v>1</v>
      </c>
      <c r="E443" s="25" t="s">
        <v>993</v>
      </c>
      <c r="F443" s="25" t="s">
        <v>900</v>
      </c>
      <c r="G443" s="25" t="s">
        <v>901</v>
      </c>
      <c r="H443" s="25" t="s">
        <v>902</v>
      </c>
      <c r="I443" s="25" t="s">
        <v>656</v>
      </c>
      <c r="J443" s="25" t="s">
        <v>994</v>
      </c>
    </row>
    <row r="444" spans="1:10" ht="19.5" customHeight="1" x14ac:dyDescent="0.35">
      <c r="A444" s="25" t="s">
        <v>896</v>
      </c>
      <c r="B444" s="25" t="s">
        <v>995</v>
      </c>
      <c r="C444" s="25" t="s">
        <v>996</v>
      </c>
      <c r="D444" s="26">
        <v>1</v>
      </c>
      <c r="E444" s="25" t="s">
        <v>997</v>
      </c>
      <c r="F444" s="25" t="s">
        <v>900</v>
      </c>
      <c r="G444" s="25" t="s">
        <v>901</v>
      </c>
      <c r="H444" s="25" t="s">
        <v>902</v>
      </c>
      <c r="I444" s="25" t="s">
        <v>656</v>
      </c>
      <c r="J444" s="25" t="s">
        <v>998</v>
      </c>
    </row>
    <row r="445" spans="1:10" ht="19.5" customHeight="1" x14ac:dyDescent="0.35">
      <c r="A445" s="25" t="s">
        <v>896</v>
      </c>
      <c r="B445" s="25" t="s">
        <v>999</v>
      </c>
      <c r="C445" s="25" t="s">
        <v>946</v>
      </c>
      <c r="D445" s="26">
        <v>1</v>
      </c>
      <c r="E445" s="25" t="s">
        <v>1000</v>
      </c>
      <c r="F445" s="25" t="s">
        <v>900</v>
      </c>
      <c r="G445" s="25" t="s">
        <v>901</v>
      </c>
      <c r="H445" s="25" t="s">
        <v>902</v>
      </c>
      <c r="I445" s="25" t="s">
        <v>656</v>
      </c>
      <c r="J445" s="25" t="s">
        <v>1001</v>
      </c>
    </row>
    <row r="446" spans="1:10" ht="19.5" customHeight="1" x14ac:dyDescent="0.35">
      <c r="A446" s="25" t="s">
        <v>896</v>
      </c>
      <c r="B446" s="25" t="s">
        <v>1002</v>
      </c>
      <c r="C446" s="25" t="s">
        <v>989</v>
      </c>
      <c r="D446" s="26">
        <v>1</v>
      </c>
      <c r="E446" s="25" t="s">
        <v>1003</v>
      </c>
      <c r="F446" s="25" t="s">
        <v>900</v>
      </c>
      <c r="G446" s="25" t="s">
        <v>901</v>
      </c>
      <c r="H446" s="25" t="s">
        <v>902</v>
      </c>
      <c r="I446" s="25" t="s">
        <v>656</v>
      </c>
      <c r="J446" s="25" t="s">
        <v>1004</v>
      </c>
    </row>
    <row r="447" spans="1:10" ht="19.5" customHeight="1" x14ac:dyDescent="0.35">
      <c r="A447" s="25" t="s">
        <v>896</v>
      </c>
      <c r="B447" s="25" t="s">
        <v>1005</v>
      </c>
      <c r="C447" s="25" t="s">
        <v>921</v>
      </c>
      <c r="D447" s="26">
        <v>1</v>
      </c>
      <c r="E447" s="25" t="s">
        <v>1006</v>
      </c>
      <c r="F447" s="25" t="s">
        <v>900</v>
      </c>
      <c r="G447" s="25" t="s">
        <v>901</v>
      </c>
      <c r="H447" s="25" t="s">
        <v>902</v>
      </c>
      <c r="I447" s="25" t="s">
        <v>656</v>
      </c>
      <c r="J447" s="25" t="s">
        <v>1007</v>
      </c>
    </row>
    <row r="448" spans="1:10" ht="19.5" customHeight="1" x14ac:dyDescent="0.35">
      <c r="A448" s="25" t="s">
        <v>896</v>
      </c>
      <c r="B448" s="25" t="s">
        <v>1008</v>
      </c>
      <c r="C448" s="25" t="s">
        <v>1009</v>
      </c>
      <c r="D448" s="26">
        <v>1</v>
      </c>
      <c r="E448" s="25" t="s">
        <v>1010</v>
      </c>
      <c r="F448" s="25" t="s">
        <v>900</v>
      </c>
      <c r="G448" s="25" t="s">
        <v>901</v>
      </c>
      <c r="H448" s="25" t="s">
        <v>902</v>
      </c>
      <c r="I448" s="25" t="s">
        <v>656</v>
      </c>
      <c r="J448" s="25" t="s">
        <v>1011</v>
      </c>
    </row>
    <row r="449" spans="1:10" ht="19.5" customHeight="1" x14ac:dyDescent="0.35">
      <c r="A449" s="25" t="s">
        <v>896</v>
      </c>
      <c r="B449" s="25" t="s">
        <v>1012</v>
      </c>
      <c r="C449" s="25" t="s">
        <v>921</v>
      </c>
      <c r="D449" s="26">
        <v>1</v>
      </c>
      <c r="E449" s="25" t="s">
        <v>1013</v>
      </c>
      <c r="F449" s="25" t="s">
        <v>900</v>
      </c>
      <c r="G449" s="25" t="s">
        <v>901</v>
      </c>
      <c r="H449" s="25" t="s">
        <v>902</v>
      </c>
      <c r="I449" s="25" t="s">
        <v>656</v>
      </c>
      <c r="J449" s="25" t="s">
        <v>1014</v>
      </c>
    </row>
    <row r="450" spans="1:10" ht="19.5" customHeight="1" x14ac:dyDescent="0.35">
      <c r="A450" s="25" t="s">
        <v>896</v>
      </c>
      <c r="B450" s="25" t="s">
        <v>1015</v>
      </c>
      <c r="C450" s="25" t="s">
        <v>996</v>
      </c>
      <c r="D450" s="26">
        <v>1</v>
      </c>
      <c r="E450" s="25" t="s">
        <v>1016</v>
      </c>
      <c r="F450" s="25" t="s">
        <v>900</v>
      </c>
      <c r="G450" s="25" t="s">
        <v>901</v>
      </c>
      <c r="H450" s="25" t="s">
        <v>902</v>
      </c>
      <c r="I450" s="25" t="s">
        <v>656</v>
      </c>
      <c r="J450" s="25" t="s">
        <v>1017</v>
      </c>
    </row>
    <row r="451" spans="1:10" ht="19.5" customHeight="1" x14ac:dyDescent="0.35">
      <c r="A451" s="25" t="s">
        <v>896</v>
      </c>
      <c r="B451" s="25" t="s">
        <v>1018</v>
      </c>
      <c r="C451" s="25" t="s">
        <v>963</v>
      </c>
      <c r="D451" s="26">
        <v>1</v>
      </c>
      <c r="E451" s="25" t="s">
        <v>1019</v>
      </c>
      <c r="F451" s="25" t="s">
        <v>900</v>
      </c>
      <c r="G451" s="25" t="s">
        <v>901</v>
      </c>
      <c r="H451" s="25" t="s">
        <v>902</v>
      </c>
      <c r="I451" s="25" t="s">
        <v>656</v>
      </c>
      <c r="J451" s="25" t="s">
        <v>1020</v>
      </c>
    </row>
    <row r="452" spans="1:10" ht="19.5" customHeight="1" x14ac:dyDescent="0.35">
      <c r="A452" s="25" t="s">
        <v>896</v>
      </c>
      <c r="B452" s="25" t="s">
        <v>1021</v>
      </c>
      <c r="C452" s="25" t="s">
        <v>925</v>
      </c>
      <c r="D452" s="26">
        <v>1</v>
      </c>
      <c r="E452" s="25" t="s">
        <v>1022</v>
      </c>
      <c r="F452" s="25" t="s">
        <v>900</v>
      </c>
      <c r="G452" s="25" t="s">
        <v>901</v>
      </c>
      <c r="H452" s="25" t="s">
        <v>902</v>
      </c>
      <c r="I452" s="25" t="s">
        <v>656</v>
      </c>
      <c r="J452" s="25" t="s">
        <v>1023</v>
      </c>
    </row>
    <row r="453" spans="1:10" ht="19.5" customHeight="1" x14ac:dyDescent="0.35">
      <c r="A453" s="27" t="s">
        <v>896</v>
      </c>
      <c r="B453" s="27" t="s">
        <v>1024</v>
      </c>
      <c r="C453" s="27" t="s">
        <v>925</v>
      </c>
      <c r="D453" s="28">
        <v>1</v>
      </c>
      <c r="E453" s="27" t="s">
        <v>1025</v>
      </c>
      <c r="F453" s="27" t="s">
        <v>1026</v>
      </c>
      <c r="G453" s="27" t="s">
        <v>901</v>
      </c>
      <c r="H453" s="27" t="s">
        <v>902</v>
      </c>
      <c r="I453" s="27" t="s">
        <v>656</v>
      </c>
      <c r="J453" s="27" t="s">
        <v>1027</v>
      </c>
    </row>
    <row r="454" spans="1:10" ht="19.5" customHeight="1" x14ac:dyDescent="0.35">
      <c r="A454" s="27" t="s">
        <v>896</v>
      </c>
      <c r="B454" s="27" t="s">
        <v>1028</v>
      </c>
      <c r="C454" s="27" t="s">
        <v>989</v>
      </c>
      <c r="D454" s="28">
        <v>1</v>
      </c>
      <c r="E454" s="27" t="s">
        <v>1029</v>
      </c>
      <c r="F454" s="27" t="s">
        <v>1026</v>
      </c>
      <c r="G454" s="27" t="s">
        <v>901</v>
      </c>
      <c r="H454" s="27" t="s">
        <v>902</v>
      </c>
      <c r="I454" s="27" t="s">
        <v>656</v>
      </c>
      <c r="J454" s="27" t="s">
        <v>1030</v>
      </c>
    </row>
    <row r="455" spans="1:10" ht="19.5" customHeight="1" x14ac:dyDescent="0.35">
      <c r="A455" s="25" t="s">
        <v>896</v>
      </c>
      <c r="B455" s="25" t="s">
        <v>1031</v>
      </c>
      <c r="C455" s="25" t="s">
        <v>996</v>
      </c>
      <c r="D455" s="26">
        <v>1</v>
      </c>
      <c r="E455" s="25" t="s">
        <v>1032</v>
      </c>
      <c r="F455" s="25" t="s">
        <v>900</v>
      </c>
      <c r="G455" s="25" t="s">
        <v>901</v>
      </c>
      <c r="H455" s="25" t="s">
        <v>902</v>
      </c>
      <c r="I455" s="25" t="s">
        <v>656</v>
      </c>
      <c r="J455" s="25" t="s">
        <v>1033</v>
      </c>
    </row>
    <row r="456" spans="1:10" ht="19.5" customHeight="1" x14ac:dyDescent="0.35">
      <c r="A456" s="25" t="s">
        <v>896</v>
      </c>
      <c r="B456" s="25" t="s">
        <v>1034</v>
      </c>
      <c r="C456" s="25" t="s">
        <v>905</v>
      </c>
      <c r="D456" s="26">
        <v>1</v>
      </c>
      <c r="E456" s="25" t="s">
        <v>1035</v>
      </c>
      <c r="F456" s="25" t="s">
        <v>900</v>
      </c>
      <c r="G456" s="25" t="s">
        <v>901</v>
      </c>
      <c r="H456" s="25" t="s">
        <v>902</v>
      </c>
      <c r="I456" s="25" t="s">
        <v>656</v>
      </c>
      <c r="J456" s="25" t="s">
        <v>1036</v>
      </c>
    </row>
    <row r="457" spans="1:10" ht="19.5" customHeight="1" x14ac:dyDescent="0.35">
      <c r="A457" s="25" t="s">
        <v>896</v>
      </c>
      <c r="B457" s="25" t="s">
        <v>1037</v>
      </c>
      <c r="C457" s="25" t="s">
        <v>905</v>
      </c>
      <c r="D457" s="26">
        <v>1</v>
      </c>
      <c r="E457" s="25" t="s">
        <v>1038</v>
      </c>
      <c r="F457" s="25" t="s">
        <v>900</v>
      </c>
      <c r="G457" s="25" t="s">
        <v>901</v>
      </c>
      <c r="H457" s="25" t="s">
        <v>902</v>
      </c>
      <c r="I457" s="25" t="s">
        <v>656</v>
      </c>
      <c r="J457" s="25" t="s">
        <v>1039</v>
      </c>
    </row>
    <row r="458" spans="1:10" ht="19.5" customHeight="1" x14ac:dyDescent="0.35">
      <c r="A458" s="25" t="s">
        <v>896</v>
      </c>
      <c r="B458" s="25" t="s">
        <v>1040</v>
      </c>
      <c r="C458" s="25" t="s">
        <v>925</v>
      </c>
      <c r="D458" s="26">
        <v>1</v>
      </c>
      <c r="E458" s="25" t="s">
        <v>1041</v>
      </c>
      <c r="F458" s="25" t="s">
        <v>900</v>
      </c>
      <c r="G458" s="25" t="s">
        <v>901</v>
      </c>
      <c r="H458" s="25" t="s">
        <v>902</v>
      </c>
      <c r="I458" s="25" t="s">
        <v>656</v>
      </c>
      <c r="J458" s="25" t="s">
        <v>1042</v>
      </c>
    </row>
    <row r="459" spans="1:10" ht="19.5" customHeight="1" x14ac:dyDescent="0.35">
      <c r="A459" s="25" t="s">
        <v>896</v>
      </c>
      <c r="B459" s="25" t="s">
        <v>1043</v>
      </c>
      <c r="C459" s="25" t="s">
        <v>925</v>
      </c>
      <c r="D459" s="26">
        <v>1</v>
      </c>
      <c r="E459" s="25" t="s">
        <v>1044</v>
      </c>
      <c r="F459" s="25" t="s">
        <v>900</v>
      </c>
      <c r="G459" s="25" t="s">
        <v>901</v>
      </c>
      <c r="H459" s="25" t="s">
        <v>902</v>
      </c>
      <c r="I459" s="25" t="s">
        <v>656</v>
      </c>
      <c r="J459" s="25" t="s">
        <v>1045</v>
      </c>
    </row>
    <row r="460" spans="1:10" ht="19.5" customHeight="1" x14ac:dyDescent="0.35">
      <c r="A460" s="25" t="s">
        <v>896</v>
      </c>
      <c r="B460" s="25" t="s">
        <v>1046</v>
      </c>
      <c r="C460" s="25" t="s">
        <v>909</v>
      </c>
      <c r="D460" s="26">
        <v>1</v>
      </c>
      <c r="E460" s="25" t="s">
        <v>1047</v>
      </c>
      <c r="F460" s="25" t="s">
        <v>900</v>
      </c>
      <c r="G460" s="25" t="s">
        <v>901</v>
      </c>
      <c r="H460" s="25" t="s">
        <v>902</v>
      </c>
      <c r="I460" s="25" t="s">
        <v>656</v>
      </c>
      <c r="J460" s="25" t="s">
        <v>1048</v>
      </c>
    </row>
    <row r="461" spans="1:10" ht="19.5" customHeight="1" x14ac:dyDescent="0.35">
      <c r="A461" s="25" t="s">
        <v>896</v>
      </c>
      <c r="B461" s="25" t="s">
        <v>1049</v>
      </c>
      <c r="C461" s="25" t="s">
        <v>1050</v>
      </c>
      <c r="D461" s="26">
        <v>1</v>
      </c>
      <c r="E461" s="25" t="s">
        <v>1051</v>
      </c>
      <c r="F461" s="25" t="s">
        <v>900</v>
      </c>
      <c r="G461" s="25" t="s">
        <v>901</v>
      </c>
      <c r="H461" s="25" t="s">
        <v>902</v>
      </c>
      <c r="I461" s="25" t="s">
        <v>656</v>
      </c>
      <c r="J461" s="25" t="s">
        <v>1052</v>
      </c>
    </row>
    <row r="462" spans="1:10" ht="19.5" customHeight="1" x14ac:dyDescent="0.35">
      <c r="A462" s="25" t="s">
        <v>896</v>
      </c>
      <c r="B462" s="25" t="s">
        <v>1053</v>
      </c>
      <c r="C462" s="25" t="s">
        <v>1054</v>
      </c>
      <c r="D462" s="26">
        <v>1</v>
      </c>
      <c r="E462" s="25" t="s">
        <v>1055</v>
      </c>
      <c r="F462" s="25" t="s">
        <v>900</v>
      </c>
      <c r="G462" s="25" t="s">
        <v>901</v>
      </c>
      <c r="H462" s="25" t="s">
        <v>902</v>
      </c>
      <c r="I462" s="25" t="s">
        <v>656</v>
      </c>
      <c r="J462" s="25" t="s">
        <v>1056</v>
      </c>
    </row>
    <row r="463" spans="1:10" ht="19.5" customHeight="1" x14ac:dyDescent="0.35">
      <c r="A463" s="25" t="s">
        <v>896</v>
      </c>
      <c r="B463" s="25" t="s">
        <v>1057</v>
      </c>
      <c r="C463" s="25" t="s">
        <v>996</v>
      </c>
      <c r="D463" s="26">
        <v>1</v>
      </c>
      <c r="E463" s="25" t="s">
        <v>1058</v>
      </c>
      <c r="F463" s="25" t="s">
        <v>900</v>
      </c>
      <c r="G463" s="25" t="s">
        <v>901</v>
      </c>
      <c r="H463" s="25" t="s">
        <v>902</v>
      </c>
      <c r="I463" s="25" t="s">
        <v>656</v>
      </c>
      <c r="J463" s="25" t="s">
        <v>1059</v>
      </c>
    </row>
    <row r="464" spans="1:10" ht="19.5" customHeight="1" x14ac:dyDescent="0.35">
      <c r="A464" s="25" t="s">
        <v>896</v>
      </c>
      <c r="B464" s="25" t="s">
        <v>1060</v>
      </c>
      <c r="C464" s="25" t="s">
        <v>913</v>
      </c>
      <c r="D464" s="26">
        <v>1</v>
      </c>
      <c r="E464" s="25" t="s">
        <v>1061</v>
      </c>
      <c r="F464" s="25" t="s">
        <v>900</v>
      </c>
      <c r="G464" s="25" t="s">
        <v>901</v>
      </c>
      <c r="H464" s="25" t="s">
        <v>902</v>
      </c>
      <c r="I464" s="25" t="s">
        <v>656</v>
      </c>
      <c r="J464" s="25" t="s">
        <v>1062</v>
      </c>
    </row>
    <row r="465" spans="1:10" ht="19.5" customHeight="1" x14ac:dyDescent="0.35">
      <c r="A465" s="25" t="s">
        <v>896</v>
      </c>
      <c r="B465" s="25" t="s">
        <v>1063</v>
      </c>
      <c r="C465" s="25" t="s">
        <v>921</v>
      </c>
      <c r="D465" s="26">
        <v>1</v>
      </c>
      <c r="E465" s="25" t="s">
        <v>1064</v>
      </c>
      <c r="F465" s="25" t="s">
        <v>900</v>
      </c>
      <c r="G465" s="25" t="s">
        <v>901</v>
      </c>
      <c r="H465" s="25" t="s">
        <v>902</v>
      </c>
      <c r="I465" s="25" t="s">
        <v>656</v>
      </c>
      <c r="J465" s="25" t="s">
        <v>1065</v>
      </c>
    </row>
    <row r="466" spans="1:10" ht="19.5" customHeight="1" x14ac:dyDescent="0.35">
      <c r="A466" s="25" t="s">
        <v>896</v>
      </c>
      <c r="B466" s="25" t="s">
        <v>1066</v>
      </c>
      <c r="C466" s="25" t="s">
        <v>921</v>
      </c>
      <c r="D466" s="26">
        <v>1</v>
      </c>
      <c r="E466" s="25" t="s">
        <v>1067</v>
      </c>
      <c r="F466" s="25" t="s">
        <v>900</v>
      </c>
      <c r="G466" s="25" t="s">
        <v>901</v>
      </c>
      <c r="H466" s="25" t="s">
        <v>902</v>
      </c>
      <c r="I466" s="25" t="s">
        <v>656</v>
      </c>
      <c r="J466" s="25" t="s">
        <v>1068</v>
      </c>
    </row>
    <row r="467" spans="1:10" ht="19.5" customHeight="1" x14ac:dyDescent="0.35">
      <c r="A467" s="25" t="s">
        <v>896</v>
      </c>
      <c r="B467" s="25" t="s">
        <v>1069</v>
      </c>
      <c r="C467" s="25" t="s">
        <v>1070</v>
      </c>
      <c r="D467" s="26">
        <v>1</v>
      </c>
      <c r="E467" s="25" t="s">
        <v>1071</v>
      </c>
      <c r="F467" s="25" t="s">
        <v>900</v>
      </c>
      <c r="G467" s="25" t="s">
        <v>901</v>
      </c>
      <c r="H467" s="25" t="s">
        <v>902</v>
      </c>
      <c r="I467" s="25" t="s">
        <v>656</v>
      </c>
      <c r="J467" s="25" t="s">
        <v>1072</v>
      </c>
    </row>
    <row r="468" spans="1:10" ht="19.5" customHeight="1" x14ac:dyDescent="0.35">
      <c r="A468" s="25" t="s">
        <v>896</v>
      </c>
      <c r="B468" s="25" t="s">
        <v>1073</v>
      </c>
      <c r="C468" s="25" t="s">
        <v>1070</v>
      </c>
      <c r="D468" s="26">
        <v>1</v>
      </c>
      <c r="E468" s="25" t="s">
        <v>1074</v>
      </c>
      <c r="F468" s="25" t="s">
        <v>900</v>
      </c>
      <c r="G468" s="25" t="s">
        <v>901</v>
      </c>
      <c r="H468" s="25" t="s">
        <v>902</v>
      </c>
      <c r="I468" s="25" t="s">
        <v>656</v>
      </c>
      <c r="J468" s="25" t="s">
        <v>1075</v>
      </c>
    </row>
    <row r="469" spans="1:10" ht="19.5" customHeight="1" x14ac:dyDescent="0.35">
      <c r="A469" s="25" t="s">
        <v>896</v>
      </c>
      <c r="B469" s="25" t="s">
        <v>1076</v>
      </c>
      <c r="C469" s="25" t="s">
        <v>1077</v>
      </c>
      <c r="D469" s="26">
        <v>1</v>
      </c>
      <c r="E469" s="25" t="s">
        <v>1078</v>
      </c>
      <c r="F469" s="25" t="s">
        <v>900</v>
      </c>
      <c r="G469" s="25" t="s">
        <v>901</v>
      </c>
      <c r="H469" s="25" t="s">
        <v>902</v>
      </c>
      <c r="I469" s="25" t="s">
        <v>656</v>
      </c>
      <c r="J469" s="25" t="s">
        <v>1079</v>
      </c>
    </row>
    <row r="470" spans="1:10" ht="19.5" customHeight="1" x14ac:dyDescent="0.35">
      <c r="A470" s="25" t="s">
        <v>896</v>
      </c>
      <c r="B470" s="25" t="s">
        <v>1080</v>
      </c>
      <c r="C470" s="25" t="s">
        <v>905</v>
      </c>
      <c r="D470" s="26">
        <v>1</v>
      </c>
      <c r="E470" s="25" t="s">
        <v>1081</v>
      </c>
      <c r="F470" s="25" t="s">
        <v>900</v>
      </c>
      <c r="G470" s="25" t="s">
        <v>901</v>
      </c>
      <c r="H470" s="25" t="s">
        <v>902</v>
      </c>
      <c r="I470" s="25" t="s">
        <v>656</v>
      </c>
      <c r="J470" s="25" t="s">
        <v>1082</v>
      </c>
    </row>
    <row r="471" spans="1:10" ht="19.5" customHeight="1" x14ac:dyDescent="0.35">
      <c r="A471" s="25" t="s">
        <v>896</v>
      </c>
      <c r="B471" s="25" t="s">
        <v>1083</v>
      </c>
      <c r="C471" s="25" t="s">
        <v>1084</v>
      </c>
      <c r="D471" s="26">
        <v>1</v>
      </c>
      <c r="E471" s="25" t="s">
        <v>1085</v>
      </c>
      <c r="F471" s="25" t="s">
        <v>900</v>
      </c>
      <c r="G471" s="25" t="s">
        <v>901</v>
      </c>
      <c r="H471" s="25" t="s">
        <v>902</v>
      </c>
      <c r="I471" s="25" t="s">
        <v>656</v>
      </c>
      <c r="J471" s="25" t="s">
        <v>1086</v>
      </c>
    </row>
    <row r="472" spans="1:10" ht="19.5" customHeight="1" x14ac:dyDescent="0.35">
      <c r="A472" s="25" t="s">
        <v>896</v>
      </c>
      <c r="B472" s="25" t="s">
        <v>1087</v>
      </c>
      <c r="C472" s="25" t="s">
        <v>989</v>
      </c>
      <c r="D472" s="26">
        <v>1</v>
      </c>
      <c r="E472" s="25" t="s">
        <v>1088</v>
      </c>
      <c r="F472" s="25" t="s">
        <v>900</v>
      </c>
      <c r="G472" s="25" t="s">
        <v>901</v>
      </c>
      <c r="H472" s="25" t="s">
        <v>902</v>
      </c>
      <c r="I472" s="25" t="s">
        <v>656</v>
      </c>
      <c r="J472" s="25" t="s">
        <v>1089</v>
      </c>
    </row>
    <row r="473" spans="1:10" ht="19.5" customHeight="1" x14ac:dyDescent="0.35">
      <c r="A473" s="27" t="s">
        <v>896</v>
      </c>
      <c r="B473" s="27" t="s">
        <v>1090</v>
      </c>
      <c r="C473" s="27" t="s">
        <v>1091</v>
      </c>
      <c r="D473" s="28">
        <v>1</v>
      </c>
      <c r="E473" s="27" t="s">
        <v>1092</v>
      </c>
      <c r="F473" s="27" t="s">
        <v>1026</v>
      </c>
      <c r="G473" s="27" t="s">
        <v>901</v>
      </c>
      <c r="H473" s="27" t="s">
        <v>902</v>
      </c>
      <c r="I473" s="27" t="s">
        <v>656</v>
      </c>
      <c r="J473" s="27" t="s">
        <v>1093</v>
      </c>
    </row>
    <row r="474" spans="1:10" ht="19.5" customHeight="1" x14ac:dyDescent="0.35">
      <c r="A474" s="25" t="s">
        <v>896</v>
      </c>
      <c r="B474" s="25" t="s">
        <v>1094</v>
      </c>
      <c r="C474" s="25" t="s">
        <v>921</v>
      </c>
      <c r="D474" s="26">
        <v>1</v>
      </c>
      <c r="E474" s="25" t="s">
        <v>1095</v>
      </c>
      <c r="F474" s="25" t="s">
        <v>900</v>
      </c>
      <c r="G474" s="25" t="s">
        <v>901</v>
      </c>
      <c r="H474" s="25" t="s">
        <v>902</v>
      </c>
      <c r="I474" s="25" t="s">
        <v>656</v>
      </c>
      <c r="J474" s="25" t="s">
        <v>1096</v>
      </c>
    </row>
    <row r="475" spans="1:10" ht="19.5" customHeight="1" x14ac:dyDescent="0.35">
      <c r="A475" s="27" t="s">
        <v>896</v>
      </c>
      <c r="B475" s="27" t="s">
        <v>1097</v>
      </c>
      <c r="C475" s="27" t="s">
        <v>1050</v>
      </c>
      <c r="D475" s="28">
        <v>1</v>
      </c>
      <c r="E475" s="27" t="s">
        <v>1098</v>
      </c>
      <c r="F475" s="27" t="s">
        <v>1026</v>
      </c>
      <c r="G475" s="27" t="s">
        <v>901</v>
      </c>
      <c r="H475" s="27" t="s">
        <v>902</v>
      </c>
      <c r="I475" s="27" t="s">
        <v>656</v>
      </c>
      <c r="J475" s="27" t="s">
        <v>1099</v>
      </c>
    </row>
    <row r="476" spans="1:10" ht="19.5" customHeight="1" x14ac:dyDescent="0.35">
      <c r="A476" s="27" t="s">
        <v>896</v>
      </c>
      <c r="B476" s="27" t="s">
        <v>1100</v>
      </c>
      <c r="C476" s="27" t="s">
        <v>1101</v>
      </c>
      <c r="D476" s="28">
        <v>1</v>
      </c>
      <c r="E476" s="27" t="s">
        <v>1102</v>
      </c>
      <c r="F476" s="27" t="s">
        <v>1026</v>
      </c>
      <c r="G476" s="27" t="s">
        <v>901</v>
      </c>
      <c r="H476" s="27" t="s">
        <v>902</v>
      </c>
      <c r="I476" s="27" t="s">
        <v>656</v>
      </c>
      <c r="J476" s="27" t="s">
        <v>1103</v>
      </c>
    </row>
    <row r="477" spans="1:10" ht="19.5" customHeight="1" x14ac:dyDescent="0.35">
      <c r="A477" s="27" t="s">
        <v>896</v>
      </c>
      <c r="B477" s="27" t="s">
        <v>1104</v>
      </c>
      <c r="C477" s="27" t="s">
        <v>909</v>
      </c>
      <c r="D477" s="28">
        <v>1</v>
      </c>
      <c r="E477" s="27" t="s">
        <v>1105</v>
      </c>
      <c r="F477" s="27" t="s">
        <v>1026</v>
      </c>
      <c r="G477" s="27" t="s">
        <v>901</v>
      </c>
      <c r="H477" s="27" t="s">
        <v>902</v>
      </c>
      <c r="I477" s="27" t="s">
        <v>656</v>
      </c>
      <c r="J477" s="27" t="s">
        <v>1106</v>
      </c>
    </row>
    <row r="478" spans="1:10" ht="19.5" customHeight="1" x14ac:dyDescent="0.35">
      <c r="A478" s="27" t="s">
        <v>896</v>
      </c>
      <c r="B478" s="27" t="s">
        <v>1107</v>
      </c>
      <c r="C478" s="27" t="s">
        <v>1101</v>
      </c>
      <c r="D478" s="28">
        <v>1</v>
      </c>
      <c r="E478" s="27" t="s">
        <v>1108</v>
      </c>
      <c r="F478" s="27" t="s">
        <v>1026</v>
      </c>
      <c r="G478" s="27" t="s">
        <v>901</v>
      </c>
      <c r="H478" s="27" t="s">
        <v>902</v>
      </c>
      <c r="I478" s="27" t="s">
        <v>656</v>
      </c>
      <c r="J478" s="27" t="s">
        <v>1109</v>
      </c>
    </row>
    <row r="479" spans="1:10" ht="19.5" customHeight="1" x14ac:dyDescent="0.35">
      <c r="A479" s="27" t="s">
        <v>896</v>
      </c>
      <c r="B479" s="27" t="s">
        <v>1110</v>
      </c>
      <c r="C479" s="27" t="s">
        <v>1111</v>
      </c>
      <c r="D479" s="28">
        <v>1</v>
      </c>
      <c r="E479" s="27" t="s">
        <v>1112</v>
      </c>
      <c r="F479" s="27" t="s">
        <v>1026</v>
      </c>
      <c r="G479" s="27" t="s">
        <v>901</v>
      </c>
      <c r="H479" s="27" t="s">
        <v>902</v>
      </c>
      <c r="I479" s="27" t="s">
        <v>656</v>
      </c>
      <c r="J479" s="27" t="s">
        <v>1113</v>
      </c>
    </row>
    <row r="480" spans="1:10" ht="19.5" customHeight="1" x14ac:dyDescent="0.35">
      <c r="A480" s="27" t="s">
        <v>896</v>
      </c>
      <c r="B480" s="27" t="s">
        <v>1114</v>
      </c>
      <c r="C480" s="27" t="s">
        <v>925</v>
      </c>
      <c r="D480" s="28">
        <v>1</v>
      </c>
      <c r="E480" s="27" t="s">
        <v>1115</v>
      </c>
      <c r="F480" s="27" t="s">
        <v>1026</v>
      </c>
      <c r="G480" s="27" t="s">
        <v>901</v>
      </c>
      <c r="H480" s="27" t="s">
        <v>902</v>
      </c>
      <c r="I480" s="27" t="s">
        <v>656</v>
      </c>
      <c r="J480" s="27" t="s">
        <v>1116</v>
      </c>
    </row>
    <row r="481" spans="1:10" ht="19.5" customHeight="1" x14ac:dyDescent="0.35">
      <c r="A481" s="27" t="s">
        <v>896</v>
      </c>
      <c r="B481" s="27" t="s">
        <v>1117</v>
      </c>
      <c r="C481" s="27" t="s">
        <v>1118</v>
      </c>
      <c r="D481" s="28">
        <v>1</v>
      </c>
      <c r="E481" s="27" t="s">
        <v>1119</v>
      </c>
      <c r="F481" s="27" t="s">
        <v>1026</v>
      </c>
      <c r="G481" s="27" t="s">
        <v>901</v>
      </c>
      <c r="H481" s="27" t="s">
        <v>902</v>
      </c>
      <c r="I481" s="27" t="s">
        <v>656</v>
      </c>
      <c r="J481" s="27" t="s">
        <v>1120</v>
      </c>
    </row>
    <row r="482" spans="1:10" ht="19.5" customHeight="1" x14ac:dyDescent="0.35">
      <c r="A482" s="27" t="s">
        <v>896</v>
      </c>
      <c r="B482" s="27" t="s">
        <v>1121</v>
      </c>
      <c r="C482" s="27" t="s">
        <v>1122</v>
      </c>
      <c r="D482" s="28">
        <v>1</v>
      </c>
      <c r="E482" s="27" t="s">
        <v>1123</v>
      </c>
      <c r="F482" s="27" t="s">
        <v>1026</v>
      </c>
      <c r="G482" s="27" t="s">
        <v>901</v>
      </c>
      <c r="H482" s="27" t="s">
        <v>902</v>
      </c>
      <c r="I482" s="27" t="s">
        <v>656</v>
      </c>
      <c r="J482" s="27" t="s">
        <v>1124</v>
      </c>
    </row>
    <row r="483" spans="1:10" ht="19.5" customHeight="1" x14ac:dyDescent="0.35">
      <c r="A483" s="27" t="s">
        <v>896</v>
      </c>
      <c r="B483" s="27" t="s">
        <v>1125</v>
      </c>
      <c r="C483" s="27" t="s">
        <v>989</v>
      </c>
      <c r="D483" s="28">
        <v>1</v>
      </c>
      <c r="E483" s="27" t="s">
        <v>1126</v>
      </c>
      <c r="F483" s="27" t="s">
        <v>1026</v>
      </c>
      <c r="G483" s="27" t="s">
        <v>901</v>
      </c>
      <c r="H483" s="27" t="s">
        <v>902</v>
      </c>
      <c r="I483" s="27" t="s">
        <v>656</v>
      </c>
      <c r="J483" s="27" t="s">
        <v>1127</v>
      </c>
    </row>
    <row r="484" spans="1:10" ht="19.5" customHeight="1" x14ac:dyDescent="0.35">
      <c r="A484" s="27" t="s">
        <v>896</v>
      </c>
      <c r="B484" s="27" t="s">
        <v>1128</v>
      </c>
      <c r="C484" s="27" t="s">
        <v>1129</v>
      </c>
      <c r="D484" s="28">
        <v>1</v>
      </c>
      <c r="E484" s="27" t="s">
        <v>1130</v>
      </c>
      <c r="F484" s="27" t="s">
        <v>1026</v>
      </c>
      <c r="G484" s="27" t="s">
        <v>901</v>
      </c>
      <c r="H484" s="27" t="s">
        <v>902</v>
      </c>
      <c r="I484" s="27" t="s">
        <v>656</v>
      </c>
      <c r="J484" s="27" t="s">
        <v>1131</v>
      </c>
    </row>
    <row r="485" spans="1:10" ht="19.5" customHeight="1" x14ac:dyDescent="0.35">
      <c r="A485" s="27" t="s">
        <v>896</v>
      </c>
      <c r="B485" s="27" t="s">
        <v>1132</v>
      </c>
      <c r="C485" s="27" t="s">
        <v>1111</v>
      </c>
      <c r="D485" s="28">
        <v>1</v>
      </c>
      <c r="E485" s="27" t="s">
        <v>1133</v>
      </c>
      <c r="F485" s="27" t="s">
        <v>1026</v>
      </c>
      <c r="G485" s="27" t="s">
        <v>901</v>
      </c>
      <c r="H485" s="27" t="s">
        <v>902</v>
      </c>
      <c r="I485" s="27" t="s">
        <v>656</v>
      </c>
      <c r="J485" s="27" t="s">
        <v>1134</v>
      </c>
    </row>
    <row r="486" spans="1:10" ht="19.5" customHeight="1" x14ac:dyDescent="0.35">
      <c r="A486" s="27" t="s">
        <v>896</v>
      </c>
      <c r="B486" s="27" t="s">
        <v>1135</v>
      </c>
      <c r="C486" s="27" t="s">
        <v>1136</v>
      </c>
      <c r="D486" s="28">
        <v>1</v>
      </c>
      <c r="E486" s="27" t="s">
        <v>1137</v>
      </c>
      <c r="F486" s="27" t="s">
        <v>1026</v>
      </c>
      <c r="G486" s="27" t="s">
        <v>901</v>
      </c>
      <c r="H486" s="27" t="s">
        <v>902</v>
      </c>
      <c r="I486" s="27" t="s">
        <v>656</v>
      </c>
      <c r="J486" s="27" t="s">
        <v>1138</v>
      </c>
    </row>
    <row r="487" spans="1:10" ht="19.5" customHeight="1" x14ac:dyDescent="0.35">
      <c r="A487" s="27" t="s">
        <v>896</v>
      </c>
      <c r="B487" s="27" t="s">
        <v>1139</v>
      </c>
      <c r="C487" s="27" t="s">
        <v>905</v>
      </c>
      <c r="D487" s="28">
        <v>1</v>
      </c>
      <c r="E487" s="27" t="s">
        <v>1140</v>
      </c>
      <c r="F487" s="27" t="s">
        <v>1026</v>
      </c>
      <c r="G487" s="27" t="s">
        <v>901</v>
      </c>
      <c r="H487" s="27" t="s">
        <v>902</v>
      </c>
      <c r="I487" s="27" t="s">
        <v>656</v>
      </c>
      <c r="J487" s="27" t="s">
        <v>1141</v>
      </c>
    </row>
    <row r="488" spans="1:10" ht="19.5" customHeight="1" x14ac:dyDescent="0.35">
      <c r="A488" s="27" t="s">
        <v>896</v>
      </c>
      <c r="B488" s="27" t="s">
        <v>1142</v>
      </c>
      <c r="C488" s="27" t="s">
        <v>1143</v>
      </c>
      <c r="D488" s="28">
        <v>1</v>
      </c>
      <c r="E488" s="27" t="s">
        <v>1144</v>
      </c>
      <c r="F488" s="27" t="s">
        <v>1026</v>
      </c>
      <c r="G488" s="27" t="s">
        <v>901</v>
      </c>
      <c r="H488" s="27" t="s">
        <v>902</v>
      </c>
      <c r="I488" s="27" t="s">
        <v>656</v>
      </c>
      <c r="J488" s="27" t="s">
        <v>1145</v>
      </c>
    </row>
    <row r="489" spans="1:10" ht="19.5" customHeight="1" x14ac:dyDescent="0.35">
      <c r="A489" s="27" t="s">
        <v>896</v>
      </c>
      <c r="B489" s="27" t="s">
        <v>1146</v>
      </c>
      <c r="C489" s="27" t="s">
        <v>1009</v>
      </c>
      <c r="D489" s="28">
        <v>1</v>
      </c>
      <c r="E489" s="27" t="s">
        <v>1147</v>
      </c>
      <c r="F489" s="27" t="s">
        <v>1026</v>
      </c>
      <c r="G489" s="27" t="s">
        <v>901</v>
      </c>
      <c r="H489" s="27" t="s">
        <v>902</v>
      </c>
      <c r="I489" s="27" t="s">
        <v>656</v>
      </c>
      <c r="J489" s="27" t="s">
        <v>1148</v>
      </c>
    </row>
    <row r="490" spans="1:10" ht="19.5" customHeight="1" x14ac:dyDescent="0.35">
      <c r="A490" s="27" t="s">
        <v>896</v>
      </c>
      <c r="B490" s="27" t="s">
        <v>1149</v>
      </c>
      <c r="C490" s="27" t="s">
        <v>1150</v>
      </c>
      <c r="D490" s="28">
        <v>1</v>
      </c>
      <c r="E490" s="27" t="s">
        <v>1151</v>
      </c>
      <c r="F490" s="27" t="s">
        <v>1026</v>
      </c>
      <c r="G490" s="27" t="s">
        <v>901</v>
      </c>
      <c r="H490" s="27" t="s">
        <v>902</v>
      </c>
      <c r="I490" s="27" t="s">
        <v>656</v>
      </c>
      <c r="J490" s="27" t="s">
        <v>1152</v>
      </c>
    </row>
    <row r="491" spans="1:10" ht="19.5" customHeight="1" x14ac:dyDescent="0.35">
      <c r="A491" s="27" t="s">
        <v>896</v>
      </c>
      <c r="B491" s="27" t="s">
        <v>1153</v>
      </c>
      <c r="C491" s="27" t="s">
        <v>1084</v>
      </c>
      <c r="D491" s="28">
        <v>1</v>
      </c>
      <c r="E491" s="27" t="s">
        <v>1154</v>
      </c>
      <c r="F491" s="27" t="s">
        <v>1026</v>
      </c>
      <c r="G491" s="27" t="s">
        <v>901</v>
      </c>
      <c r="H491" s="27" t="s">
        <v>902</v>
      </c>
      <c r="I491" s="27" t="s">
        <v>656</v>
      </c>
      <c r="J491" s="27" t="s">
        <v>1155</v>
      </c>
    </row>
    <row r="492" spans="1:10" ht="19.5" customHeight="1" x14ac:dyDescent="0.35">
      <c r="A492" s="27" t="s">
        <v>896</v>
      </c>
      <c r="B492" s="27" t="s">
        <v>1156</v>
      </c>
      <c r="C492" s="27" t="s">
        <v>1157</v>
      </c>
      <c r="D492" s="28">
        <v>1</v>
      </c>
      <c r="E492" s="27" t="s">
        <v>1158</v>
      </c>
      <c r="F492" s="27" t="s">
        <v>1026</v>
      </c>
      <c r="G492" s="27" t="s">
        <v>901</v>
      </c>
      <c r="H492" s="27" t="s">
        <v>902</v>
      </c>
      <c r="I492" s="27" t="s">
        <v>656</v>
      </c>
      <c r="J492" s="27" t="s">
        <v>1159</v>
      </c>
    </row>
    <row r="493" spans="1:10" ht="19.5" customHeight="1" x14ac:dyDescent="0.35">
      <c r="A493" s="27" t="s">
        <v>896</v>
      </c>
      <c r="B493" s="27" t="s">
        <v>1160</v>
      </c>
      <c r="C493" s="27" t="s">
        <v>1009</v>
      </c>
      <c r="D493" s="28">
        <v>1</v>
      </c>
      <c r="E493" s="27" t="s">
        <v>1161</v>
      </c>
      <c r="F493" s="27" t="s">
        <v>1026</v>
      </c>
      <c r="G493" s="27" t="s">
        <v>901</v>
      </c>
      <c r="H493" s="27" t="s">
        <v>902</v>
      </c>
      <c r="I493" s="27" t="s">
        <v>656</v>
      </c>
      <c r="J493" s="27" t="s">
        <v>1162</v>
      </c>
    </row>
    <row r="494" spans="1:10" ht="19.5" customHeight="1" x14ac:dyDescent="0.35">
      <c r="A494" s="27" t="s">
        <v>896</v>
      </c>
      <c r="B494" s="27" t="s">
        <v>1163</v>
      </c>
      <c r="C494" s="27" t="s">
        <v>1101</v>
      </c>
      <c r="D494" s="28">
        <v>1</v>
      </c>
      <c r="E494" s="27" t="s">
        <v>1164</v>
      </c>
      <c r="F494" s="27" t="s">
        <v>1026</v>
      </c>
      <c r="G494" s="27" t="s">
        <v>901</v>
      </c>
      <c r="H494" s="27" t="s">
        <v>902</v>
      </c>
      <c r="I494" s="27" t="s">
        <v>656</v>
      </c>
      <c r="J494" s="27" t="s">
        <v>1165</v>
      </c>
    </row>
    <row r="495" spans="1:10" ht="19.5" customHeight="1" x14ac:dyDescent="0.35">
      <c r="A495" s="27" t="s">
        <v>896</v>
      </c>
      <c r="B495" s="27" t="s">
        <v>1166</v>
      </c>
      <c r="C495" s="27" t="s">
        <v>1077</v>
      </c>
      <c r="D495" s="28">
        <v>1</v>
      </c>
      <c r="E495" s="27" t="s">
        <v>1167</v>
      </c>
      <c r="F495" s="27" t="s">
        <v>1026</v>
      </c>
      <c r="G495" s="27" t="s">
        <v>901</v>
      </c>
      <c r="H495" s="27" t="s">
        <v>902</v>
      </c>
      <c r="I495" s="27" t="s">
        <v>656</v>
      </c>
      <c r="J495" s="27" t="s">
        <v>1168</v>
      </c>
    </row>
    <row r="496" spans="1:10" ht="19.5" customHeight="1" x14ac:dyDescent="0.35">
      <c r="A496" s="27" t="s">
        <v>896</v>
      </c>
      <c r="B496" s="27" t="s">
        <v>1169</v>
      </c>
      <c r="C496" s="27" t="s">
        <v>1122</v>
      </c>
      <c r="D496" s="28">
        <v>1</v>
      </c>
      <c r="E496" s="27" t="s">
        <v>1170</v>
      </c>
      <c r="F496" s="27" t="s">
        <v>1026</v>
      </c>
      <c r="G496" s="27" t="s">
        <v>901</v>
      </c>
      <c r="H496" s="27" t="s">
        <v>902</v>
      </c>
      <c r="I496" s="27" t="s">
        <v>656</v>
      </c>
      <c r="J496" s="27" t="s">
        <v>1171</v>
      </c>
    </row>
    <row r="497" spans="1:10" ht="19.5" customHeight="1" x14ac:dyDescent="0.35">
      <c r="A497" s="27" t="s">
        <v>896</v>
      </c>
      <c r="B497" s="27" t="s">
        <v>1172</v>
      </c>
      <c r="C497" s="27" t="s">
        <v>909</v>
      </c>
      <c r="D497" s="28">
        <v>1</v>
      </c>
      <c r="E497" s="27" t="s">
        <v>1173</v>
      </c>
      <c r="F497" s="27" t="s">
        <v>1026</v>
      </c>
      <c r="G497" s="27" t="s">
        <v>901</v>
      </c>
      <c r="H497" s="27" t="s">
        <v>902</v>
      </c>
      <c r="I497" s="27" t="s">
        <v>656</v>
      </c>
      <c r="J497" s="27" t="s">
        <v>1174</v>
      </c>
    </row>
    <row r="498" spans="1:10" ht="19.5" customHeight="1" x14ac:dyDescent="0.35">
      <c r="A498" s="27" t="s">
        <v>896</v>
      </c>
      <c r="B498" s="27" t="s">
        <v>1175</v>
      </c>
      <c r="C498" s="27" t="s">
        <v>973</v>
      </c>
      <c r="D498" s="28">
        <v>1</v>
      </c>
      <c r="E498" s="27" t="s">
        <v>1176</v>
      </c>
      <c r="F498" s="27" t="s">
        <v>1026</v>
      </c>
      <c r="G498" s="27" t="s">
        <v>901</v>
      </c>
      <c r="H498" s="27" t="s">
        <v>902</v>
      </c>
      <c r="I498" s="27" t="s">
        <v>656</v>
      </c>
      <c r="J498" s="27" t="s">
        <v>1177</v>
      </c>
    </row>
    <row r="499" spans="1:10" ht="19.5" customHeight="1" x14ac:dyDescent="0.35">
      <c r="A499" s="27" t="s">
        <v>896</v>
      </c>
      <c r="B499" s="27" t="s">
        <v>1178</v>
      </c>
      <c r="C499" s="27" t="s">
        <v>921</v>
      </c>
      <c r="D499" s="28">
        <v>1</v>
      </c>
      <c r="E499" s="27" t="s">
        <v>1179</v>
      </c>
      <c r="F499" s="27" t="s">
        <v>1026</v>
      </c>
      <c r="G499" s="27" t="s">
        <v>901</v>
      </c>
      <c r="H499" s="27" t="s">
        <v>902</v>
      </c>
      <c r="I499" s="27" t="s">
        <v>656</v>
      </c>
      <c r="J499" s="27" t="s">
        <v>1180</v>
      </c>
    </row>
    <row r="500" spans="1:10" ht="19.5" customHeight="1" x14ac:dyDescent="0.35">
      <c r="A500" s="27" t="s">
        <v>896</v>
      </c>
      <c r="B500" s="27" t="s">
        <v>1181</v>
      </c>
      <c r="C500" s="27" t="s">
        <v>1101</v>
      </c>
      <c r="D500" s="28">
        <v>1</v>
      </c>
      <c r="E500" s="27" t="s">
        <v>1182</v>
      </c>
      <c r="F500" s="27" t="s">
        <v>1026</v>
      </c>
      <c r="G500" s="27" t="s">
        <v>901</v>
      </c>
      <c r="H500" s="27" t="s">
        <v>902</v>
      </c>
      <c r="I500" s="27" t="s">
        <v>656</v>
      </c>
      <c r="J500" s="27" t="s">
        <v>1183</v>
      </c>
    </row>
    <row r="501" spans="1:10" ht="19.5" customHeight="1" x14ac:dyDescent="0.35">
      <c r="A501" s="27" t="s">
        <v>896</v>
      </c>
      <c r="B501" s="27" t="s">
        <v>1184</v>
      </c>
      <c r="C501" s="27" t="s">
        <v>942</v>
      </c>
      <c r="D501" s="28">
        <v>1</v>
      </c>
      <c r="E501" s="27" t="s">
        <v>1185</v>
      </c>
      <c r="F501" s="27" t="s">
        <v>1026</v>
      </c>
      <c r="G501" s="27" t="s">
        <v>901</v>
      </c>
      <c r="H501" s="27" t="s">
        <v>902</v>
      </c>
      <c r="I501" s="27" t="s">
        <v>656</v>
      </c>
      <c r="J501" s="27" t="s">
        <v>1186</v>
      </c>
    </row>
    <row r="502" spans="1:10" ht="19.5" customHeight="1" x14ac:dyDescent="0.35">
      <c r="A502" s="27" t="s">
        <v>896</v>
      </c>
      <c r="B502" s="27" t="s">
        <v>1187</v>
      </c>
      <c r="C502" s="27" t="s">
        <v>921</v>
      </c>
      <c r="D502" s="28">
        <v>1</v>
      </c>
      <c r="E502" s="27" t="s">
        <v>1188</v>
      </c>
      <c r="F502" s="27" t="s">
        <v>1026</v>
      </c>
      <c r="G502" s="27" t="s">
        <v>901</v>
      </c>
      <c r="H502" s="27" t="s">
        <v>902</v>
      </c>
      <c r="I502" s="27" t="s">
        <v>656</v>
      </c>
      <c r="J502" s="27" t="s">
        <v>1189</v>
      </c>
    </row>
    <row r="503" spans="1:10" ht="19.5" customHeight="1" x14ac:dyDescent="0.35">
      <c r="A503" s="27" t="s">
        <v>896</v>
      </c>
      <c r="B503" s="27" t="s">
        <v>1190</v>
      </c>
      <c r="C503" s="27" t="s">
        <v>942</v>
      </c>
      <c r="D503" s="28">
        <v>1</v>
      </c>
      <c r="E503" s="27" t="s">
        <v>1191</v>
      </c>
      <c r="F503" s="27" t="s">
        <v>1026</v>
      </c>
      <c r="G503" s="27" t="s">
        <v>901</v>
      </c>
      <c r="H503" s="27" t="s">
        <v>902</v>
      </c>
      <c r="I503" s="27" t="s">
        <v>656</v>
      </c>
      <c r="J503" s="27" t="s">
        <v>1192</v>
      </c>
    </row>
    <row r="504" spans="1:10" ht="19.5" customHeight="1" x14ac:dyDescent="0.35">
      <c r="A504" s="27" t="s">
        <v>896</v>
      </c>
      <c r="B504" s="27" t="s">
        <v>1193</v>
      </c>
      <c r="C504" s="27" t="s">
        <v>1009</v>
      </c>
      <c r="D504" s="28">
        <v>1</v>
      </c>
      <c r="E504" s="27" t="s">
        <v>1194</v>
      </c>
      <c r="F504" s="27" t="s">
        <v>1026</v>
      </c>
      <c r="G504" s="27" t="s">
        <v>901</v>
      </c>
      <c r="H504" s="27" t="s">
        <v>902</v>
      </c>
      <c r="I504" s="27" t="s">
        <v>656</v>
      </c>
      <c r="J504" s="27" t="s">
        <v>1195</v>
      </c>
    </row>
    <row r="505" spans="1:10" ht="19.5" customHeight="1" x14ac:dyDescent="0.35">
      <c r="A505" s="27" t="s">
        <v>896</v>
      </c>
      <c r="B505" s="27" t="s">
        <v>1196</v>
      </c>
      <c r="C505" s="27" t="s">
        <v>921</v>
      </c>
      <c r="D505" s="28">
        <v>1</v>
      </c>
      <c r="E505" s="27" t="s">
        <v>1197</v>
      </c>
      <c r="F505" s="27" t="s">
        <v>1026</v>
      </c>
      <c r="G505" s="27" t="s">
        <v>901</v>
      </c>
      <c r="H505" s="27" t="s">
        <v>902</v>
      </c>
      <c r="I505" s="27" t="s">
        <v>656</v>
      </c>
      <c r="J505" s="27" t="s">
        <v>1198</v>
      </c>
    </row>
    <row r="506" spans="1:10" ht="19.5" customHeight="1" x14ac:dyDescent="0.35">
      <c r="A506" s="27" t="s">
        <v>896</v>
      </c>
      <c r="B506" s="27" t="s">
        <v>1199</v>
      </c>
      <c r="C506" s="27" t="s">
        <v>1009</v>
      </c>
      <c r="D506" s="28">
        <v>1</v>
      </c>
      <c r="E506" s="27" t="s">
        <v>1200</v>
      </c>
      <c r="F506" s="27" t="s">
        <v>1026</v>
      </c>
      <c r="G506" s="27" t="s">
        <v>901</v>
      </c>
      <c r="H506" s="27" t="s">
        <v>902</v>
      </c>
      <c r="I506" s="27" t="s">
        <v>656</v>
      </c>
      <c r="J506" s="27" t="s">
        <v>1201</v>
      </c>
    </row>
    <row r="507" spans="1:10" ht="19.5" customHeight="1" x14ac:dyDescent="0.35">
      <c r="A507" s="27" t="s">
        <v>896</v>
      </c>
      <c r="B507" s="27" t="s">
        <v>1202</v>
      </c>
      <c r="C507" s="27" t="s">
        <v>989</v>
      </c>
      <c r="D507" s="28">
        <v>1</v>
      </c>
      <c r="E507" s="27" t="s">
        <v>1203</v>
      </c>
      <c r="F507" s="27" t="s">
        <v>1026</v>
      </c>
      <c r="G507" s="27" t="s">
        <v>901</v>
      </c>
      <c r="H507" s="27" t="s">
        <v>902</v>
      </c>
      <c r="I507" s="27" t="s">
        <v>656</v>
      </c>
      <c r="J507" s="27" t="s">
        <v>1204</v>
      </c>
    </row>
    <row r="508" spans="1:10" ht="19.5" customHeight="1" x14ac:dyDescent="0.35">
      <c r="A508" s="27" t="s">
        <v>896</v>
      </c>
      <c r="B508" s="27" t="s">
        <v>1205</v>
      </c>
      <c r="C508" s="27" t="s">
        <v>996</v>
      </c>
      <c r="D508" s="28">
        <v>1</v>
      </c>
      <c r="E508" s="27" t="s">
        <v>1206</v>
      </c>
      <c r="F508" s="27" t="s">
        <v>1026</v>
      </c>
      <c r="G508" s="27" t="s">
        <v>901</v>
      </c>
      <c r="H508" s="27" t="s">
        <v>902</v>
      </c>
      <c r="I508" s="27" t="s">
        <v>656</v>
      </c>
      <c r="J508" s="27" t="s">
        <v>1207</v>
      </c>
    </row>
    <row r="509" spans="1:10" ht="19.5" customHeight="1" x14ac:dyDescent="0.35">
      <c r="A509" s="27" t="s">
        <v>896</v>
      </c>
      <c r="B509" s="27" t="s">
        <v>1208</v>
      </c>
      <c r="C509" s="27" t="s">
        <v>1077</v>
      </c>
      <c r="D509" s="28">
        <v>1</v>
      </c>
      <c r="E509" s="27" t="s">
        <v>1209</v>
      </c>
      <c r="F509" s="27" t="s">
        <v>1026</v>
      </c>
      <c r="G509" s="27" t="s">
        <v>901</v>
      </c>
      <c r="H509" s="27" t="s">
        <v>902</v>
      </c>
      <c r="I509" s="27" t="s">
        <v>656</v>
      </c>
      <c r="J509" s="27" t="s">
        <v>1210</v>
      </c>
    </row>
    <row r="510" spans="1:10" ht="19.5" customHeight="1" x14ac:dyDescent="0.35">
      <c r="A510" s="27" t="s">
        <v>896</v>
      </c>
      <c r="B510" s="27" t="s">
        <v>1211</v>
      </c>
      <c r="C510" s="27" t="s">
        <v>1212</v>
      </c>
      <c r="D510" s="28">
        <v>1</v>
      </c>
      <c r="E510" s="27" t="s">
        <v>1213</v>
      </c>
      <c r="F510" s="27" t="s">
        <v>1026</v>
      </c>
      <c r="G510" s="27" t="s">
        <v>901</v>
      </c>
      <c r="H510" s="27" t="s">
        <v>902</v>
      </c>
      <c r="I510" s="27" t="s">
        <v>656</v>
      </c>
      <c r="J510" s="27" t="s">
        <v>1214</v>
      </c>
    </row>
    <row r="511" spans="1:10" ht="19.5" customHeight="1" x14ac:dyDescent="0.35">
      <c r="A511" s="27" t="s">
        <v>896</v>
      </c>
      <c r="B511" s="27" t="s">
        <v>1215</v>
      </c>
      <c r="C511" s="27" t="s">
        <v>913</v>
      </c>
      <c r="D511" s="28">
        <v>1</v>
      </c>
      <c r="E511" s="27" t="s">
        <v>1216</v>
      </c>
      <c r="F511" s="27" t="s">
        <v>1026</v>
      </c>
      <c r="G511" s="27" t="s">
        <v>901</v>
      </c>
      <c r="H511" s="27" t="s">
        <v>902</v>
      </c>
      <c r="I511" s="27" t="s">
        <v>656</v>
      </c>
      <c r="J511" s="27" t="s">
        <v>1217</v>
      </c>
    </row>
    <row r="512" spans="1:10" ht="19.5" customHeight="1" x14ac:dyDescent="0.35">
      <c r="A512" s="27" t="s">
        <v>896</v>
      </c>
      <c r="B512" s="27" t="s">
        <v>1218</v>
      </c>
      <c r="C512" s="27" t="s">
        <v>973</v>
      </c>
      <c r="D512" s="28">
        <v>1</v>
      </c>
      <c r="E512" s="27" t="s">
        <v>1219</v>
      </c>
      <c r="F512" s="27" t="s">
        <v>1026</v>
      </c>
      <c r="G512" s="27" t="s">
        <v>901</v>
      </c>
      <c r="H512" s="27" t="s">
        <v>902</v>
      </c>
      <c r="I512" s="27" t="s">
        <v>656</v>
      </c>
      <c r="J512" s="27" t="s">
        <v>1220</v>
      </c>
    </row>
    <row r="513" spans="1:10" ht="19.5" customHeight="1" x14ac:dyDescent="0.35">
      <c r="A513" s="27" t="s">
        <v>896</v>
      </c>
      <c r="B513" s="27" t="s">
        <v>1221</v>
      </c>
      <c r="C513" s="27" t="s">
        <v>921</v>
      </c>
      <c r="D513" s="28">
        <v>1</v>
      </c>
      <c r="E513" s="27" t="s">
        <v>1222</v>
      </c>
      <c r="F513" s="27" t="s">
        <v>1026</v>
      </c>
      <c r="G513" s="27" t="s">
        <v>901</v>
      </c>
      <c r="H513" s="27" t="s">
        <v>902</v>
      </c>
      <c r="I513" s="27" t="s">
        <v>656</v>
      </c>
      <c r="J513" s="27" t="s">
        <v>1223</v>
      </c>
    </row>
    <row r="514" spans="1:10" ht="19.5" customHeight="1" x14ac:dyDescent="0.35">
      <c r="A514" s="27" t="s">
        <v>896</v>
      </c>
      <c r="B514" s="27" t="s">
        <v>1224</v>
      </c>
      <c r="C514" s="27" t="s">
        <v>996</v>
      </c>
      <c r="D514" s="28">
        <v>1</v>
      </c>
      <c r="E514" s="27" t="s">
        <v>1225</v>
      </c>
      <c r="F514" s="27" t="s">
        <v>1026</v>
      </c>
      <c r="G514" s="27" t="s">
        <v>901</v>
      </c>
      <c r="H514" s="27" t="s">
        <v>902</v>
      </c>
      <c r="I514" s="27" t="s">
        <v>656</v>
      </c>
      <c r="J514" s="27" t="s">
        <v>1226</v>
      </c>
    </row>
    <row r="515" spans="1:10" ht="19.5" customHeight="1" x14ac:dyDescent="0.35">
      <c r="A515" s="27" t="s">
        <v>896</v>
      </c>
      <c r="B515" s="27" t="s">
        <v>1227</v>
      </c>
      <c r="C515" s="27" t="s">
        <v>1077</v>
      </c>
      <c r="D515" s="28">
        <v>1</v>
      </c>
      <c r="E515" s="27" t="s">
        <v>1228</v>
      </c>
      <c r="F515" s="27" t="s">
        <v>1026</v>
      </c>
      <c r="G515" s="27" t="s">
        <v>901</v>
      </c>
      <c r="H515" s="27" t="s">
        <v>902</v>
      </c>
      <c r="I515" s="27" t="s">
        <v>656</v>
      </c>
      <c r="J515" s="27" t="s">
        <v>1229</v>
      </c>
    </row>
    <row r="516" spans="1:10" ht="19.5" customHeight="1" x14ac:dyDescent="0.35">
      <c r="A516" s="27" t="s">
        <v>896</v>
      </c>
      <c r="B516" s="27" t="s">
        <v>1230</v>
      </c>
      <c r="C516" s="27" t="s">
        <v>1009</v>
      </c>
      <c r="D516" s="28">
        <v>1</v>
      </c>
      <c r="E516" s="27" t="s">
        <v>1231</v>
      </c>
      <c r="F516" s="27" t="s">
        <v>1026</v>
      </c>
      <c r="G516" s="27" t="s">
        <v>901</v>
      </c>
      <c r="H516" s="27" t="s">
        <v>902</v>
      </c>
      <c r="I516" s="27" t="s">
        <v>656</v>
      </c>
      <c r="J516" s="27" t="s">
        <v>1232</v>
      </c>
    </row>
    <row r="517" spans="1:10" ht="19.5" customHeight="1" x14ac:dyDescent="0.35">
      <c r="A517" s="27" t="s">
        <v>896</v>
      </c>
      <c r="B517" s="27" t="s">
        <v>1233</v>
      </c>
      <c r="C517" s="27" t="s">
        <v>989</v>
      </c>
      <c r="D517" s="28">
        <v>1</v>
      </c>
      <c r="E517" s="27" t="s">
        <v>1234</v>
      </c>
      <c r="F517" s="27" t="s">
        <v>1026</v>
      </c>
      <c r="G517" s="27" t="s">
        <v>901</v>
      </c>
      <c r="H517" s="27" t="s">
        <v>902</v>
      </c>
      <c r="I517" s="27" t="s">
        <v>656</v>
      </c>
      <c r="J517" s="27" t="s">
        <v>1235</v>
      </c>
    </row>
    <row r="518" spans="1:10" ht="19.5" customHeight="1" x14ac:dyDescent="0.35">
      <c r="A518" s="27" t="s">
        <v>896</v>
      </c>
      <c r="B518" s="27" t="s">
        <v>1236</v>
      </c>
      <c r="C518" s="27" t="s">
        <v>1101</v>
      </c>
      <c r="D518" s="28">
        <v>1</v>
      </c>
      <c r="E518" s="27" t="s">
        <v>1237</v>
      </c>
      <c r="F518" s="27" t="s">
        <v>1026</v>
      </c>
      <c r="G518" s="27" t="s">
        <v>901</v>
      </c>
      <c r="H518" s="27" t="s">
        <v>902</v>
      </c>
      <c r="I518" s="27" t="s">
        <v>656</v>
      </c>
      <c r="J518" s="27" t="s">
        <v>1238</v>
      </c>
    </row>
    <row r="519" spans="1:10" ht="19.5" customHeight="1" x14ac:dyDescent="0.35">
      <c r="A519" s="27" t="s">
        <v>896</v>
      </c>
      <c r="B519" s="27" t="s">
        <v>1239</v>
      </c>
      <c r="C519" s="27" t="s">
        <v>1240</v>
      </c>
      <c r="D519" s="28">
        <v>1</v>
      </c>
      <c r="E519" s="27" t="s">
        <v>1241</v>
      </c>
      <c r="F519" s="27" t="s">
        <v>1026</v>
      </c>
      <c r="G519" s="27" t="s">
        <v>901</v>
      </c>
      <c r="H519" s="27" t="s">
        <v>902</v>
      </c>
      <c r="I519" s="27" t="s">
        <v>656</v>
      </c>
      <c r="J519" s="27" t="s">
        <v>1242</v>
      </c>
    </row>
    <row r="520" spans="1:10" ht="19.5" customHeight="1" x14ac:dyDescent="0.35">
      <c r="A520" s="27" t="s">
        <v>896</v>
      </c>
      <c r="B520" s="27" t="s">
        <v>1243</v>
      </c>
      <c r="C520" s="27" t="s">
        <v>1009</v>
      </c>
      <c r="D520" s="28">
        <v>1</v>
      </c>
      <c r="E520" s="27" t="s">
        <v>1244</v>
      </c>
      <c r="F520" s="27" t="s">
        <v>1026</v>
      </c>
      <c r="G520" s="27" t="s">
        <v>901</v>
      </c>
      <c r="H520" s="27" t="s">
        <v>902</v>
      </c>
      <c r="I520" s="27" t="s">
        <v>656</v>
      </c>
      <c r="J520" s="27" t="s">
        <v>1245</v>
      </c>
    </row>
    <row r="521" spans="1:10" ht="19.5" customHeight="1" x14ac:dyDescent="0.35">
      <c r="A521" s="27" t="s">
        <v>896</v>
      </c>
      <c r="B521" s="27" t="s">
        <v>1246</v>
      </c>
      <c r="C521" s="27" t="s">
        <v>959</v>
      </c>
      <c r="D521" s="28">
        <v>1</v>
      </c>
      <c r="E521" s="27" t="s">
        <v>1247</v>
      </c>
      <c r="F521" s="27" t="s">
        <v>1026</v>
      </c>
      <c r="G521" s="27" t="s">
        <v>901</v>
      </c>
      <c r="H521" s="27" t="s">
        <v>902</v>
      </c>
      <c r="I521" s="27" t="s">
        <v>656</v>
      </c>
      <c r="J521" s="27" t="s">
        <v>1248</v>
      </c>
    </row>
    <row r="522" spans="1:10" ht="19.5" customHeight="1" x14ac:dyDescent="0.35">
      <c r="A522" s="27" t="s">
        <v>896</v>
      </c>
      <c r="B522" s="27" t="s">
        <v>1249</v>
      </c>
      <c r="C522" s="27" t="s">
        <v>1091</v>
      </c>
      <c r="D522" s="28">
        <v>1</v>
      </c>
      <c r="E522" s="27" t="s">
        <v>1250</v>
      </c>
      <c r="F522" s="27" t="s">
        <v>1026</v>
      </c>
      <c r="G522" s="27" t="s">
        <v>901</v>
      </c>
      <c r="H522" s="27" t="s">
        <v>902</v>
      </c>
      <c r="I522" s="27" t="s">
        <v>656</v>
      </c>
      <c r="J522" s="27" t="s">
        <v>1251</v>
      </c>
    </row>
    <row r="523" spans="1:10" ht="19.5" customHeight="1" x14ac:dyDescent="0.35">
      <c r="A523" s="27" t="s">
        <v>896</v>
      </c>
      <c r="B523" s="27" t="s">
        <v>1252</v>
      </c>
      <c r="C523" s="27" t="s">
        <v>996</v>
      </c>
      <c r="D523" s="28">
        <v>1</v>
      </c>
      <c r="E523" s="27" t="s">
        <v>1253</v>
      </c>
      <c r="F523" s="27" t="s">
        <v>1026</v>
      </c>
      <c r="G523" s="27" t="s">
        <v>901</v>
      </c>
      <c r="H523" s="27" t="s">
        <v>902</v>
      </c>
      <c r="I523" s="27" t="s">
        <v>656</v>
      </c>
      <c r="J523" s="27" t="s">
        <v>1254</v>
      </c>
    </row>
    <row r="524" spans="1:10" ht="19.5" customHeight="1" x14ac:dyDescent="0.35">
      <c r="A524" s="27" t="s">
        <v>896</v>
      </c>
      <c r="B524" s="27" t="s">
        <v>1255</v>
      </c>
      <c r="C524" s="27" t="s">
        <v>925</v>
      </c>
      <c r="D524" s="28">
        <v>1</v>
      </c>
      <c r="E524" s="27" t="s">
        <v>1256</v>
      </c>
      <c r="F524" s="27" t="s">
        <v>1026</v>
      </c>
      <c r="G524" s="27" t="s">
        <v>901</v>
      </c>
      <c r="H524" s="27" t="s">
        <v>902</v>
      </c>
      <c r="I524" s="27" t="s">
        <v>656</v>
      </c>
      <c r="J524" s="27" t="s">
        <v>1257</v>
      </c>
    </row>
    <row r="525" spans="1:10" ht="19.5" customHeight="1" x14ac:dyDescent="0.35">
      <c r="A525" s="27" t="s">
        <v>896</v>
      </c>
      <c r="B525" s="27" t="s">
        <v>1258</v>
      </c>
      <c r="C525" s="27" t="s">
        <v>946</v>
      </c>
      <c r="D525" s="28">
        <v>1</v>
      </c>
      <c r="E525" s="27" t="s">
        <v>1259</v>
      </c>
      <c r="F525" s="27" t="s">
        <v>1026</v>
      </c>
      <c r="G525" s="27" t="s">
        <v>901</v>
      </c>
      <c r="H525" s="27" t="s">
        <v>902</v>
      </c>
      <c r="I525" s="27" t="s">
        <v>656</v>
      </c>
      <c r="J525" s="27" t="s">
        <v>1260</v>
      </c>
    </row>
    <row r="526" spans="1:10" ht="19.5" customHeight="1" x14ac:dyDescent="0.35">
      <c r="A526" s="27" t="s">
        <v>896</v>
      </c>
      <c r="B526" s="27" t="s">
        <v>1261</v>
      </c>
      <c r="C526" s="27" t="s">
        <v>1136</v>
      </c>
      <c r="D526" s="28">
        <v>1</v>
      </c>
      <c r="E526" s="27" t="s">
        <v>1262</v>
      </c>
      <c r="F526" s="27" t="s">
        <v>1026</v>
      </c>
      <c r="G526" s="27" t="s">
        <v>901</v>
      </c>
      <c r="H526" s="27" t="s">
        <v>902</v>
      </c>
      <c r="I526" s="27" t="s">
        <v>656</v>
      </c>
      <c r="J526" s="27" t="s">
        <v>1263</v>
      </c>
    </row>
    <row r="527" spans="1:10" ht="19.5" customHeight="1" x14ac:dyDescent="0.35">
      <c r="A527" s="27" t="s">
        <v>896</v>
      </c>
      <c r="B527" s="27" t="s">
        <v>1264</v>
      </c>
      <c r="C527" s="27" t="s">
        <v>929</v>
      </c>
      <c r="D527" s="28">
        <v>1</v>
      </c>
      <c r="E527" s="27" t="s">
        <v>1265</v>
      </c>
      <c r="F527" s="27" t="s">
        <v>1026</v>
      </c>
      <c r="G527" s="27" t="s">
        <v>901</v>
      </c>
      <c r="H527" s="27" t="s">
        <v>902</v>
      </c>
      <c r="I527" s="27" t="s">
        <v>656</v>
      </c>
      <c r="J527" s="27" t="s">
        <v>1266</v>
      </c>
    </row>
    <row r="528" spans="1:10" ht="19.5" customHeight="1" x14ac:dyDescent="0.35">
      <c r="A528" s="27" t="s">
        <v>896</v>
      </c>
      <c r="B528" s="27" t="s">
        <v>1267</v>
      </c>
      <c r="C528" s="27" t="s">
        <v>989</v>
      </c>
      <c r="D528" s="28">
        <v>1</v>
      </c>
      <c r="E528" s="27" t="s">
        <v>1268</v>
      </c>
      <c r="F528" s="27" t="s">
        <v>1026</v>
      </c>
      <c r="G528" s="27" t="s">
        <v>901</v>
      </c>
      <c r="H528" s="27" t="s">
        <v>902</v>
      </c>
      <c r="I528" s="27" t="s">
        <v>656</v>
      </c>
      <c r="J528" s="27" t="s">
        <v>1269</v>
      </c>
    </row>
    <row r="529" spans="1:10" ht="19.5" customHeight="1" x14ac:dyDescent="0.35">
      <c r="A529" s="27" t="s">
        <v>896</v>
      </c>
      <c r="B529" s="27" t="s">
        <v>1270</v>
      </c>
      <c r="C529" s="27" t="s">
        <v>1009</v>
      </c>
      <c r="D529" s="28">
        <v>1</v>
      </c>
      <c r="E529" s="27" t="s">
        <v>1271</v>
      </c>
      <c r="F529" s="27" t="s">
        <v>1026</v>
      </c>
      <c r="G529" s="27" t="s">
        <v>901</v>
      </c>
      <c r="H529" s="27" t="s">
        <v>902</v>
      </c>
      <c r="I529" s="27" t="s">
        <v>656</v>
      </c>
      <c r="J529" s="27" t="s">
        <v>1272</v>
      </c>
    </row>
    <row r="530" spans="1:10" ht="19.5" customHeight="1" x14ac:dyDescent="0.35">
      <c r="A530" s="27" t="s">
        <v>896</v>
      </c>
      <c r="B530" s="27" t="s">
        <v>1273</v>
      </c>
      <c r="C530" s="27" t="s">
        <v>905</v>
      </c>
      <c r="D530" s="28">
        <v>1</v>
      </c>
      <c r="E530" s="27" t="s">
        <v>1274</v>
      </c>
      <c r="F530" s="27" t="s">
        <v>1026</v>
      </c>
      <c r="G530" s="27" t="s">
        <v>901</v>
      </c>
      <c r="H530" s="27" t="s">
        <v>902</v>
      </c>
      <c r="I530" s="27" t="s">
        <v>656</v>
      </c>
      <c r="J530" s="27" t="s">
        <v>1275</v>
      </c>
    </row>
    <row r="531" spans="1:10" ht="19.5" customHeight="1" x14ac:dyDescent="0.35">
      <c r="A531" s="27" t="s">
        <v>896</v>
      </c>
      <c r="B531" s="27" t="s">
        <v>1276</v>
      </c>
      <c r="C531" s="27" t="s">
        <v>921</v>
      </c>
      <c r="D531" s="28">
        <v>1</v>
      </c>
      <c r="E531" s="27" t="s">
        <v>1277</v>
      </c>
      <c r="F531" s="27" t="s">
        <v>1026</v>
      </c>
      <c r="G531" s="27" t="s">
        <v>901</v>
      </c>
      <c r="H531" s="27" t="s">
        <v>902</v>
      </c>
      <c r="I531" s="27" t="s">
        <v>656</v>
      </c>
      <c r="J531" s="27" t="s">
        <v>1278</v>
      </c>
    </row>
    <row r="532" spans="1:10" ht="19.5" customHeight="1" x14ac:dyDescent="0.35">
      <c r="A532" s="27" t="s">
        <v>896</v>
      </c>
      <c r="B532" s="27" t="s">
        <v>1279</v>
      </c>
      <c r="C532" s="27" t="s">
        <v>1009</v>
      </c>
      <c r="D532" s="28">
        <v>1</v>
      </c>
      <c r="E532" s="27" t="s">
        <v>1280</v>
      </c>
      <c r="F532" s="27" t="s">
        <v>1026</v>
      </c>
      <c r="G532" s="27" t="s">
        <v>901</v>
      </c>
      <c r="H532" s="27" t="s">
        <v>902</v>
      </c>
      <c r="I532" s="27" t="s">
        <v>656</v>
      </c>
      <c r="J532" s="27" t="s">
        <v>1281</v>
      </c>
    </row>
    <row r="533" spans="1:10" ht="19.5" customHeight="1" x14ac:dyDescent="0.35">
      <c r="A533" s="27" t="s">
        <v>896</v>
      </c>
      <c r="B533" s="27" t="s">
        <v>1282</v>
      </c>
      <c r="C533" s="27" t="s">
        <v>1136</v>
      </c>
      <c r="D533" s="28">
        <v>1</v>
      </c>
      <c r="E533" s="27" t="s">
        <v>1283</v>
      </c>
      <c r="F533" s="27" t="s">
        <v>1026</v>
      </c>
      <c r="G533" s="27" t="s">
        <v>901</v>
      </c>
      <c r="H533" s="27" t="s">
        <v>902</v>
      </c>
      <c r="I533" s="27" t="s">
        <v>656</v>
      </c>
      <c r="J533" s="27" t="s">
        <v>1284</v>
      </c>
    </row>
    <row r="534" spans="1:10" ht="19.5" customHeight="1" x14ac:dyDescent="0.35">
      <c r="A534" s="27" t="s">
        <v>896</v>
      </c>
      <c r="B534" s="27" t="s">
        <v>1285</v>
      </c>
      <c r="C534" s="27" t="s">
        <v>989</v>
      </c>
      <c r="D534" s="28">
        <v>1</v>
      </c>
      <c r="E534" s="27" t="s">
        <v>1286</v>
      </c>
      <c r="F534" s="27" t="s">
        <v>1026</v>
      </c>
      <c r="G534" s="27" t="s">
        <v>901</v>
      </c>
      <c r="H534" s="27" t="s">
        <v>902</v>
      </c>
      <c r="I534" s="27" t="s">
        <v>656</v>
      </c>
      <c r="J534" s="27" t="s">
        <v>1287</v>
      </c>
    </row>
    <row r="535" spans="1:10" ht="19.5" customHeight="1" x14ac:dyDescent="0.35">
      <c r="A535" s="27" t="s">
        <v>896</v>
      </c>
      <c r="B535" s="27" t="s">
        <v>1288</v>
      </c>
      <c r="C535" s="27" t="s">
        <v>1136</v>
      </c>
      <c r="D535" s="28">
        <v>1</v>
      </c>
      <c r="E535" s="27" t="s">
        <v>1289</v>
      </c>
      <c r="F535" s="27" t="s">
        <v>1026</v>
      </c>
      <c r="G535" s="27" t="s">
        <v>901</v>
      </c>
      <c r="H535" s="27" t="s">
        <v>902</v>
      </c>
      <c r="I535" s="27" t="s">
        <v>656</v>
      </c>
      <c r="J535" s="27" t="s">
        <v>1290</v>
      </c>
    </row>
    <row r="536" spans="1:10" ht="19.5" customHeight="1" x14ac:dyDescent="0.35">
      <c r="A536" s="27" t="s">
        <v>896</v>
      </c>
      <c r="B536" s="27" t="s">
        <v>1291</v>
      </c>
      <c r="C536" s="27" t="s">
        <v>921</v>
      </c>
      <c r="D536" s="28">
        <v>1</v>
      </c>
      <c r="E536" s="27" t="s">
        <v>1292</v>
      </c>
      <c r="F536" s="27" t="s">
        <v>1026</v>
      </c>
      <c r="G536" s="27" t="s">
        <v>901</v>
      </c>
      <c r="H536" s="27" t="s">
        <v>902</v>
      </c>
      <c r="I536" s="27" t="s">
        <v>656</v>
      </c>
      <c r="J536" s="27" t="s">
        <v>1293</v>
      </c>
    </row>
    <row r="537" spans="1:10" ht="19.5" customHeight="1" x14ac:dyDescent="0.35">
      <c r="A537" s="27" t="s">
        <v>896</v>
      </c>
      <c r="B537" s="27" t="s">
        <v>1294</v>
      </c>
      <c r="C537" s="27" t="s">
        <v>1295</v>
      </c>
      <c r="D537" s="28">
        <v>1</v>
      </c>
      <c r="E537" s="27" t="s">
        <v>1296</v>
      </c>
      <c r="F537" s="27" t="s">
        <v>1026</v>
      </c>
      <c r="G537" s="27" t="s">
        <v>901</v>
      </c>
      <c r="H537" s="27" t="s">
        <v>902</v>
      </c>
      <c r="I537" s="27" t="s">
        <v>656</v>
      </c>
      <c r="J537" s="27" t="s">
        <v>1297</v>
      </c>
    </row>
    <row r="538" spans="1:10" ht="19.5" customHeight="1" x14ac:dyDescent="0.35">
      <c r="A538" s="27" t="s">
        <v>896</v>
      </c>
      <c r="B538" s="27" t="s">
        <v>1298</v>
      </c>
      <c r="C538" s="27" t="s">
        <v>1299</v>
      </c>
      <c r="D538" s="28">
        <v>1</v>
      </c>
      <c r="E538" s="27" t="s">
        <v>1300</v>
      </c>
      <c r="F538" s="27" t="s">
        <v>1026</v>
      </c>
      <c r="G538" s="27" t="s">
        <v>901</v>
      </c>
      <c r="H538" s="27" t="s">
        <v>902</v>
      </c>
      <c r="I538" s="27" t="s">
        <v>656</v>
      </c>
      <c r="J538" s="27" t="s">
        <v>1301</v>
      </c>
    </row>
    <row r="539" spans="1:10" ht="19.5" customHeight="1" x14ac:dyDescent="0.35">
      <c r="A539" s="27" t="s">
        <v>896</v>
      </c>
      <c r="B539" s="27" t="s">
        <v>1302</v>
      </c>
      <c r="C539" s="27" t="s">
        <v>925</v>
      </c>
      <c r="D539" s="28">
        <v>1</v>
      </c>
      <c r="E539" s="27" t="s">
        <v>1303</v>
      </c>
      <c r="F539" s="27" t="s">
        <v>1026</v>
      </c>
      <c r="G539" s="27" t="s">
        <v>901</v>
      </c>
      <c r="H539" s="27" t="s">
        <v>902</v>
      </c>
      <c r="I539" s="27" t="s">
        <v>656</v>
      </c>
      <c r="J539" s="27" t="s">
        <v>1304</v>
      </c>
    </row>
    <row r="540" spans="1:10" ht="19.5" customHeight="1" x14ac:dyDescent="0.35">
      <c r="A540" s="27" t="s">
        <v>896</v>
      </c>
      <c r="B540" s="27" t="s">
        <v>1305</v>
      </c>
      <c r="C540" s="27" t="s">
        <v>1101</v>
      </c>
      <c r="D540" s="28">
        <v>1</v>
      </c>
      <c r="E540" s="27" t="s">
        <v>1306</v>
      </c>
      <c r="F540" s="27" t="s">
        <v>1026</v>
      </c>
      <c r="G540" s="27" t="s">
        <v>901</v>
      </c>
      <c r="H540" s="27" t="s">
        <v>902</v>
      </c>
      <c r="I540" s="27" t="s">
        <v>656</v>
      </c>
      <c r="J540" s="27" t="s">
        <v>1307</v>
      </c>
    </row>
    <row r="541" spans="1:10" ht="19.5" customHeight="1" x14ac:dyDescent="0.35">
      <c r="A541" s="27" t="s">
        <v>896</v>
      </c>
      <c r="B541" s="27" t="s">
        <v>1308</v>
      </c>
      <c r="C541" s="27" t="s">
        <v>1118</v>
      </c>
      <c r="D541" s="28">
        <v>1</v>
      </c>
      <c r="E541" s="27" t="s">
        <v>1309</v>
      </c>
      <c r="F541" s="27" t="s">
        <v>1026</v>
      </c>
      <c r="G541" s="27" t="s">
        <v>901</v>
      </c>
      <c r="H541" s="27" t="s">
        <v>902</v>
      </c>
      <c r="I541" s="27" t="s">
        <v>656</v>
      </c>
      <c r="J541" s="27" t="s">
        <v>1310</v>
      </c>
    </row>
    <row r="542" spans="1:10" ht="19.5" customHeight="1" x14ac:dyDescent="0.35">
      <c r="A542" s="27" t="s">
        <v>896</v>
      </c>
      <c r="B542" s="27" t="s">
        <v>1311</v>
      </c>
      <c r="C542" s="27" t="s">
        <v>1070</v>
      </c>
      <c r="D542" s="28">
        <v>1</v>
      </c>
      <c r="E542" s="27" t="s">
        <v>1312</v>
      </c>
      <c r="F542" s="27" t="s">
        <v>1026</v>
      </c>
      <c r="G542" s="27" t="s">
        <v>901</v>
      </c>
      <c r="H542" s="27" t="s">
        <v>902</v>
      </c>
      <c r="I542" s="27" t="s">
        <v>656</v>
      </c>
      <c r="J542" s="27" t="s">
        <v>1313</v>
      </c>
    </row>
    <row r="543" spans="1:10" ht="19.5" customHeight="1" x14ac:dyDescent="0.35">
      <c r="A543" s="27" t="s">
        <v>896</v>
      </c>
      <c r="B543" s="27" t="s">
        <v>1314</v>
      </c>
      <c r="C543" s="27" t="s">
        <v>925</v>
      </c>
      <c r="D543" s="28">
        <v>1</v>
      </c>
      <c r="E543" s="27" t="s">
        <v>1315</v>
      </c>
      <c r="F543" s="27" t="s">
        <v>1026</v>
      </c>
      <c r="G543" s="27" t="s">
        <v>901</v>
      </c>
      <c r="H543" s="27" t="s">
        <v>902</v>
      </c>
      <c r="I543" s="27" t="s">
        <v>656</v>
      </c>
      <c r="J543" s="27" t="s">
        <v>1316</v>
      </c>
    </row>
    <row r="544" spans="1:10" ht="19.5" customHeight="1" x14ac:dyDescent="0.35">
      <c r="A544" s="27" t="s">
        <v>896</v>
      </c>
      <c r="B544" s="27" t="s">
        <v>1317</v>
      </c>
      <c r="C544" s="27" t="s">
        <v>1111</v>
      </c>
      <c r="D544" s="28">
        <v>1</v>
      </c>
      <c r="E544" s="27" t="s">
        <v>1318</v>
      </c>
      <c r="F544" s="27" t="s">
        <v>1026</v>
      </c>
      <c r="G544" s="27" t="s">
        <v>901</v>
      </c>
      <c r="H544" s="27" t="s">
        <v>902</v>
      </c>
      <c r="I544" s="27" t="s">
        <v>656</v>
      </c>
      <c r="J544" s="27" t="s">
        <v>1319</v>
      </c>
    </row>
    <row r="545" spans="1:10" ht="19.5" customHeight="1" x14ac:dyDescent="0.35">
      <c r="A545" s="27" t="s">
        <v>896</v>
      </c>
      <c r="B545" s="27" t="s">
        <v>1320</v>
      </c>
      <c r="C545" s="27" t="s">
        <v>925</v>
      </c>
      <c r="D545" s="28">
        <v>1</v>
      </c>
      <c r="E545" s="27" t="s">
        <v>1321</v>
      </c>
      <c r="F545" s="27" t="s">
        <v>1026</v>
      </c>
      <c r="G545" s="27" t="s">
        <v>901</v>
      </c>
      <c r="H545" s="27" t="s">
        <v>902</v>
      </c>
      <c r="I545" s="27" t="s">
        <v>656</v>
      </c>
      <c r="J545" s="27" t="s">
        <v>1322</v>
      </c>
    </row>
    <row r="546" spans="1:10" ht="19.5" customHeight="1" x14ac:dyDescent="0.35">
      <c r="A546" s="27" t="s">
        <v>896</v>
      </c>
      <c r="B546" s="27" t="s">
        <v>1323</v>
      </c>
      <c r="C546" s="27" t="s">
        <v>989</v>
      </c>
      <c r="D546" s="28">
        <v>1</v>
      </c>
      <c r="E546" s="27" t="s">
        <v>1324</v>
      </c>
      <c r="F546" s="27" t="s">
        <v>1026</v>
      </c>
      <c r="G546" s="27" t="s">
        <v>901</v>
      </c>
      <c r="H546" s="27" t="s">
        <v>902</v>
      </c>
      <c r="I546" s="27" t="s">
        <v>656</v>
      </c>
      <c r="J546" s="27" t="s">
        <v>1325</v>
      </c>
    </row>
    <row r="547" spans="1:10" ht="19.5" customHeight="1" x14ac:dyDescent="0.35">
      <c r="A547" s="27" t="s">
        <v>896</v>
      </c>
      <c r="B547" s="27" t="s">
        <v>1326</v>
      </c>
      <c r="C547" s="27" t="s">
        <v>905</v>
      </c>
      <c r="D547" s="28">
        <v>1</v>
      </c>
      <c r="E547" s="27" t="s">
        <v>1327</v>
      </c>
      <c r="F547" s="27" t="s">
        <v>1026</v>
      </c>
      <c r="G547" s="27" t="s">
        <v>901</v>
      </c>
      <c r="H547" s="27" t="s">
        <v>902</v>
      </c>
      <c r="I547" s="27" t="s">
        <v>656</v>
      </c>
      <c r="J547" s="27" t="s">
        <v>1328</v>
      </c>
    </row>
    <row r="548" spans="1:10" ht="19.5" customHeight="1" x14ac:dyDescent="0.35">
      <c r="A548" s="27" t="s">
        <v>896</v>
      </c>
      <c r="B548" s="27" t="s">
        <v>1329</v>
      </c>
      <c r="C548" s="27" t="s">
        <v>905</v>
      </c>
      <c r="D548" s="28">
        <v>1</v>
      </c>
      <c r="E548" s="27" t="s">
        <v>1330</v>
      </c>
      <c r="F548" s="27" t="s">
        <v>1026</v>
      </c>
      <c r="G548" s="27" t="s">
        <v>901</v>
      </c>
      <c r="H548" s="27" t="s">
        <v>902</v>
      </c>
      <c r="I548" s="27" t="s">
        <v>656</v>
      </c>
      <c r="J548" s="27" t="s">
        <v>1331</v>
      </c>
    </row>
    <row r="549" spans="1:10" ht="19.5" customHeight="1" x14ac:dyDescent="0.35">
      <c r="A549" s="27" t="s">
        <v>896</v>
      </c>
      <c r="B549" s="27" t="s">
        <v>1332</v>
      </c>
      <c r="C549" s="27" t="s">
        <v>913</v>
      </c>
      <c r="D549" s="28">
        <v>1</v>
      </c>
      <c r="E549" s="27" t="s">
        <v>1333</v>
      </c>
      <c r="F549" s="27" t="s">
        <v>1026</v>
      </c>
      <c r="G549" s="27" t="s">
        <v>901</v>
      </c>
      <c r="H549" s="27" t="s">
        <v>902</v>
      </c>
      <c r="I549" s="27" t="s">
        <v>656</v>
      </c>
      <c r="J549" s="27" t="s">
        <v>1334</v>
      </c>
    </row>
    <row r="550" spans="1:10" ht="19.5" customHeight="1" x14ac:dyDescent="0.35">
      <c r="A550" s="27" t="s">
        <v>896</v>
      </c>
      <c r="B550" s="27" t="s">
        <v>1335</v>
      </c>
      <c r="C550" s="27" t="s">
        <v>905</v>
      </c>
      <c r="D550" s="28">
        <v>1</v>
      </c>
      <c r="E550" s="27" t="s">
        <v>1336</v>
      </c>
      <c r="F550" s="27" t="s">
        <v>1026</v>
      </c>
      <c r="G550" s="27" t="s">
        <v>901</v>
      </c>
      <c r="H550" s="27" t="s">
        <v>902</v>
      </c>
      <c r="I550" s="27" t="s">
        <v>656</v>
      </c>
      <c r="J550" s="27" t="s">
        <v>1337</v>
      </c>
    </row>
    <row r="551" spans="1:10" ht="19.5" customHeight="1" x14ac:dyDescent="0.35">
      <c r="A551" s="27" t="s">
        <v>896</v>
      </c>
      <c r="B551" s="27" t="s">
        <v>1338</v>
      </c>
      <c r="C551" s="27" t="s">
        <v>913</v>
      </c>
      <c r="D551" s="28">
        <v>1</v>
      </c>
      <c r="E551" s="27" t="s">
        <v>1339</v>
      </c>
      <c r="F551" s="27" t="s">
        <v>1026</v>
      </c>
      <c r="G551" s="27" t="s">
        <v>901</v>
      </c>
      <c r="H551" s="27" t="s">
        <v>902</v>
      </c>
      <c r="I551" s="27" t="s">
        <v>656</v>
      </c>
      <c r="J551" s="27" t="s">
        <v>1340</v>
      </c>
    </row>
    <row r="552" spans="1:10" ht="19.5" customHeight="1" x14ac:dyDescent="0.35">
      <c r="A552" s="27" t="s">
        <v>896</v>
      </c>
      <c r="B552" s="27" t="s">
        <v>1341</v>
      </c>
      <c r="C552" s="27" t="s">
        <v>989</v>
      </c>
      <c r="D552" s="28">
        <v>1</v>
      </c>
      <c r="E552" s="27" t="s">
        <v>1342</v>
      </c>
      <c r="F552" s="27" t="s">
        <v>1026</v>
      </c>
      <c r="G552" s="27" t="s">
        <v>901</v>
      </c>
      <c r="H552" s="27" t="s">
        <v>902</v>
      </c>
      <c r="I552" s="27" t="s">
        <v>656</v>
      </c>
      <c r="J552" s="27" t="s">
        <v>1343</v>
      </c>
    </row>
    <row r="553" spans="1:10" ht="19.5" customHeight="1" x14ac:dyDescent="0.35">
      <c r="A553" s="27" t="s">
        <v>896</v>
      </c>
      <c r="B553" s="27" t="s">
        <v>1344</v>
      </c>
      <c r="C553" s="27" t="s">
        <v>905</v>
      </c>
      <c r="D553" s="28">
        <v>1</v>
      </c>
      <c r="E553" s="27" t="s">
        <v>1345</v>
      </c>
      <c r="F553" s="27" t="s">
        <v>1026</v>
      </c>
      <c r="G553" s="27" t="s">
        <v>901</v>
      </c>
      <c r="H553" s="27" t="s">
        <v>902</v>
      </c>
      <c r="I553" s="27" t="s">
        <v>656</v>
      </c>
      <c r="J553" s="27" t="s">
        <v>1346</v>
      </c>
    </row>
    <row r="554" spans="1:10" ht="19.5" customHeight="1" x14ac:dyDescent="0.35">
      <c r="A554" s="27" t="s">
        <v>896</v>
      </c>
      <c r="B554" s="27" t="s">
        <v>1347</v>
      </c>
      <c r="C554" s="27" t="s">
        <v>929</v>
      </c>
      <c r="D554" s="28">
        <v>1</v>
      </c>
      <c r="E554" s="27" t="s">
        <v>1348</v>
      </c>
      <c r="F554" s="27" t="s">
        <v>1026</v>
      </c>
      <c r="G554" s="27" t="s">
        <v>901</v>
      </c>
      <c r="H554" s="27" t="s">
        <v>902</v>
      </c>
      <c r="I554" s="27" t="s">
        <v>656</v>
      </c>
      <c r="J554" s="27" t="s">
        <v>1349</v>
      </c>
    </row>
    <row r="555" spans="1:10" ht="19.5" customHeight="1" x14ac:dyDescent="0.35">
      <c r="A555" s="27" t="s">
        <v>896</v>
      </c>
      <c r="B555" s="27" t="s">
        <v>1350</v>
      </c>
      <c r="C555" s="27" t="s">
        <v>1136</v>
      </c>
      <c r="D555" s="28">
        <v>1</v>
      </c>
      <c r="E555" s="27" t="s">
        <v>1351</v>
      </c>
      <c r="F555" s="27" t="s">
        <v>1026</v>
      </c>
      <c r="G555" s="27" t="s">
        <v>901</v>
      </c>
      <c r="H555" s="27" t="s">
        <v>902</v>
      </c>
      <c r="I555" s="27" t="s">
        <v>656</v>
      </c>
      <c r="J555" s="27" t="s">
        <v>1352</v>
      </c>
    </row>
    <row r="556" spans="1:10" ht="19.5" customHeight="1" x14ac:dyDescent="0.35">
      <c r="A556" s="27" t="s">
        <v>896</v>
      </c>
      <c r="B556" s="27" t="s">
        <v>1353</v>
      </c>
      <c r="C556" s="27" t="s">
        <v>909</v>
      </c>
      <c r="D556" s="28">
        <v>1</v>
      </c>
      <c r="E556" s="27" t="s">
        <v>1354</v>
      </c>
      <c r="F556" s="27" t="s">
        <v>1026</v>
      </c>
      <c r="G556" s="27" t="s">
        <v>901</v>
      </c>
      <c r="H556" s="27" t="s">
        <v>902</v>
      </c>
      <c r="I556" s="27" t="s">
        <v>656</v>
      </c>
      <c r="J556" s="27" t="s">
        <v>1355</v>
      </c>
    </row>
    <row r="557" spans="1:10" ht="19.5" customHeight="1" x14ac:dyDescent="0.35">
      <c r="A557" s="27" t="s">
        <v>896</v>
      </c>
      <c r="B557" s="27" t="s">
        <v>1356</v>
      </c>
      <c r="C557" s="27" t="s">
        <v>1101</v>
      </c>
      <c r="D557" s="28">
        <v>1</v>
      </c>
      <c r="E557" s="27" t="s">
        <v>1357</v>
      </c>
      <c r="F557" s="27" t="s">
        <v>1026</v>
      </c>
      <c r="G557" s="27" t="s">
        <v>901</v>
      </c>
      <c r="H557" s="27" t="s">
        <v>902</v>
      </c>
      <c r="I557" s="27" t="s">
        <v>656</v>
      </c>
      <c r="J557" s="27" t="s">
        <v>1358</v>
      </c>
    </row>
    <row r="558" spans="1:10" ht="19.5" customHeight="1" x14ac:dyDescent="0.35">
      <c r="A558" s="27" t="s">
        <v>896</v>
      </c>
      <c r="B558" s="27" t="s">
        <v>1359</v>
      </c>
      <c r="C558" s="27" t="s">
        <v>989</v>
      </c>
      <c r="D558" s="28">
        <v>1</v>
      </c>
      <c r="E558" s="27" t="s">
        <v>1360</v>
      </c>
      <c r="F558" s="27" t="s">
        <v>1026</v>
      </c>
      <c r="G558" s="27" t="s">
        <v>901</v>
      </c>
      <c r="H558" s="27" t="s">
        <v>902</v>
      </c>
      <c r="I558" s="27" t="s">
        <v>656</v>
      </c>
      <c r="J558" s="27" t="s">
        <v>1361</v>
      </c>
    </row>
    <row r="559" spans="1:10" ht="19.5" customHeight="1" x14ac:dyDescent="0.35">
      <c r="A559" s="27" t="s">
        <v>896</v>
      </c>
      <c r="B559" s="27" t="s">
        <v>1362</v>
      </c>
      <c r="C559" s="27" t="s">
        <v>1009</v>
      </c>
      <c r="D559" s="28">
        <v>1</v>
      </c>
      <c r="E559" s="27" t="s">
        <v>1363</v>
      </c>
      <c r="F559" s="27" t="s">
        <v>1026</v>
      </c>
      <c r="G559" s="27" t="s">
        <v>901</v>
      </c>
      <c r="H559" s="27" t="s">
        <v>902</v>
      </c>
      <c r="I559" s="27" t="s">
        <v>656</v>
      </c>
      <c r="J559" s="27" t="s">
        <v>1364</v>
      </c>
    </row>
    <row r="560" spans="1:10" ht="19.5" customHeight="1" x14ac:dyDescent="0.35">
      <c r="A560" s="27" t="s">
        <v>896</v>
      </c>
      <c r="B560" s="27" t="s">
        <v>1365</v>
      </c>
      <c r="C560" s="27" t="s">
        <v>1299</v>
      </c>
      <c r="D560" s="28">
        <v>1</v>
      </c>
      <c r="E560" s="27" t="s">
        <v>1366</v>
      </c>
      <c r="F560" s="27" t="s">
        <v>1026</v>
      </c>
      <c r="G560" s="27" t="s">
        <v>901</v>
      </c>
      <c r="H560" s="27" t="s">
        <v>902</v>
      </c>
      <c r="I560" s="27" t="s">
        <v>656</v>
      </c>
      <c r="J560" s="27" t="s">
        <v>1367</v>
      </c>
    </row>
    <row r="561" spans="1:10" ht="19.5" customHeight="1" x14ac:dyDescent="0.35">
      <c r="A561" s="27" t="s">
        <v>896</v>
      </c>
      <c r="B561" s="27" t="s">
        <v>1368</v>
      </c>
      <c r="C561" s="27" t="s">
        <v>1070</v>
      </c>
      <c r="D561" s="28">
        <v>1</v>
      </c>
      <c r="E561" s="27" t="s">
        <v>1369</v>
      </c>
      <c r="F561" s="27" t="s">
        <v>1026</v>
      </c>
      <c r="G561" s="27" t="s">
        <v>901</v>
      </c>
      <c r="H561" s="27" t="s">
        <v>902</v>
      </c>
      <c r="I561" s="27" t="s">
        <v>656</v>
      </c>
      <c r="J561" s="27" t="s">
        <v>1370</v>
      </c>
    </row>
    <row r="562" spans="1:10" ht="19.5" customHeight="1" x14ac:dyDescent="0.35">
      <c r="A562" s="27" t="s">
        <v>896</v>
      </c>
      <c r="B562" s="27" t="s">
        <v>1371</v>
      </c>
      <c r="C562" s="27" t="s">
        <v>1136</v>
      </c>
      <c r="D562" s="28">
        <v>1</v>
      </c>
      <c r="E562" s="27" t="s">
        <v>1372</v>
      </c>
      <c r="F562" s="27" t="s">
        <v>1026</v>
      </c>
      <c r="G562" s="27" t="s">
        <v>901</v>
      </c>
      <c r="H562" s="27" t="s">
        <v>902</v>
      </c>
      <c r="I562" s="27" t="s">
        <v>656</v>
      </c>
      <c r="J562" s="27" t="s">
        <v>1373</v>
      </c>
    </row>
    <row r="563" spans="1:10" ht="19.5" customHeight="1" x14ac:dyDescent="0.35">
      <c r="A563" s="27" t="s">
        <v>896</v>
      </c>
      <c r="B563" s="27" t="s">
        <v>1374</v>
      </c>
      <c r="C563" s="27" t="s">
        <v>989</v>
      </c>
      <c r="D563" s="28">
        <v>1</v>
      </c>
      <c r="E563" s="27" t="s">
        <v>1375</v>
      </c>
      <c r="F563" s="27" t="s">
        <v>1026</v>
      </c>
      <c r="G563" s="27" t="s">
        <v>901</v>
      </c>
      <c r="H563" s="27" t="s">
        <v>902</v>
      </c>
      <c r="I563" s="27" t="s">
        <v>656</v>
      </c>
      <c r="J563" s="27" t="s">
        <v>1376</v>
      </c>
    </row>
    <row r="564" spans="1:10" ht="19.5" customHeight="1" x14ac:dyDescent="0.35">
      <c r="A564" s="27" t="s">
        <v>896</v>
      </c>
      <c r="B564" s="27" t="s">
        <v>1377</v>
      </c>
      <c r="C564" s="27" t="s">
        <v>913</v>
      </c>
      <c r="D564" s="28">
        <v>1</v>
      </c>
      <c r="E564" s="27" t="s">
        <v>1378</v>
      </c>
      <c r="F564" s="27" t="s">
        <v>1026</v>
      </c>
      <c r="G564" s="27" t="s">
        <v>901</v>
      </c>
      <c r="H564" s="27" t="s">
        <v>902</v>
      </c>
      <c r="I564" s="27" t="s">
        <v>656</v>
      </c>
      <c r="J564" s="27" t="s">
        <v>1379</v>
      </c>
    </row>
    <row r="565" spans="1:10" ht="19.5" customHeight="1" x14ac:dyDescent="0.35">
      <c r="A565" s="27" t="s">
        <v>896</v>
      </c>
      <c r="B565" s="27" t="s">
        <v>1380</v>
      </c>
      <c r="C565" s="27" t="s">
        <v>1009</v>
      </c>
      <c r="D565" s="28">
        <v>1</v>
      </c>
      <c r="E565" s="27" t="s">
        <v>1381</v>
      </c>
      <c r="F565" s="27" t="s">
        <v>1026</v>
      </c>
      <c r="G565" s="27" t="s">
        <v>901</v>
      </c>
      <c r="H565" s="27" t="s">
        <v>902</v>
      </c>
      <c r="I565" s="27" t="s">
        <v>656</v>
      </c>
      <c r="J565" s="27" t="s">
        <v>1382</v>
      </c>
    </row>
    <row r="566" spans="1:10" ht="19.5" customHeight="1" x14ac:dyDescent="0.35">
      <c r="A566" s="27" t="s">
        <v>896</v>
      </c>
      <c r="B566" s="27" t="s">
        <v>1383</v>
      </c>
      <c r="C566" s="27" t="s">
        <v>1050</v>
      </c>
      <c r="D566" s="28">
        <v>1</v>
      </c>
      <c r="E566" s="27" t="s">
        <v>1384</v>
      </c>
      <c r="F566" s="27" t="s">
        <v>1026</v>
      </c>
      <c r="G566" s="27" t="s">
        <v>901</v>
      </c>
      <c r="H566" s="27" t="s">
        <v>902</v>
      </c>
      <c r="I566" s="27" t="s">
        <v>656</v>
      </c>
      <c r="J566" s="27" t="s">
        <v>1385</v>
      </c>
    </row>
    <row r="567" spans="1:10" ht="19.5" customHeight="1" x14ac:dyDescent="0.35">
      <c r="A567" s="27" t="s">
        <v>896</v>
      </c>
      <c r="B567" s="27" t="s">
        <v>1386</v>
      </c>
      <c r="C567" s="27" t="s">
        <v>913</v>
      </c>
      <c r="D567" s="28">
        <v>1</v>
      </c>
      <c r="E567" s="27" t="s">
        <v>1387</v>
      </c>
      <c r="F567" s="27" t="s">
        <v>1026</v>
      </c>
      <c r="G567" s="27" t="s">
        <v>901</v>
      </c>
      <c r="H567" s="27" t="s">
        <v>902</v>
      </c>
      <c r="I567" s="27" t="s">
        <v>656</v>
      </c>
      <c r="J567" s="27" t="s">
        <v>1388</v>
      </c>
    </row>
    <row r="568" spans="1:10" ht="19.5" customHeight="1" x14ac:dyDescent="0.35">
      <c r="A568" s="27" t="s">
        <v>896</v>
      </c>
      <c r="B568" s="27" t="s">
        <v>1389</v>
      </c>
      <c r="C568" s="27" t="s">
        <v>1299</v>
      </c>
      <c r="D568" s="28">
        <v>1</v>
      </c>
      <c r="E568" s="27" t="s">
        <v>1390</v>
      </c>
      <c r="F568" s="27" t="s">
        <v>1026</v>
      </c>
      <c r="G568" s="27" t="s">
        <v>901</v>
      </c>
      <c r="H568" s="27" t="s">
        <v>902</v>
      </c>
      <c r="I568" s="27" t="s">
        <v>656</v>
      </c>
      <c r="J568" s="27" t="s">
        <v>1391</v>
      </c>
    </row>
    <row r="569" spans="1:10" ht="19.5" customHeight="1" x14ac:dyDescent="0.35">
      <c r="A569" s="27" t="s">
        <v>896</v>
      </c>
      <c r="B569" s="27" t="s">
        <v>1392</v>
      </c>
      <c r="C569" s="27" t="s">
        <v>1240</v>
      </c>
      <c r="D569" s="28">
        <v>1</v>
      </c>
      <c r="E569" s="27" t="s">
        <v>1393</v>
      </c>
      <c r="F569" s="27" t="s">
        <v>1026</v>
      </c>
      <c r="G569" s="27" t="s">
        <v>901</v>
      </c>
      <c r="H569" s="27" t="s">
        <v>902</v>
      </c>
      <c r="I569" s="27" t="s">
        <v>656</v>
      </c>
      <c r="J569" s="27" t="s">
        <v>1394</v>
      </c>
    </row>
    <row r="570" spans="1:10" ht="19.5" customHeight="1" x14ac:dyDescent="0.35">
      <c r="A570" s="27" t="s">
        <v>896</v>
      </c>
      <c r="B570" s="27" t="s">
        <v>1395</v>
      </c>
      <c r="C570" s="27" t="s">
        <v>905</v>
      </c>
      <c r="D570" s="28">
        <v>1</v>
      </c>
      <c r="E570" s="27" t="s">
        <v>1396</v>
      </c>
      <c r="F570" s="27" t="s">
        <v>1026</v>
      </c>
      <c r="G570" s="27" t="s">
        <v>901</v>
      </c>
      <c r="H570" s="27" t="s">
        <v>902</v>
      </c>
      <c r="I570" s="27" t="s">
        <v>656</v>
      </c>
      <c r="J570" s="27" t="s">
        <v>1397</v>
      </c>
    </row>
    <row r="571" spans="1:10" ht="19.5" customHeight="1" x14ac:dyDescent="0.35">
      <c r="A571" s="27" t="s">
        <v>896</v>
      </c>
      <c r="B571" s="27" t="s">
        <v>1398</v>
      </c>
      <c r="C571" s="27" t="s">
        <v>925</v>
      </c>
      <c r="D571" s="28">
        <v>1</v>
      </c>
      <c r="E571" s="27" t="s">
        <v>1399</v>
      </c>
      <c r="F571" s="27" t="s">
        <v>1026</v>
      </c>
      <c r="G571" s="27" t="s">
        <v>901</v>
      </c>
      <c r="H571" s="27" t="s">
        <v>902</v>
      </c>
      <c r="I571" s="27" t="s">
        <v>656</v>
      </c>
      <c r="J571" s="27" t="s">
        <v>1400</v>
      </c>
    </row>
    <row r="572" spans="1:10" ht="19.5" customHeight="1" x14ac:dyDescent="0.35">
      <c r="A572" s="27" t="s">
        <v>896</v>
      </c>
      <c r="B572" s="27" t="s">
        <v>1401</v>
      </c>
      <c r="C572" s="27" t="s">
        <v>1084</v>
      </c>
      <c r="D572" s="28">
        <v>1</v>
      </c>
      <c r="E572" s="27" t="s">
        <v>1402</v>
      </c>
      <c r="F572" s="27" t="s">
        <v>1026</v>
      </c>
      <c r="G572" s="27" t="s">
        <v>901</v>
      </c>
      <c r="H572" s="27" t="s">
        <v>902</v>
      </c>
      <c r="I572" s="27" t="s">
        <v>656</v>
      </c>
      <c r="J572" s="27" t="s">
        <v>1403</v>
      </c>
    </row>
    <row r="573" spans="1:10" ht="19.5" customHeight="1" x14ac:dyDescent="0.35">
      <c r="A573" s="27" t="s">
        <v>896</v>
      </c>
      <c r="B573" s="27" t="s">
        <v>1404</v>
      </c>
      <c r="C573" s="27" t="s">
        <v>963</v>
      </c>
      <c r="D573" s="28">
        <v>1</v>
      </c>
      <c r="E573" s="27" t="s">
        <v>1405</v>
      </c>
      <c r="F573" s="27" t="s">
        <v>1026</v>
      </c>
      <c r="G573" s="27" t="s">
        <v>901</v>
      </c>
      <c r="H573" s="27" t="s">
        <v>902</v>
      </c>
      <c r="I573" s="27" t="s">
        <v>656</v>
      </c>
      <c r="J573" s="27" t="s">
        <v>1406</v>
      </c>
    </row>
    <row r="574" spans="1:10" ht="19.5" customHeight="1" x14ac:dyDescent="0.35">
      <c r="A574" s="27" t="s">
        <v>896</v>
      </c>
      <c r="B574" s="27" t="s">
        <v>1407</v>
      </c>
      <c r="C574" s="27" t="s">
        <v>913</v>
      </c>
      <c r="D574" s="28">
        <v>1</v>
      </c>
      <c r="E574" s="27" t="s">
        <v>1408</v>
      </c>
      <c r="F574" s="27" t="s">
        <v>1026</v>
      </c>
      <c r="G574" s="27" t="s">
        <v>901</v>
      </c>
      <c r="H574" s="27" t="s">
        <v>902</v>
      </c>
      <c r="I574" s="27" t="s">
        <v>656</v>
      </c>
      <c r="J574" s="27" t="s">
        <v>1409</v>
      </c>
    </row>
    <row r="575" spans="1:10" ht="19.5" customHeight="1" x14ac:dyDescent="0.35">
      <c r="A575" s="27" t="s">
        <v>896</v>
      </c>
      <c r="B575" s="27" t="s">
        <v>1410</v>
      </c>
      <c r="C575" s="27" t="s">
        <v>1240</v>
      </c>
      <c r="D575" s="28">
        <v>1</v>
      </c>
      <c r="E575" s="27" t="s">
        <v>1411</v>
      </c>
      <c r="F575" s="27" t="s">
        <v>1026</v>
      </c>
      <c r="G575" s="27" t="s">
        <v>901</v>
      </c>
      <c r="H575" s="27" t="s">
        <v>902</v>
      </c>
      <c r="I575" s="27" t="s">
        <v>656</v>
      </c>
      <c r="J575" s="27" t="s">
        <v>1412</v>
      </c>
    </row>
    <row r="576" spans="1:10" ht="19.5" customHeight="1" x14ac:dyDescent="0.35">
      <c r="A576" s="27" t="s">
        <v>896</v>
      </c>
      <c r="B576" s="27" t="s">
        <v>1413</v>
      </c>
      <c r="C576" s="27" t="s">
        <v>917</v>
      </c>
      <c r="D576" s="28">
        <v>1</v>
      </c>
      <c r="E576" s="27" t="s">
        <v>1414</v>
      </c>
      <c r="F576" s="27" t="s">
        <v>1026</v>
      </c>
      <c r="G576" s="27" t="s">
        <v>901</v>
      </c>
      <c r="H576" s="27" t="s">
        <v>902</v>
      </c>
      <c r="I576" s="27" t="s">
        <v>656</v>
      </c>
      <c r="J576" s="27" t="s">
        <v>1415</v>
      </c>
    </row>
    <row r="577" spans="1:10" ht="19.5" customHeight="1" x14ac:dyDescent="0.35">
      <c r="A577" s="27" t="s">
        <v>896</v>
      </c>
      <c r="B577" s="27" t="s">
        <v>1416</v>
      </c>
      <c r="C577" s="27" t="s">
        <v>959</v>
      </c>
      <c r="D577" s="28">
        <v>1</v>
      </c>
      <c r="E577" s="27" t="s">
        <v>1417</v>
      </c>
      <c r="F577" s="27" t="s">
        <v>1026</v>
      </c>
      <c r="G577" s="27" t="s">
        <v>901</v>
      </c>
      <c r="H577" s="27" t="s">
        <v>902</v>
      </c>
      <c r="I577" s="27" t="s">
        <v>656</v>
      </c>
      <c r="J577" s="27" t="s">
        <v>1418</v>
      </c>
    </row>
    <row r="578" spans="1:10" ht="19.5" customHeight="1" x14ac:dyDescent="0.35">
      <c r="A578" s="27" t="s">
        <v>896</v>
      </c>
      <c r="B578" s="27" t="s">
        <v>1419</v>
      </c>
      <c r="C578" s="27" t="s">
        <v>898</v>
      </c>
      <c r="D578" s="28">
        <v>1</v>
      </c>
      <c r="E578" s="27" t="s">
        <v>1420</v>
      </c>
      <c r="F578" s="27" t="s">
        <v>1026</v>
      </c>
      <c r="G578" s="27" t="s">
        <v>901</v>
      </c>
      <c r="H578" s="27" t="s">
        <v>902</v>
      </c>
      <c r="I578" s="27" t="s">
        <v>656</v>
      </c>
      <c r="J578" s="27" t="s">
        <v>1421</v>
      </c>
    </row>
    <row r="579" spans="1:10" ht="19.5" customHeight="1" x14ac:dyDescent="0.35">
      <c r="A579" s="27" t="s">
        <v>896</v>
      </c>
      <c r="B579" s="27" t="s">
        <v>1422</v>
      </c>
      <c r="C579" s="27" t="s">
        <v>929</v>
      </c>
      <c r="D579" s="28">
        <v>1</v>
      </c>
      <c r="E579" s="27" t="s">
        <v>1423</v>
      </c>
      <c r="F579" s="27" t="s">
        <v>1026</v>
      </c>
      <c r="G579" s="27" t="s">
        <v>901</v>
      </c>
      <c r="H579" s="27" t="s">
        <v>902</v>
      </c>
      <c r="I579" s="27" t="s">
        <v>656</v>
      </c>
      <c r="J579" s="27" t="s">
        <v>1424</v>
      </c>
    </row>
    <row r="580" spans="1:10" ht="19.5" customHeight="1" x14ac:dyDescent="0.35">
      <c r="A580" s="27" t="s">
        <v>896</v>
      </c>
      <c r="B580" s="27" t="s">
        <v>1425</v>
      </c>
      <c r="C580" s="27" t="s">
        <v>963</v>
      </c>
      <c r="D580" s="28">
        <v>1</v>
      </c>
      <c r="E580" s="27" t="s">
        <v>1426</v>
      </c>
      <c r="F580" s="27" t="s">
        <v>1026</v>
      </c>
      <c r="G580" s="27" t="s">
        <v>901</v>
      </c>
      <c r="H580" s="27" t="s">
        <v>902</v>
      </c>
      <c r="I580" s="27" t="s">
        <v>656</v>
      </c>
      <c r="J580" s="27" t="s">
        <v>1427</v>
      </c>
    </row>
    <row r="581" spans="1:10" ht="19.5" customHeight="1" x14ac:dyDescent="0.35">
      <c r="A581" s="27" t="s">
        <v>896</v>
      </c>
      <c r="B581" s="27" t="s">
        <v>1428</v>
      </c>
      <c r="C581" s="27" t="s">
        <v>963</v>
      </c>
      <c r="D581" s="28">
        <v>1</v>
      </c>
      <c r="E581" s="27" t="s">
        <v>1429</v>
      </c>
      <c r="F581" s="27" t="s">
        <v>1026</v>
      </c>
      <c r="G581" s="27" t="s">
        <v>901</v>
      </c>
      <c r="H581" s="27" t="s">
        <v>902</v>
      </c>
      <c r="I581" s="27" t="s">
        <v>656</v>
      </c>
      <c r="J581" s="27" t="s">
        <v>1430</v>
      </c>
    </row>
    <row r="582" spans="1:10" ht="19.5" customHeight="1" x14ac:dyDescent="0.35">
      <c r="A582" s="27" t="s">
        <v>896</v>
      </c>
      <c r="B582" s="27" t="s">
        <v>1431</v>
      </c>
      <c r="C582" s="27" t="s">
        <v>1136</v>
      </c>
      <c r="D582" s="28">
        <v>1</v>
      </c>
      <c r="E582" s="27" t="s">
        <v>1432</v>
      </c>
      <c r="F582" s="27" t="s">
        <v>1026</v>
      </c>
      <c r="G582" s="27" t="s">
        <v>901</v>
      </c>
      <c r="H582" s="27" t="s">
        <v>902</v>
      </c>
      <c r="I582" s="27" t="s">
        <v>656</v>
      </c>
      <c r="J582" s="27" t="s">
        <v>1433</v>
      </c>
    </row>
    <row r="583" spans="1:10" ht="19.5" customHeight="1" x14ac:dyDescent="0.35">
      <c r="A583" s="27" t="s">
        <v>896</v>
      </c>
      <c r="B583" s="27" t="s">
        <v>1434</v>
      </c>
      <c r="C583" s="27" t="s">
        <v>905</v>
      </c>
      <c r="D583" s="28">
        <v>1</v>
      </c>
      <c r="E583" s="27" t="s">
        <v>1435</v>
      </c>
      <c r="F583" s="27" t="s">
        <v>1026</v>
      </c>
      <c r="G583" s="27" t="s">
        <v>901</v>
      </c>
      <c r="H583" s="27" t="s">
        <v>902</v>
      </c>
      <c r="I583" s="27" t="s">
        <v>656</v>
      </c>
      <c r="J583" s="27" t="s">
        <v>1436</v>
      </c>
    </row>
    <row r="584" spans="1:10" ht="19.5" customHeight="1" x14ac:dyDescent="0.35">
      <c r="A584" s="27" t="s">
        <v>896</v>
      </c>
      <c r="B584" s="27" t="s">
        <v>1437</v>
      </c>
      <c r="C584" s="27" t="s">
        <v>1084</v>
      </c>
      <c r="D584" s="28">
        <v>1</v>
      </c>
      <c r="E584" s="27" t="s">
        <v>1438</v>
      </c>
      <c r="F584" s="27" t="s">
        <v>1026</v>
      </c>
      <c r="G584" s="27" t="s">
        <v>901</v>
      </c>
      <c r="H584" s="27" t="s">
        <v>902</v>
      </c>
      <c r="I584" s="27" t="s">
        <v>656</v>
      </c>
      <c r="J584" s="27" t="s">
        <v>1439</v>
      </c>
    </row>
    <row r="585" spans="1:10" ht="19.5" customHeight="1" x14ac:dyDescent="0.35">
      <c r="A585" s="23" t="s">
        <v>896</v>
      </c>
      <c r="B585" s="23" t="s">
        <v>1440</v>
      </c>
      <c r="C585" s="23" t="s">
        <v>963</v>
      </c>
      <c r="D585" s="24">
        <v>1</v>
      </c>
      <c r="E585" s="23" t="s">
        <v>1441</v>
      </c>
      <c r="F585" s="23" t="s">
        <v>1442</v>
      </c>
      <c r="G585" s="23" t="s">
        <v>901</v>
      </c>
      <c r="H585" s="23" t="s">
        <v>902</v>
      </c>
      <c r="I585" s="23" t="s">
        <v>656</v>
      </c>
      <c r="J585" s="23" t="s">
        <v>1443</v>
      </c>
    </row>
    <row r="586" spans="1:10" ht="19.5" customHeight="1" x14ac:dyDescent="0.35">
      <c r="A586" s="23" t="s">
        <v>896</v>
      </c>
      <c r="B586" s="23" t="s">
        <v>1444</v>
      </c>
      <c r="C586" s="23" t="s">
        <v>1143</v>
      </c>
      <c r="D586" s="24">
        <v>1</v>
      </c>
      <c r="E586" s="23" t="s">
        <v>1445</v>
      </c>
      <c r="F586" s="23" t="s">
        <v>1442</v>
      </c>
      <c r="G586" s="23" t="s">
        <v>901</v>
      </c>
      <c r="H586" s="23" t="s">
        <v>902</v>
      </c>
      <c r="I586" s="23" t="s">
        <v>656</v>
      </c>
      <c r="J586" s="23" t="s">
        <v>1446</v>
      </c>
    </row>
    <row r="587" spans="1:10" ht="19.5" customHeight="1" x14ac:dyDescent="0.35">
      <c r="A587" s="23" t="s">
        <v>896</v>
      </c>
      <c r="B587" s="23" t="s">
        <v>1447</v>
      </c>
      <c r="C587" s="23" t="s">
        <v>959</v>
      </c>
      <c r="D587" s="24">
        <v>1</v>
      </c>
      <c r="E587" s="23" t="s">
        <v>1448</v>
      </c>
      <c r="F587" s="23" t="s">
        <v>1442</v>
      </c>
      <c r="G587" s="23" t="s">
        <v>901</v>
      </c>
      <c r="H587" s="23" t="s">
        <v>902</v>
      </c>
      <c r="I587" s="23" t="s">
        <v>656</v>
      </c>
      <c r="J587" s="23" t="s">
        <v>1449</v>
      </c>
    </row>
    <row r="588" spans="1:10" ht="19.5" customHeight="1" x14ac:dyDescent="0.35">
      <c r="A588" s="23" t="s">
        <v>896</v>
      </c>
      <c r="B588" s="23" t="s">
        <v>1450</v>
      </c>
      <c r="C588" s="23" t="s">
        <v>989</v>
      </c>
      <c r="D588" s="24">
        <v>1</v>
      </c>
      <c r="E588" s="23" t="s">
        <v>1451</v>
      </c>
      <c r="F588" s="23" t="s">
        <v>1442</v>
      </c>
      <c r="G588" s="23" t="s">
        <v>901</v>
      </c>
      <c r="H588" s="23" t="s">
        <v>902</v>
      </c>
      <c r="I588" s="23" t="s">
        <v>656</v>
      </c>
      <c r="J588" s="23" t="s">
        <v>1452</v>
      </c>
    </row>
    <row r="589" spans="1:10" ht="19.5" customHeight="1" x14ac:dyDescent="0.35">
      <c r="A589" s="23" t="s">
        <v>896</v>
      </c>
      <c r="B589" s="23" t="s">
        <v>1453</v>
      </c>
      <c r="C589" s="23" t="s">
        <v>1136</v>
      </c>
      <c r="D589" s="24">
        <v>1</v>
      </c>
      <c r="E589" s="23" t="s">
        <v>1454</v>
      </c>
      <c r="F589" s="23" t="s">
        <v>1442</v>
      </c>
      <c r="G589" s="23" t="s">
        <v>901</v>
      </c>
      <c r="H589" s="23" t="s">
        <v>902</v>
      </c>
      <c r="I589" s="23" t="s">
        <v>656</v>
      </c>
      <c r="J589" s="23" t="s">
        <v>1455</v>
      </c>
    </row>
    <row r="590" spans="1:10" ht="19.5" customHeight="1" x14ac:dyDescent="0.35">
      <c r="A590" s="23" t="s">
        <v>896</v>
      </c>
      <c r="B590" s="23" t="s">
        <v>1456</v>
      </c>
      <c r="C590" s="23" t="s">
        <v>1050</v>
      </c>
      <c r="D590" s="24">
        <v>1</v>
      </c>
      <c r="E590" s="23" t="s">
        <v>1457</v>
      </c>
      <c r="F590" s="23" t="s">
        <v>1442</v>
      </c>
      <c r="G590" s="23" t="s">
        <v>901</v>
      </c>
      <c r="H590" s="23" t="s">
        <v>902</v>
      </c>
      <c r="I590" s="23" t="s">
        <v>656</v>
      </c>
      <c r="J590" s="23" t="s">
        <v>1458</v>
      </c>
    </row>
    <row r="591" spans="1:10" ht="19.5" customHeight="1" x14ac:dyDescent="0.35">
      <c r="A591" s="27" t="s">
        <v>896</v>
      </c>
      <c r="B591" s="27" t="s">
        <v>1459</v>
      </c>
      <c r="C591" s="27" t="s">
        <v>1077</v>
      </c>
      <c r="D591" s="28">
        <v>1</v>
      </c>
      <c r="E591" s="27" t="s">
        <v>1460</v>
      </c>
      <c r="F591" s="27" t="s">
        <v>1026</v>
      </c>
      <c r="G591" s="27" t="s">
        <v>901</v>
      </c>
      <c r="H591" s="27" t="s">
        <v>902</v>
      </c>
      <c r="I591" s="27" t="s">
        <v>656</v>
      </c>
      <c r="J591" s="27" t="s">
        <v>1461</v>
      </c>
    </row>
    <row r="592" spans="1:10" ht="19.5" customHeight="1" x14ac:dyDescent="0.35">
      <c r="A592" s="23" t="s">
        <v>896</v>
      </c>
      <c r="B592" s="23" t="s">
        <v>1462</v>
      </c>
      <c r="C592" s="23" t="s">
        <v>1122</v>
      </c>
      <c r="D592" s="24">
        <v>1</v>
      </c>
      <c r="E592" s="23" t="s">
        <v>1463</v>
      </c>
      <c r="F592" s="23" t="s">
        <v>1442</v>
      </c>
      <c r="G592" s="23" t="s">
        <v>901</v>
      </c>
      <c r="H592" s="23" t="s">
        <v>902</v>
      </c>
      <c r="I592" s="23" t="s">
        <v>656</v>
      </c>
      <c r="J592" s="23" t="s">
        <v>1464</v>
      </c>
    </row>
    <row r="593" spans="1:10" ht="19.5" customHeight="1" x14ac:dyDescent="0.35">
      <c r="A593" s="23" t="s">
        <v>896</v>
      </c>
      <c r="B593" s="23" t="s">
        <v>1465</v>
      </c>
      <c r="C593" s="23" t="s">
        <v>1136</v>
      </c>
      <c r="D593" s="24">
        <v>1</v>
      </c>
      <c r="E593" s="23" t="s">
        <v>1466</v>
      </c>
      <c r="F593" s="23" t="s">
        <v>1442</v>
      </c>
      <c r="G593" s="23" t="s">
        <v>901</v>
      </c>
      <c r="H593" s="23" t="s">
        <v>902</v>
      </c>
      <c r="I593" s="23" t="s">
        <v>656</v>
      </c>
      <c r="J593" s="23" t="s">
        <v>1467</v>
      </c>
    </row>
    <row r="594" spans="1:10" ht="19.5" customHeight="1" x14ac:dyDescent="0.35">
      <c r="A594" s="27" t="s">
        <v>896</v>
      </c>
      <c r="B594" s="27" t="s">
        <v>1468</v>
      </c>
      <c r="C594" s="27" t="s">
        <v>1077</v>
      </c>
      <c r="D594" s="28">
        <v>1</v>
      </c>
      <c r="E594" s="27" t="s">
        <v>1469</v>
      </c>
      <c r="F594" s="27" t="s">
        <v>1026</v>
      </c>
      <c r="G594" s="27" t="s">
        <v>901</v>
      </c>
      <c r="H594" s="27" t="s">
        <v>902</v>
      </c>
      <c r="I594" s="27" t="s">
        <v>656</v>
      </c>
      <c r="J594" s="27" t="s">
        <v>1470</v>
      </c>
    </row>
    <row r="595" spans="1:10" ht="19.5" customHeight="1" x14ac:dyDescent="0.35">
      <c r="A595" s="23" t="s">
        <v>896</v>
      </c>
      <c r="B595" s="23" t="s">
        <v>1471</v>
      </c>
      <c r="C595" s="23" t="s">
        <v>921</v>
      </c>
      <c r="D595" s="24">
        <v>1</v>
      </c>
      <c r="E595" s="23" t="s">
        <v>1472</v>
      </c>
      <c r="F595" s="23" t="s">
        <v>1442</v>
      </c>
      <c r="G595" s="23" t="s">
        <v>901</v>
      </c>
      <c r="H595" s="23" t="s">
        <v>902</v>
      </c>
      <c r="I595" s="23" t="s">
        <v>656</v>
      </c>
      <c r="J595" s="23" t="s">
        <v>1473</v>
      </c>
    </row>
    <row r="596" spans="1:10" ht="19.5" customHeight="1" x14ac:dyDescent="0.35">
      <c r="A596" s="23" t="s">
        <v>896</v>
      </c>
      <c r="B596" s="23" t="s">
        <v>1474</v>
      </c>
      <c r="C596" s="23" t="s">
        <v>905</v>
      </c>
      <c r="D596" s="24">
        <v>1</v>
      </c>
      <c r="E596" s="23" t="s">
        <v>1475</v>
      </c>
      <c r="F596" s="23" t="s">
        <v>1442</v>
      </c>
      <c r="G596" s="23" t="s">
        <v>901</v>
      </c>
      <c r="H596" s="23" t="s">
        <v>902</v>
      </c>
      <c r="I596" s="23" t="s">
        <v>656</v>
      </c>
      <c r="J596" s="23" t="s">
        <v>1476</v>
      </c>
    </row>
    <row r="597" spans="1:10" ht="19.5" customHeight="1" x14ac:dyDescent="0.35">
      <c r="A597" s="23" t="s">
        <v>896</v>
      </c>
      <c r="B597" s="23" t="s">
        <v>1477</v>
      </c>
      <c r="C597" s="23" t="s">
        <v>913</v>
      </c>
      <c r="D597" s="24">
        <v>1</v>
      </c>
      <c r="E597" s="23" t="s">
        <v>1478</v>
      </c>
      <c r="F597" s="23" t="s">
        <v>1442</v>
      </c>
      <c r="G597" s="23" t="s">
        <v>901</v>
      </c>
      <c r="H597" s="23" t="s">
        <v>902</v>
      </c>
      <c r="I597" s="23" t="s">
        <v>656</v>
      </c>
      <c r="J597" s="23" t="s">
        <v>1479</v>
      </c>
    </row>
    <row r="598" spans="1:10" ht="19.5" customHeight="1" x14ac:dyDescent="0.35">
      <c r="A598" s="23" t="s">
        <v>896</v>
      </c>
      <c r="B598" s="23" t="s">
        <v>1480</v>
      </c>
      <c r="C598" s="23" t="s">
        <v>1122</v>
      </c>
      <c r="D598" s="24">
        <v>1</v>
      </c>
      <c r="E598" s="23" t="s">
        <v>1481</v>
      </c>
      <c r="F598" s="23" t="s">
        <v>1442</v>
      </c>
      <c r="G598" s="23" t="s">
        <v>901</v>
      </c>
      <c r="H598" s="23" t="s">
        <v>902</v>
      </c>
      <c r="I598" s="23" t="s">
        <v>656</v>
      </c>
      <c r="J598" s="23" t="s">
        <v>1482</v>
      </c>
    </row>
    <row r="599" spans="1:10" ht="19.5" customHeight="1" x14ac:dyDescent="0.35">
      <c r="A599" s="23" t="s">
        <v>896</v>
      </c>
      <c r="B599" s="23" t="s">
        <v>1483</v>
      </c>
      <c r="C599" s="23" t="s">
        <v>1122</v>
      </c>
      <c r="D599" s="24">
        <v>1</v>
      </c>
      <c r="E599" s="23" t="s">
        <v>1484</v>
      </c>
      <c r="F599" s="23" t="s">
        <v>1442</v>
      </c>
      <c r="G599" s="23" t="s">
        <v>901</v>
      </c>
      <c r="H599" s="23" t="s">
        <v>902</v>
      </c>
      <c r="I599" s="23" t="s">
        <v>656</v>
      </c>
      <c r="J599" s="23" t="s">
        <v>1485</v>
      </c>
    </row>
    <row r="600" spans="1:10" ht="19.5" customHeight="1" x14ac:dyDescent="0.35">
      <c r="A600" s="23" t="s">
        <v>896</v>
      </c>
      <c r="B600" s="23" t="s">
        <v>1486</v>
      </c>
      <c r="C600" s="23" t="s">
        <v>905</v>
      </c>
      <c r="D600" s="24">
        <v>1</v>
      </c>
      <c r="E600" s="23" t="s">
        <v>1487</v>
      </c>
      <c r="F600" s="23" t="s">
        <v>1442</v>
      </c>
      <c r="G600" s="23" t="s">
        <v>901</v>
      </c>
      <c r="H600" s="23" t="s">
        <v>902</v>
      </c>
      <c r="I600" s="23" t="s">
        <v>656</v>
      </c>
      <c r="J600" s="23" t="s">
        <v>1488</v>
      </c>
    </row>
    <row r="601" spans="1:10" ht="19.5" customHeight="1" x14ac:dyDescent="0.35">
      <c r="A601" s="23" t="s">
        <v>896</v>
      </c>
      <c r="B601" s="23" t="s">
        <v>1489</v>
      </c>
      <c r="C601" s="23" t="s">
        <v>1490</v>
      </c>
      <c r="D601" s="24">
        <v>1</v>
      </c>
      <c r="E601" s="23" t="s">
        <v>1491</v>
      </c>
      <c r="F601" s="23" t="s">
        <v>1442</v>
      </c>
      <c r="G601" s="23" t="s">
        <v>901</v>
      </c>
      <c r="H601" s="23" t="s">
        <v>902</v>
      </c>
      <c r="I601" s="23" t="s">
        <v>656</v>
      </c>
      <c r="J601" s="23" t="s">
        <v>1492</v>
      </c>
    </row>
    <row r="602" spans="1:10" ht="19.5" customHeight="1" x14ac:dyDescent="0.35">
      <c r="A602" s="23" t="s">
        <v>896</v>
      </c>
      <c r="B602" s="23" t="s">
        <v>1493</v>
      </c>
      <c r="C602" s="23" t="s">
        <v>1494</v>
      </c>
      <c r="D602" s="24">
        <v>1</v>
      </c>
      <c r="E602" s="23" t="s">
        <v>1495</v>
      </c>
      <c r="F602" s="23" t="s">
        <v>1442</v>
      </c>
      <c r="G602" s="23" t="s">
        <v>901</v>
      </c>
      <c r="H602" s="23" t="s">
        <v>902</v>
      </c>
      <c r="I602" s="23" t="s">
        <v>656</v>
      </c>
      <c r="J602" s="23" t="s">
        <v>1496</v>
      </c>
    </row>
    <row r="603" spans="1:10" ht="19.5" customHeight="1" x14ac:dyDescent="0.35">
      <c r="A603" s="23" t="s">
        <v>896</v>
      </c>
      <c r="B603" s="23" t="s">
        <v>1497</v>
      </c>
      <c r="C603" s="23" t="s">
        <v>989</v>
      </c>
      <c r="D603" s="24">
        <v>1</v>
      </c>
      <c r="E603" s="23" t="s">
        <v>1498</v>
      </c>
      <c r="F603" s="23" t="s">
        <v>1442</v>
      </c>
      <c r="G603" s="23" t="s">
        <v>901</v>
      </c>
      <c r="H603" s="23" t="s">
        <v>902</v>
      </c>
      <c r="I603" s="23" t="s">
        <v>656</v>
      </c>
      <c r="J603" s="23" t="s">
        <v>1499</v>
      </c>
    </row>
    <row r="604" spans="1:10" ht="19.5" customHeight="1" x14ac:dyDescent="0.35">
      <c r="A604" s="23" t="s">
        <v>896</v>
      </c>
      <c r="B604" s="23" t="s">
        <v>1500</v>
      </c>
      <c r="C604" s="23" t="s">
        <v>1077</v>
      </c>
      <c r="D604" s="24">
        <v>1</v>
      </c>
      <c r="E604" s="23" t="s">
        <v>1501</v>
      </c>
      <c r="F604" s="23" t="s">
        <v>1442</v>
      </c>
      <c r="G604" s="23" t="s">
        <v>901</v>
      </c>
      <c r="H604" s="23" t="s">
        <v>902</v>
      </c>
      <c r="I604" s="23" t="s">
        <v>656</v>
      </c>
      <c r="J604" s="23" t="s">
        <v>1502</v>
      </c>
    </row>
    <row r="605" spans="1:10" ht="19.5" customHeight="1" x14ac:dyDescent="0.35">
      <c r="A605" s="23" t="s">
        <v>896</v>
      </c>
      <c r="B605" s="23" t="s">
        <v>1503</v>
      </c>
      <c r="C605" s="23" t="s">
        <v>1295</v>
      </c>
      <c r="D605" s="24">
        <v>1</v>
      </c>
      <c r="E605" s="23" t="s">
        <v>1504</v>
      </c>
      <c r="F605" s="23" t="s">
        <v>1442</v>
      </c>
      <c r="G605" s="23" t="s">
        <v>901</v>
      </c>
      <c r="H605" s="23" t="s">
        <v>902</v>
      </c>
      <c r="I605" s="23" t="s">
        <v>656</v>
      </c>
      <c r="J605" s="23" t="s">
        <v>1505</v>
      </c>
    </row>
    <row r="606" spans="1:10" ht="19.5" customHeight="1" x14ac:dyDescent="0.35">
      <c r="A606" s="23" t="s">
        <v>896</v>
      </c>
      <c r="B606" s="23" t="s">
        <v>1506</v>
      </c>
      <c r="C606" s="23" t="s">
        <v>1118</v>
      </c>
      <c r="D606" s="24">
        <v>1</v>
      </c>
      <c r="E606" s="23" t="s">
        <v>1507</v>
      </c>
      <c r="F606" s="23" t="s">
        <v>1442</v>
      </c>
      <c r="G606" s="23" t="s">
        <v>901</v>
      </c>
      <c r="H606" s="23" t="s">
        <v>902</v>
      </c>
      <c r="I606" s="23" t="s">
        <v>656</v>
      </c>
      <c r="J606" s="23" t="s">
        <v>1508</v>
      </c>
    </row>
    <row r="607" spans="1:10" ht="19.5" customHeight="1" x14ac:dyDescent="0.35">
      <c r="A607" s="23" t="s">
        <v>896</v>
      </c>
      <c r="B607" s="23" t="s">
        <v>1509</v>
      </c>
      <c r="C607" s="23" t="s">
        <v>963</v>
      </c>
      <c r="D607" s="24">
        <v>1</v>
      </c>
      <c r="E607" s="23" t="s">
        <v>1510</v>
      </c>
      <c r="F607" s="23" t="s">
        <v>1442</v>
      </c>
      <c r="G607" s="23" t="s">
        <v>901</v>
      </c>
      <c r="H607" s="23" t="s">
        <v>902</v>
      </c>
      <c r="I607" s="23" t="s">
        <v>656</v>
      </c>
      <c r="J607" s="23" t="s">
        <v>1511</v>
      </c>
    </row>
    <row r="608" spans="1:10" ht="19.5" customHeight="1" x14ac:dyDescent="0.35">
      <c r="A608" s="23" t="s">
        <v>896</v>
      </c>
      <c r="B608" s="23" t="s">
        <v>1512</v>
      </c>
      <c r="C608" s="23" t="s">
        <v>1136</v>
      </c>
      <c r="D608" s="24">
        <v>1</v>
      </c>
      <c r="E608" s="23" t="s">
        <v>1513</v>
      </c>
      <c r="F608" s="23" t="s">
        <v>1442</v>
      </c>
      <c r="G608" s="23" t="s">
        <v>901</v>
      </c>
      <c r="H608" s="23" t="s">
        <v>902</v>
      </c>
      <c r="I608" s="23" t="s">
        <v>656</v>
      </c>
      <c r="J608" s="23" t="s">
        <v>1514</v>
      </c>
    </row>
    <row r="609" spans="1:10" ht="19.5" customHeight="1" x14ac:dyDescent="0.35">
      <c r="A609" s="23" t="s">
        <v>896</v>
      </c>
      <c r="B609" s="23" t="s">
        <v>1515</v>
      </c>
      <c r="C609" s="23" t="s">
        <v>1136</v>
      </c>
      <c r="D609" s="24">
        <v>1</v>
      </c>
      <c r="E609" s="23" t="s">
        <v>1516</v>
      </c>
      <c r="F609" s="23" t="s">
        <v>1442</v>
      </c>
      <c r="G609" s="23" t="s">
        <v>901</v>
      </c>
      <c r="H609" s="23" t="s">
        <v>902</v>
      </c>
      <c r="I609" s="23" t="s">
        <v>656</v>
      </c>
      <c r="J609" s="23" t="s">
        <v>1517</v>
      </c>
    </row>
    <row r="610" spans="1:10" ht="19.5" customHeight="1" x14ac:dyDescent="0.35">
      <c r="A610" s="23" t="s">
        <v>896</v>
      </c>
      <c r="B610" s="23" t="s">
        <v>1518</v>
      </c>
      <c r="C610" s="23" t="s">
        <v>905</v>
      </c>
      <c r="D610" s="24">
        <v>1</v>
      </c>
      <c r="E610" s="23" t="s">
        <v>1519</v>
      </c>
      <c r="F610" s="23" t="s">
        <v>1442</v>
      </c>
      <c r="G610" s="23" t="s">
        <v>901</v>
      </c>
      <c r="H610" s="23" t="s">
        <v>902</v>
      </c>
      <c r="I610" s="23" t="s">
        <v>656</v>
      </c>
      <c r="J610" s="23" t="s">
        <v>1520</v>
      </c>
    </row>
    <row r="611" spans="1:10" ht="19.5" customHeight="1" x14ac:dyDescent="0.35">
      <c r="A611" s="23" t="s">
        <v>896</v>
      </c>
      <c r="B611" s="23" t="s">
        <v>1521</v>
      </c>
      <c r="C611" s="23" t="s">
        <v>963</v>
      </c>
      <c r="D611" s="24">
        <v>1</v>
      </c>
      <c r="E611" s="23" t="s">
        <v>1522</v>
      </c>
      <c r="F611" s="23" t="s">
        <v>1442</v>
      </c>
      <c r="G611" s="23" t="s">
        <v>901</v>
      </c>
      <c r="H611" s="23" t="s">
        <v>902</v>
      </c>
      <c r="I611" s="23" t="s">
        <v>656</v>
      </c>
      <c r="J611" s="23" t="s">
        <v>1523</v>
      </c>
    </row>
    <row r="612" spans="1:10" ht="19.5" customHeight="1" x14ac:dyDescent="0.35">
      <c r="A612" s="23" t="s">
        <v>896</v>
      </c>
      <c r="B612" s="23" t="s">
        <v>1524</v>
      </c>
      <c r="C612" s="23" t="s">
        <v>1122</v>
      </c>
      <c r="D612" s="24">
        <v>1</v>
      </c>
      <c r="E612" s="23" t="s">
        <v>1525</v>
      </c>
      <c r="F612" s="23" t="s">
        <v>1442</v>
      </c>
      <c r="G612" s="23" t="s">
        <v>901</v>
      </c>
      <c r="H612" s="23" t="s">
        <v>902</v>
      </c>
      <c r="I612" s="23" t="s">
        <v>656</v>
      </c>
      <c r="J612" s="23" t="s">
        <v>1526</v>
      </c>
    </row>
    <row r="613" spans="1:10" ht="19.5" customHeight="1" x14ac:dyDescent="0.35">
      <c r="A613" s="23" t="s">
        <v>896</v>
      </c>
      <c r="B613" s="23" t="s">
        <v>1527</v>
      </c>
      <c r="C613" s="23" t="s">
        <v>905</v>
      </c>
      <c r="D613" s="24">
        <v>1</v>
      </c>
      <c r="E613" s="23" t="s">
        <v>1528</v>
      </c>
      <c r="F613" s="23" t="s">
        <v>1442</v>
      </c>
      <c r="G613" s="23" t="s">
        <v>901</v>
      </c>
      <c r="H613" s="23" t="s">
        <v>902</v>
      </c>
      <c r="I613" s="23" t="s">
        <v>656</v>
      </c>
      <c r="J613" s="23" t="s">
        <v>1529</v>
      </c>
    </row>
    <row r="614" spans="1:10" ht="19.5" customHeight="1" x14ac:dyDescent="0.35">
      <c r="A614" s="23" t="s">
        <v>896</v>
      </c>
      <c r="B614" s="23" t="s">
        <v>1530</v>
      </c>
      <c r="C614" s="23" t="s">
        <v>996</v>
      </c>
      <c r="D614" s="24">
        <v>1</v>
      </c>
      <c r="E614" s="23" t="s">
        <v>1531</v>
      </c>
      <c r="F614" s="23" t="s">
        <v>1442</v>
      </c>
      <c r="G614" s="23" t="s">
        <v>901</v>
      </c>
      <c r="H614" s="23" t="s">
        <v>902</v>
      </c>
      <c r="I614" s="23" t="s">
        <v>656</v>
      </c>
      <c r="J614" s="23" t="s">
        <v>1532</v>
      </c>
    </row>
    <row r="615" spans="1:10" ht="19.5" customHeight="1" x14ac:dyDescent="0.35">
      <c r="A615" s="23" t="s">
        <v>896</v>
      </c>
      <c r="B615" s="23" t="s">
        <v>1533</v>
      </c>
      <c r="C615" s="23" t="s">
        <v>1299</v>
      </c>
      <c r="D615" s="24">
        <v>1</v>
      </c>
      <c r="E615" s="23" t="s">
        <v>1534</v>
      </c>
      <c r="F615" s="23" t="s">
        <v>1442</v>
      </c>
      <c r="G615" s="23" t="s">
        <v>901</v>
      </c>
      <c r="H615" s="23" t="s">
        <v>902</v>
      </c>
      <c r="I615" s="23" t="s">
        <v>656</v>
      </c>
      <c r="J615" s="23" t="s">
        <v>1535</v>
      </c>
    </row>
    <row r="616" spans="1:10" ht="19.5" customHeight="1" x14ac:dyDescent="0.35">
      <c r="A616" s="27" t="s">
        <v>896</v>
      </c>
      <c r="B616" s="27" t="s">
        <v>1536</v>
      </c>
      <c r="C616" s="27" t="s">
        <v>1009</v>
      </c>
      <c r="D616" s="28">
        <v>1</v>
      </c>
      <c r="E616" s="27" t="s">
        <v>1537</v>
      </c>
      <c r="F616" s="27" t="s">
        <v>1026</v>
      </c>
      <c r="G616" s="27" t="s">
        <v>901</v>
      </c>
      <c r="H616" s="27" t="s">
        <v>902</v>
      </c>
      <c r="I616" s="27" t="s">
        <v>656</v>
      </c>
      <c r="J616" s="27" t="s">
        <v>1538</v>
      </c>
    </row>
    <row r="617" spans="1:10" ht="19.5" customHeight="1" x14ac:dyDescent="0.35">
      <c r="A617" s="23" t="s">
        <v>896</v>
      </c>
      <c r="B617" s="23" t="s">
        <v>1539</v>
      </c>
      <c r="C617" s="23" t="s">
        <v>973</v>
      </c>
      <c r="D617" s="24">
        <v>1</v>
      </c>
      <c r="E617" s="23" t="s">
        <v>1540</v>
      </c>
      <c r="F617" s="23" t="s">
        <v>1442</v>
      </c>
      <c r="G617" s="23" t="s">
        <v>901</v>
      </c>
      <c r="H617" s="23" t="s">
        <v>902</v>
      </c>
      <c r="I617" s="23" t="s">
        <v>656</v>
      </c>
      <c r="J617" s="23" t="s">
        <v>1541</v>
      </c>
    </row>
    <row r="618" spans="1:10" ht="19.5" customHeight="1" x14ac:dyDescent="0.35">
      <c r="A618" s="23" t="s">
        <v>896</v>
      </c>
      <c r="B618" s="23" t="s">
        <v>1542</v>
      </c>
      <c r="C618" s="23" t="s">
        <v>1136</v>
      </c>
      <c r="D618" s="24">
        <v>1</v>
      </c>
      <c r="E618" s="23" t="s">
        <v>1543</v>
      </c>
      <c r="F618" s="23" t="s">
        <v>1442</v>
      </c>
      <c r="G618" s="23" t="s">
        <v>901</v>
      </c>
      <c r="H618" s="23" t="s">
        <v>902</v>
      </c>
      <c r="I618" s="23" t="s">
        <v>656</v>
      </c>
      <c r="J618" s="23" t="s">
        <v>1544</v>
      </c>
    </row>
    <row r="619" spans="1:10" ht="19.5" customHeight="1" x14ac:dyDescent="0.35">
      <c r="A619" s="23" t="s">
        <v>896</v>
      </c>
      <c r="B619" s="23" t="s">
        <v>1545</v>
      </c>
      <c r="C619" s="23" t="s">
        <v>1084</v>
      </c>
      <c r="D619" s="24">
        <v>1</v>
      </c>
      <c r="E619" s="23" t="s">
        <v>1546</v>
      </c>
      <c r="F619" s="23" t="s">
        <v>1442</v>
      </c>
      <c r="G619" s="23" t="s">
        <v>901</v>
      </c>
      <c r="H619" s="23" t="s">
        <v>902</v>
      </c>
      <c r="I619" s="23" t="s">
        <v>656</v>
      </c>
      <c r="J619" s="23" t="s">
        <v>1547</v>
      </c>
    </row>
    <row r="620" spans="1:10" ht="19.5" customHeight="1" x14ac:dyDescent="0.35">
      <c r="A620" s="23" t="s">
        <v>896</v>
      </c>
      <c r="B620" s="23" t="s">
        <v>1548</v>
      </c>
      <c r="C620" s="23" t="s">
        <v>1122</v>
      </c>
      <c r="D620" s="24">
        <v>1</v>
      </c>
      <c r="E620" s="23" t="s">
        <v>1549</v>
      </c>
      <c r="F620" s="23" t="s">
        <v>1442</v>
      </c>
      <c r="G620" s="23" t="s">
        <v>901</v>
      </c>
      <c r="H620" s="23" t="s">
        <v>902</v>
      </c>
      <c r="I620" s="23" t="s">
        <v>656</v>
      </c>
      <c r="J620" s="23" t="s">
        <v>1550</v>
      </c>
    </row>
    <row r="621" spans="1:10" ht="19.5" customHeight="1" x14ac:dyDescent="0.35">
      <c r="A621" s="23" t="s">
        <v>896</v>
      </c>
      <c r="B621" s="23" t="s">
        <v>1551</v>
      </c>
      <c r="C621" s="23" t="s">
        <v>1084</v>
      </c>
      <c r="D621" s="24">
        <v>1</v>
      </c>
      <c r="E621" s="23" t="s">
        <v>1552</v>
      </c>
      <c r="F621" s="23" t="s">
        <v>1442</v>
      </c>
      <c r="G621" s="23" t="s">
        <v>901</v>
      </c>
      <c r="H621" s="23" t="s">
        <v>902</v>
      </c>
      <c r="I621" s="23" t="s">
        <v>656</v>
      </c>
      <c r="J621" s="23" t="s">
        <v>1553</v>
      </c>
    </row>
    <row r="622" spans="1:10" ht="19.5" customHeight="1" x14ac:dyDescent="0.35">
      <c r="A622" s="27" t="s">
        <v>896</v>
      </c>
      <c r="B622" s="27" t="s">
        <v>1554</v>
      </c>
      <c r="C622" s="27" t="s">
        <v>1077</v>
      </c>
      <c r="D622" s="28">
        <v>1</v>
      </c>
      <c r="E622" s="27" t="s">
        <v>1555</v>
      </c>
      <c r="F622" s="27" t="s">
        <v>1026</v>
      </c>
      <c r="G622" s="27" t="s">
        <v>901</v>
      </c>
      <c r="H622" s="27" t="s">
        <v>902</v>
      </c>
      <c r="I622" s="27" t="s">
        <v>656</v>
      </c>
      <c r="J622" s="27" t="s">
        <v>1556</v>
      </c>
    </row>
    <row r="623" spans="1:10" ht="19.5" customHeight="1" x14ac:dyDescent="0.35">
      <c r="A623" s="23" t="s">
        <v>896</v>
      </c>
      <c r="B623" s="23" t="s">
        <v>1557</v>
      </c>
      <c r="C623" s="23" t="s">
        <v>1240</v>
      </c>
      <c r="D623" s="24">
        <v>1</v>
      </c>
      <c r="E623" s="23" t="s">
        <v>1558</v>
      </c>
      <c r="F623" s="23" t="s">
        <v>1442</v>
      </c>
      <c r="G623" s="23" t="s">
        <v>901</v>
      </c>
      <c r="H623" s="23" t="s">
        <v>902</v>
      </c>
      <c r="I623" s="23" t="s">
        <v>656</v>
      </c>
      <c r="J623" s="23" t="s">
        <v>1559</v>
      </c>
    </row>
    <row r="624" spans="1:10" ht="19.5" customHeight="1" x14ac:dyDescent="0.35">
      <c r="A624" s="23" t="s">
        <v>896</v>
      </c>
      <c r="B624" s="23" t="s">
        <v>1560</v>
      </c>
      <c r="C624" s="23" t="s">
        <v>921</v>
      </c>
      <c r="D624" s="24">
        <v>1</v>
      </c>
      <c r="E624" s="23" t="s">
        <v>1561</v>
      </c>
      <c r="F624" s="23" t="s">
        <v>1442</v>
      </c>
      <c r="G624" s="23" t="s">
        <v>901</v>
      </c>
      <c r="H624" s="23" t="s">
        <v>902</v>
      </c>
      <c r="I624" s="23" t="s">
        <v>656</v>
      </c>
      <c r="J624" s="23" t="s">
        <v>1562</v>
      </c>
    </row>
    <row r="625" spans="1:10" ht="19.5" customHeight="1" x14ac:dyDescent="0.35">
      <c r="A625" s="23" t="s">
        <v>896</v>
      </c>
      <c r="B625" s="23" t="s">
        <v>1563</v>
      </c>
      <c r="C625" s="23" t="s">
        <v>921</v>
      </c>
      <c r="D625" s="24">
        <v>1</v>
      </c>
      <c r="E625" s="23" t="s">
        <v>1564</v>
      </c>
      <c r="F625" s="23" t="s">
        <v>1442</v>
      </c>
      <c r="G625" s="23" t="s">
        <v>901</v>
      </c>
      <c r="H625" s="23" t="s">
        <v>902</v>
      </c>
      <c r="I625" s="23" t="s">
        <v>656</v>
      </c>
      <c r="J625" s="23" t="s">
        <v>1565</v>
      </c>
    </row>
    <row r="626" spans="1:10" ht="19.5" customHeight="1" x14ac:dyDescent="0.35">
      <c r="A626" s="23" t="s">
        <v>896</v>
      </c>
      <c r="B626" s="23" t="s">
        <v>1566</v>
      </c>
      <c r="C626" s="23" t="s">
        <v>946</v>
      </c>
      <c r="D626" s="24">
        <v>1</v>
      </c>
      <c r="E626" s="23" t="s">
        <v>1567</v>
      </c>
      <c r="F626" s="23" t="s">
        <v>1442</v>
      </c>
      <c r="G626" s="23" t="s">
        <v>901</v>
      </c>
      <c r="H626" s="23" t="s">
        <v>902</v>
      </c>
      <c r="I626" s="23" t="s">
        <v>656</v>
      </c>
      <c r="J626" s="23" t="s">
        <v>1568</v>
      </c>
    </row>
    <row r="627" spans="1:10" ht="19.5" customHeight="1" x14ac:dyDescent="0.35">
      <c r="A627" s="23" t="s">
        <v>896</v>
      </c>
      <c r="B627" s="23" t="s">
        <v>1569</v>
      </c>
      <c r="C627" s="23" t="s">
        <v>973</v>
      </c>
      <c r="D627" s="24">
        <v>1</v>
      </c>
      <c r="E627" s="23" t="s">
        <v>1570</v>
      </c>
      <c r="F627" s="23" t="s">
        <v>1442</v>
      </c>
      <c r="G627" s="23" t="s">
        <v>901</v>
      </c>
      <c r="H627" s="23" t="s">
        <v>902</v>
      </c>
      <c r="I627" s="23" t="s">
        <v>656</v>
      </c>
      <c r="J627" s="23" t="s">
        <v>1571</v>
      </c>
    </row>
    <row r="628" spans="1:10" ht="19.5" customHeight="1" x14ac:dyDescent="0.35">
      <c r="A628" s="23" t="s">
        <v>896</v>
      </c>
      <c r="B628" s="23" t="s">
        <v>1572</v>
      </c>
      <c r="C628" s="23" t="s">
        <v>1122</v>
      </c>
      <c r="D628" s="24">
        <v>1</v>
      </c>
      <c r="E628" s="23" t="s">
        <v>1573</v>
      </c>
      <c r="F628" s="23" t="s">
        <v>1442</v>
      </c>
      <c r="G628" s="23" t="s">
        <v>901</v>
      </c>
      <c r="H628" s="23" t="s">
        <v>902</v>
      </c>
      <c r="I628" s="23" t="s">
        <v>656</v>
      </c>
      <c r="J628" s="23" t="s">
        <v>1574</v>
      </c>
    </row>
    <row r="629" spans="1:10" ht="19.5" customHeight="1" x14ac:dyDescent="0.35">
      <c r="A629" s="27" t="s">
        <v>896</v>
      </c>
      <c r="B629" s="27" t="s">
        <v>1575</v>
      </c>
      <c r="C629" s="27" t="s">
        <v>1077</v>
      </c>
      <c r="D629" s="28">
        <v>1</v>
      </c>
      <c r="E629" s="27" t="s">
        <v>1576</v>
      </c>
      <c r="F629" s="27" t="s">
        <v>1026</v>
      </c>
      <c r="G629" s="27" t="s">
        <v>901</v>
      </c>
      <c r="H629" s="27" t="s">
        <v>902</v>
      </c>
      <c r="I629" s="27" t="s">
        <v>656</v>
      </c>
      <c r="J629" s="27" t="s">
        <v>1577</v>
      </c>
    </row>
    <row r="630" spans="1:10" ht="19.5" customHeight="1" x14ac:dyDescent="0.35">
      <c r="A630" s="23" t="s">
        <v>896</v>
      </c>
      <c r="B630" s="23" t="s">
        <v>1578</v>
      </c>
      <c r="C630" s="23" t="s">
        <v>898</v>
      </c>
      <c r="D630" s="24">
        <v>1</v>
      </c>
      <c r="E630" s="23" t="s">
        <v>1579</v>
      </c>
      <c r="F630" s="23" t="s">
        <v>1442</v>
      </c>
      <c r="G630" s="23" t="s">
        <v>901</v>
      </c>
      <c r="H630" s="23" t="s">
        <v>902</v>
      </c>
      <c r="I630" s="23" t="s">
        <v>656</v>
      </c>
      <c r="J630" s="23" t="s">
        <v>1580</v>
      </c>
    </row>
    <row r="631" spans="1:10" ht="19.5" customHeight="1" x14ac:dyDescent="0.35">
      <c r="A631" s="23" t="s">
        <v>896</v>
      </c>
      <c r="B631" s="23" t="s">
        <v>1581</v>
      </c>
      <c r="C631" s="23" t="s">
        <v>1582</v>
      </c>
      <c r="D631" s="24">
        <v>1</v>
      </c>
      <c r="E631" s="23" t="s">
        <v>1583</v>
      </c>
      <c r="F631" s="23" t="s">
        <v>1442</v>
      </c>
      <c r="G631" s="23" t="s">
        <v>901</v>
      </c>
      <c r="H631" s="23" t="s">
        <v>902</v>
      </c>
      <c r="I631" s="23" t="s">
        <v>656</v>
      </c>
      <c r="J631" s="23" t="s">
        <v>1584</v>
      </c>
    </row>
    <row r="632" spans="1:10" ht="19.5" customHeight="1" x14ac:dyDescent="0.35">
      <c r="A632" s="23" t="s">
        <v>896</v>
      </c>
      <c r="B632" s="23" t="s">
        <v>1585</v>
      </c>
      <c r="C632" s="23" t="s">
        <v>1070</v>
      </c>
      <c r="D632" s="24">
        <v>1</v>
      </c>
      <c r="E632" s="23" t="s">
        <v>1586</v>
      </c>
      <c r="F632" s="23" t="s">
        <v>1442</v>
      </c>
      <c r="G632" s="23" t="s">
        <v>901</v>
      </c>
      <c r="H632" s="23" t="s">
        <v>902</v>
      </c>
      <c r="I632" s="23" t="s">
        <v>656</v>
      </c>
      <c r="J632" s="23" t="s">
        <v>1587</v>
      </c>
    </row>
    <row r="633" spans="1:10" ht="19.5" customHeight="1" x14ac:dyDescent="0.35">
      <c r="A633" s="23" t="s">
        <v>896</v>
      </c>
      <c r="B633" s="23" t="s">
        <v>1588</v>
      </c>
      <c r="C633" s="23" t="s">
        <v>1136</v>
      </c>
      <c r="D633" s="24">
        <v>1</v>
      </c>
      <c r="E633" s="23" t="s">
        <v>1589</v>
      </c>
      <c r="F633" s="23" t="s">
        <v>1442</v>
      </c>
      <c r="G633" s="23" t="s">
        <v>901</v>
      </c>
      <c r="H633" s="23" t="s">
        <v>902</v>
      </c>
      <c r="I633" s="23" t="s">
        <v>656</v>
      </c>
      <c r="J633" s="23" t="s">
        <v>1590</v>
      </c>
    </row>
    <row r="634" spans="1:10" ht="19.5" customHeight="1" x14ac:dyDescent="0.35">
      <c r="A634" s="23" t="s">
        <v>896</v>
      </c>
      <c r="B634" s="23" t="s">
        <v>1591</v>
      </c>
      <c r="C634" s="23" t="s">
        <v>929</v>
      </c>
      <c r="D634" s="24">
        <v>1</v>
      </c>
      <c r="E634" s="23" t="s">
        <v>1592</v>
      </c>
      <c r="F634" s="23" t="s">
        <v>1442</v>
      </c>
      <c r="G634" s="23" t="s">
        <v>901</v>
      </c>
      <c r="H634" s="23" t="s">
        <v>902</v>
      </c>
      <c r="I634" s="23" t="s">
        <v>656</v>
      </c>
      <c r="J634" s="23" t="s">
        <v>1593</v>
      </c>
    </row>
    <row r="635" spans="1:10" ht="19.5" customHeight="1" x14ac:dyDescent="0.35">
      <c r="A635" s="23" t="s">
        <v>896</v>
      </c>
      <c r="B635" s="23" t="s">
        <v>1594</v>
      </c>
      <c r="C635" s="23" t="s">
        <v>909</v>
      </c>
      <c r="D635" s="24">
        <v>1</v>
      </c>
      <c r="E635" s="23" t="s">
        <v>1595</v>
      </c>
      <c r="F635" s="23" t="s">
        <v>1442</v>
      </c>
      <c r="G635" s="23" t="s">
        <v>901</v>
      </c>
      <c r="H635" s="23" t="s">
        <v>902</v>
      </c>
      <c r="I635" s="23" t="s">
        <v>656</v>
      </c>
      <c r="J635" s="23" t="s">
        <v>1596</v>
      </c>
    </row>
    <row r="636" spans="1:10" ht="19.5" customHeight="1" x14ac:dyDescent="0.35">
      <c r="A636" s="23" t="s">
        <v>896</v>
      </c>
      <c r="B636" s="23" t="s">
        <v>1597</v>
      </c>
      <c r="C636" s="23" t="s">
        <v>1101</v>
      </c>
      <c r="D636" s="24">
        <v>1</v>
      </c>
      <c r="E636" s="23" t="s">
        <v>1598</v>
      </c>
      <c r="F636" s="23" t="s">
        <v>1442</v>
      </c>
      <c r="G636" s="23" t="s">
        <v>901</v>
      </c>
      <c r="H636" s="23" t="s">
        <v>902</v>
      </c>
      <c r="I636" s="23" t="s">
        <v>656</v>
      </c>
      <c r="J636" s="23" t="s">
        <v>1599</v>
      </c>
    </row>
    <row r="637" spans="1:10" ht="19.5" customHeight="1" x14ac:dyDescent="0.35">
      <c r="A637" s="23" t="s">
        <v>896</v>
      </c>
      <c r="B637" s="23" t="s">
        <v>1600</v>
      </c>
      <c r="C637" s="23" t="s">
        <v>1122</v>
      </c>
      <c r="D637" s="24">
        <v>1</v>
      </c>
      <c r="E637" s="23" t="s">
        <v>1601</v>
      </c>
      <c r="F637" s="23" t="s">
        <v>1442</v>
      </c>
      <c r="G637" s="23" t="s">
        <v>901</v>
      </c>
      <c r="H637" s="23" t="s">
        <v>902</v>
      </c>
      <c r="I637" s="23" t="s">
        <v>656</v>
      </c>
      <c r="J637" s="23" t="s">
        <v>1602</v>
      </c>
    </row>
    <row r="638" spans="1:10" ht="19.5" customHeight="1" x14ac:dyDescent="0.35">
      <c r="A638" s="23" t="s">
        <v>896</v>
      </c>
      <c r="B638" s="23" t="s">
        <v>1603</v>
      </c>
      <c r="C638" s="23" t="s">
        <v>913</v>
      </c>
      <c r="D638" s="24">
        <v>1</v>
      </c>
      <c r="E638" s="23" t="s">
        <v>1604</v>
      </c>
      <c r="F638" s="23" t="s">
        <v>1442</v>
      </c>
      <c r="G638" s="23" t="s">
        <v>901</v>
      </c>
      <c r="H638" s="23" t="s">
        <v>902</v>
      </c>
      <c r="I638" s="23" t="s">
        <v>656</v>
      </c>
      <c r="J638" s="23" t="s">
        <v>1605</v>
      </c>
    </row>
    <row r="639" spans="1:10" ht="19.5" customHeight="1" x14ac:dyDescent="0.35">
      <c r="A639" s="23" t="s">
        <v>896</v>
      </c>
      <c r="B639" s="23" t="s">
        <v>1606</v>
      </c>
      <c r="C639" s="23" t="s">
        <v>1077</v>
      </c>
      <c r="D639" s="24">
        <v>1</v>
      </c>
      <c r="E639" s="23" t="s">
        <v>1607</v>
      </c>
      <c r="F639" s="23" t="s">
        <v>1442</v>
      </c>
      <c r="G639" s="23" t="s">
        <v>901</v>
      </c>
      <c r="H639" s="23" t="s">
        <v>902</v>
      </c>
      <c r="I639" s="23" t="s">
        <v>656</v>
      </c>
      <c r="J639" s="23" t="s">
        <v>1608</v>
      </c>
    </row>
    <row r="640" spans="1:10" ht="19.5" customHeight="1" x14ac:dyDescent="0.35">
      <c r="A640" s="23" t="s">
        <v>896</v>
      </c>
      <c r="B640" s="23" t="s">
        <v>1609</v>
      </c>
      <c r="C640" s="23" t="s">
        <v>1240</v>
      </c>
      <c r="D640" s="24">
        <v>1</v>
      </c>
      <c r="E640" s="23" t="s">
        <v>1610</v>
      </c>
      <c r="F640" s="23" t="s">
        <v>1442</v>
      </c>
      <c r="G640" s="23" t="s">
        <v>901</v>
      </c>
      <c r="H640" s="23" t="s">
        <v>902</v>
      </c>
      <c r="I640" s="23" t="s">
        <v>656</v>
      </c>
      <c r="J640" s="23" t="s">
        <v>1611</v>
      </c>
    </row>
    <row r="641" spans="1:10" ht="19.5" customHeight="1" x14ac:dyDescent="0.35">
      <c r="A641" s="23" t="s">
        <v>896</v>
      </c>
      <c r="B641" s="23" t="s">
        <v>1612</v>
      </c>
      <c r="C641" s="23" t="s">
        <v>1240</v>
      </c>
      <c r="D641" s="24">
        <v>1</v>
      </c>
      <c r="E641" s="23" t="s">
        <v>1613</v>
      </c>
      <c r="F641" s="23" t="s">
        <v>1442</v>
      </c>
      <c r="G641" s="23" t="s">
        <v>901</v>
      </c>
      <c r="H641" s="23" t="s">
        <v>902</v>
      </c>
      <c r="I641" s="23" t="s">
        <v>656</v>
      </c>
      <c r="J641" s="23" t="s">
        <v>1614</v>
      </c>
    </row>
    <row r="642" spans="1:10" ht="19.5" customHeight="1" x14ac:dyDescent="0.35">
      <c r="A642" s="23" t="s">
        <v>896</v>
      </c>
      <c r="B642" s="23" t="s">
        <v>1615</v>
      </c>
      <c r="C642" s="23" t="s">
        <v>1157</v>
      </c>
      <c r="D642" s="24">
        <v>1</v>
      </c>
      <c r="E642" s="23" t="s">
        <v>1616</v>
      </c>
      <c r="F642" s="23" t="s">
        <v>1442</v>
      </c>
      <c r="G642" s="23" t="s">
        <v>901</v>
      </c>
      <c r="H642" s="23" t="s">
        <v>902</v>
      </c>
      <c r="I642" s="23" t="s">
        <v>656</v>
      </c>
      <c r="J642" s="23" t="s">
        <v>1617</v>
      </c>
    </row>
    <row r="643" spans="1:10" ht="19.5" customHeight="1" x14ac:dyDescent="0.35">
      <c r="A643" s="23" t="s">
        <v>896</v>
      </c>
      <c r="B643" s="23" t="s">
        <v>1618</v>
      </c>
      <c r="C643" s="23" t="s">
        <v>1299</v>
      </c>
      <c r="D643" s="24">
        <v>1</v>
      </c>
      <c r="E643" s="23" t="s">
        <v>1619</v>
      </c>
      <c r="F643" s="23" t="s">
        <v>1442</v>
      </c>
      <c r="G643" s="23" t="s">
        <v>901</v>
      </c>
      <c r="H643" s="23" t="s">
        <v>902</v>
      </c>
      <c r="I643" s="23" t="s">
        <v>656</v>
      </c>
      <c r="J643" s="23" t="s">
        <v>1620</v>
      </c>
    </row>
    <row r="644" spans="1:10" ht="19.5" customHeight="1" x14ac:dyDescent="0.35">
      <c r="A644" s="23" t="s">
        <v>896</v>
      </c>
      <c r="B644" s="23" t="s">
        <v>1621</v>
      </c>
      <c r="C644" s="23" t="s">
        <v>946</v>
      </c>
      <c r="D644" s="24">
        <v>1</v>
      </c>
      <c r="E644" s="23" t="s">
        <v>1622</v>
      </c>
      <c r="F644" s="23" t="s">
        <v>1442</v>
      </c>
      <c r="G644" s="23" t="s">
        <v>901</v>
      </c>
      <c r="H644" s="23" t="s">
        <v>902</v>
      </c>
      <c r="I644" s="23" t="s">
        <v>656</v>
      </c>
      <c r="J644" s="23" t="s">
        <v>1623</v>
      </c>
    </row>
    <row r="645" spans="1:10" ht="19.5" customHeight="1" x14ac:dyDescent="0.35">
      <c r="A645" s="23" t="s">
        <v>896</v>
      </c>
      <c r="B645" s="23" t="s">
        <v>1624</v>
      </c>
      <c r="C645" s="23" t="s">
        <v>905</v>
      </c>
      <c r="D645" s="24">
        <v>1</v>
      </c>
      <c r="E645" s="23" t="s">
        <v>1625</v>
      </c>
      <c r="F645" s="23" t="s">
        <v>1442</v>
      </c>
      <c r="G645" s="23" t="s">
        <v>901</v>
      </c>
      <c r="H645" s="23" t="s">
        <v>902</v>
      </c>
      <c r="I645" s="23" t="s">
        <v>656</v>
      </c>
      <c r="J645" s="23" t="s">
        <v>1626</v>
      </c>
    </row>
    <row r="646" spans="1:10" ht="19.5" customHeight="1" x14ac:dyDescent="0.35">
      <c r="A646" s="23" t="s">
        <v>896</v>
      </c>
      <c r="B646" s="23" t="s">
        <v>1627</v>
      </c>
      <c r="C646" s="23" t="s">
        <v>946</v>
      </c>
      <c r="D646" s="24">
        <v>1</v>
      </c>
      <c r="E646" s="23" t="s">
        <v>1628</v>
      </c>
      <c r="F646" s="23" t="s">
        <v>1442</v>
      </c>
      <c r="G646" s="23" t="s">
        <v>901</v>
      </c>
      <c r="H646" s="23" t="s">
        <v>902</v>
      </c>
      <c r="I646" s="23" t="s">
        <v>656</v>
      </c>
      <c r="J646" s="23" t="s">
        <v>1629</v>
      </c>
    </row>
    <row r="647" spans="1:10" ht="19.5" customHeight="1" x14ac:dyDescent="0.35">
      <c r="A647" s="23" t="s">
        <v>896</v>
      </c>
      <c r="B647" s="23" t="s">
        <v>1630</v>
      </c>
      <c r="C647" s="23" t="s">
        <v>1077</v>
      </c>
      <c r="D647" s="24">
        <v>1</v>
      </c>
      <c r="E647" s="23" t="s">
        <v>1631</v>
      </c>
      <c r="F647" s="23" t="s">
        <v>1442</v>
      </c>
      <c r="G647" s="23" t="s">
        <v>901</v>
      </c>
      <c r="H647" s="23" t="s">
        <v>902</v>
      </c>
      <c r="I647" s="23" t="s">
        <v>656</v>
      </c>
      <c r="J647" s="23" t="s">
        <v>1632</v>
      </c>
    </row>
    <row r="648" spans="1:10" ht="19.5" customHeight="1" x14ac:dyDescent="0.35">
      <c r="A648" s="23" t="s">
        <v>896</v>
      </c>
      <c r="B648" s="23" t="s">
        <v>1633</v>
      </c>
      <c r="C648" s="23" t="s">
        <v>1240</v>
      </c>
      <c r="D648" s="24">
        <v>1</v>
      </c>
      <c r="E648" s="23" t="s">
        <v>1634</v>
      </c>
      <c r="F648" s="23" t="s">
        <v>1442</v>
      </c>
      <c r="G648" s="23" t="s">
        <v>901</v>
      </c>
      <c r="H648" s="23" t="s">
        <v>902</v>
      </c>
      <c r="I648" s="23" t="s">
        <v>656</v>
      </c>
      <c r="J648" s="23" t="s">
        <v>1635</v>
      </c>
    </row>
    <row r="649" spans="1:10" ht="19.5" customHeight="1" x14ac:dyDescent="0.35">
      <c r="A649" s="23" t="s">
        <v>896</v>
      </c>
      <c r="B649" s="23" t="s">
        <v>1636</v>
      </c>
      <c r="C649" s="23" t="s">
        <v>1136</v>
      </c>
      <c r="D649" s="24">
        <v>1</v>
      </c>
      <c r="E649" s="23" t="s">
        <v>1637</v>
      </c>
      <c r="F649" s="23" t="s">
        <v>1442</v>
      </c>
      <c r="G649" s="23" t="s">
        <v>901</v>
      </c>
      <c r="H649" s="23" t="s">
        <v>902</v>
      </c>
      <c r="I649" s="23" t="s">
        <v>656</v>
      </c>
      <c r="J649" s="23" t="s">
        <v>1638</v>
      </c>
    </row>
    <row r="650" spans="1:10" ht="19.5" customHeight="1" x14ac:dyDescent="0.35">
      <c r="A650" s="23" t="s">
        <v>896</v>
      </c>
      <c r="B650" s="23" t="s">
        <v>1639</v>
      </c>
      <c r="C650" s="23" t="s">
        <v>921</v>
      </c>
      <c r="D650" s="24">
        <v>1</v>
      </c>
      <c r="E650" s="23" t="s">
        <v>1640</v>
      </c>
      <c r="F650" s="23" t="s">
        <v>1442</v>
      </c>
      <c r="G650" s="23" t="s">
        <v>901</v>
      </c>
      <c r="H650" s="23" t="s">
        <v>902</v>
      </c>
      <c r="I650" s="23" t="s">
        <v>656</v>
      </c>
      <c r="J650" s="23" t="s">
        <v>1641</v>
      </c>
    </row>
    <row r="651" spans="1:10" ht="19.5" customHeight="1" x14ac:dyDescent="0.35">
      <c r="A651" s="23" t="s">
        <v>896</v>
      </c>
      <c r="B651" s="23" t="s">
        <v>1642</v>
      </c>
      <c r="C651" s="23" t="s">
        <v>1240</v>
      </c>
      <c r="D651" s="24">
        <v>1</v>
      </c>
      <c r="E651" s="23" t="s">
        <v>1643</v>
      </c>
      <c r="F651" s="23" t="s">
        <v>1442</v>
      </c>
      <c r="G651" s="23" t="s">
        <v>901</v>
      </c>
      <c r="H651" s="23" t="s">
        <v>902</v>
      </c>
      <c r="I651" s="23" t="s">
        <v>656</v>
      </c>
      <c r="J651" s="23" t="s">
        <v>1644</v>
      </c>
    </row>
    <row r="652" spans="1:10" ht="19.5" customHeight="1" x14ac:dyDescent="0.35">
      <c r="A652" s="23" t="s">
        <v>896</v>
      </c>
      <c r="B652" s="23" t="s">
        <v>1645</v>
      </c>
      <c r="C652" s="23" t="s">
        <v>1646</v>
      </c>
      <c r="D652" s="24">
        <v>1</v>
      </c>
      <c r="E652" s="23" t="s">
        <v>1647</v>
      </c>
      <c r="F652" s="23" t="s">
        <v>1442</v>
      </c>
      <c r="G652" s="23" t="s">
        <v>901</v>
      </c>
      <c r="H652" s="23" t="s">
        <v>902</v>
      </c>
      <c r="I652" s="23" t="s">
        <v>656</v>
      </c>
      <c r="J652" s="23" t="s">
        <v>1648</v>
      </c>
    </row>
    <row r="653" spans="1:10" ht="19.5" customHeight="1" x14ac:dyDescent="0.35">
      <c r="A653" s="23" t="s">
        <v>896</v>
      </c>
      <c r="B653" s="23" t="s">
        <v>1649</v>
      </c>
      <c r="C653" s="23" t="s">
        <v>1070</v>
      </c>
      <c r="D653" s="24">
        <v>1</v>
      </c>
      <c r="E653" s="23" t="s">
        <v>1650</v>
      </c>
      <c r="F653" s="23" t="s">
        <v>1442</v>
      </c>
      <c r="G653" s="23" t="s">
        <v>901</v>
      </c>
      <c r="H653" s="23" t="s">
        <v>902</v>
      </c>
      <c r="I653" s="23" t="s">
        <v>656</v>
      </c>
      <c r="J653" s="23" t="s">
        <v>1651</v>
      </c>
    </row>
    <row r="654" spans="1:10" ht="19.5" customHeight="1" x14ac:dyDescent="0.35">
      <c r="A654" s="23" t="s">
        <v>896</v>
      </c>
      <c r="B654" s="23" t="s">
        <v>1652</v>
      </c>
      <c r="C654" s="23" t="s">
        <v>946</v>
      </c>
      <c r="D654" s="24">
        <v>1</v>
      </c>
      <c r="E654" s="23" t="s">
        <v>1653</v>
      </c>
      <c r="F654" s="23" t="s">
        <v>1442</v>
      </c>
      <c r="G654" s="23" t="s">
        <v>901</v>
      </c>
      <c r="H654" s="23" t="s">
        <v>902</v>
      </c>
      <c r="I654" s="23" t="s">
        <v>656</v>
      </c>
      <c r="J654" s="23" t="s">
        <v>1654</v>
      </c>
    </row>
    <row r="655" spans="1:10" ht="19.5" customHeight="1" x14ac:dyDescent="0.35">
      <c r="A655" s="23" t="s">
        <v>896</v>
      </c>
      <c r="B655" s="23" t="s">
        <v>1655</v>
      </c>
      <c r="C655" s="23" t="s">
        <v>1077</v>
      </c>
      <c r="D655" s="24">
        <v>1</v>
      </c>
      <c r="E655" s="23" t="s">
        <v>1656</v>
      </c>
      <c r="F655" s="23" t="s">
        <v>1442</v>
      </c>
      <c r="G655" s="23" t="s">
        <v>901</v>
      </c>
      <c r="H655" s="23" t="s">
        <v>902</v>
      </c>
      <c r="I655" s="23" t="s">
        <v>656</v>
      </c>
      <c r="J655" s="23" t="s">
        <v>1657</v>
      </c>
    </row>
    <row r="656" spans="1:10" ht="19.5" customHeight="1" x14ac:dyDescent="0.35">
      <c r="A656" s="23" t="s">
        <v>896</v>
      </c>
      <c r="B656" s="23" t="s">
        <v>1658</v>
      </c>
      <c r="C656" s="23" t="s">
        <v>1659</v>
      </c>
      <c r="D656" s="24">
        <v>1</v>
      </c>
      <c r="E656" s="23" t="s">
        <v>1660</v>
      </c>
      <c r="F656" s="23" t="s">
        <v>1442</v>
      </c>
      <c r="G656" s="23" t="s">
        <v>901</v>
      </c>
      <c r="H656" s="23" t="s">
        <v>902</v>
      </c>
      <c r="I656" s="23" t="s">
        <v>656</v>
      </c>
      <c r="J656" s="23" t="s">
        <v>1661</v>
      </c>
    </row>
    <row r="657" spans="1:10" ht="19.5" customHeight="1" x14ac:dyDescent="0.35">
      <c r="A657" s="23" t="s">
        <v>896</v>
      </c>
      <c r="B657" s="23" t="s">
        <v>1662</v>
      </c>
      <c r="C657" s="23" t="s">
        <v>1157</v>
      </c>
      <c r="D657" s="24">
        <v>1</v>
      </c>
      <c r="E657" s="23" t="s">
        <v>1663</v>
      </c>
      <c r="F657" s="23" t="s">
        <v>1442</v>
      </c>
      <c r="G657" s="23" t="s">
        <v>901</v>
      </c>
      <c r="H657" s="23" t="s">
        <v>902</v>
      </c>
      <c r="I657" s="23" t="s">
        <v>656</v>
      </c>
      <c r="J657" s="23" t="s">
        <v>1664</v>
      </c>
    </row>
    <row r="658" spans="1:10" ht="19.5" customHeight="1" x14ac:dyDescent="0.35">
      <c r="A658" s="23" t="s">
        <v>896</v>
      </c>
      <c r="B658" s="23" t="s">
        <v>1665</v>
      </c>
      <c r="C658" s="23" t="s">
        <v>1240</v>
      </c>
      <c r="D658" s="24">
        <v>1</v>
      </c>
      <c r="E658" s="23" t="s">
        <v>1666</v>
      </c>
      <c r="F658" s="23" t="s">
        <v>1442</v>
      </c>
      <c r="G658" s="23" t="s">
        <v>901</v>
      </c>
      <c r="H658" s="23" t="s">
        <v>902</v>
      </c>
      <c r="I658" s="23" t="s">
        <v>656</v>
      </c>
      <c r="J658" s="23" t="s">
        <v>1667</v>
      </c>
    </row>
    <row r="659" spans="1:10" ht="19.5" customHeight="1" x14ac:dyDescent="0.35">
      <c r="A659" s="23" t="s">
        <v>896</v>
      </c>
      <c r="B659" s="23" t="s">
        <v>1668</v>
      </c>
      <c r="C659" s="23" t="s">
        <v>959</v>
      </c>
      <c r="D659" s="24">
        <v>1</v>
      </c>
      <c r="E659" s="23" t="s">
        <v>1669</v>
      </c>
      <c r="F659" s="23" t="s">
        <v>1442</v>
      </c>
      <c r="G659" s="23" t="s">
        <v>901</v>
      </c>
      <c r="H659" s="23" t="s">
        <v>902</v>
      </c>
      <c r="I659" s="23" t="s">
        <v>656</v>
      </c>
      <c r="J659" s="23" t="s">
        <v>1670</v>
      </c>
    </row>
    <row r="660" spans="1:10" ht="19.5" customHeight="1" x14ac:dyDescent="0.35">
      <c r="A660" s="23" t="s">
        <v>896</v>
      </c>
      <c r="B660" s="23" t="s">
        <v>1671</v>
      </c>
      <c r="C660" s="23" t="s">
        <v>1136</v>
      </c>
      <c r="D660" s="24">
        <v>1</v>
      </c>
      <c r="E660" s="23" t="s">
        <v>1672</v>
      </c>
      <c r="F660" s="23" t="s">
        <v>1442</v>
      </c>
      <c r="G660" s="23" t="s">
        <v>901</v>
      </c>
      <c r="H660" s="23" t="s">
        <v>902</v>
      </c>
      <c r="I660" s="23" t="s">
        <v>656</v>
      </c>
      <c r="J660" s="23" t="s">
        <v>1673</v>
      </c>
    </row>
    <row r="661" spans="1:10" ht="19.5" customHeight="1" x14ac:dyDescent="0.35">
      <c r="A661" s="23" t="s">
        <v>896</v>
      </c>
      <c r="B661" s="23" t="s">
        <v>1674</v>
      </c>
      <c r="C661" s="23" t="s">
        <v>1009</v>
      </c>
      <c r="D661" s="24">
        <v>1</v>
      </c>
      <c r="E661" s="23" t="s">
        <v>1675</v>
      </c>
      <c r="F661" s="23" t="s">
        <v>1442</v>
      </c>
      <c r="G661" s="23" t="s">
        <v>901</v>
      </c>
      <c r="H661" s="23" t="s">
        <v>902</v>
      </c>
      <c r="I661" s="23" t="s">
        <v>656</v>
      </c>
      <c r="J661" s="23" t="s">
        <v>1676</v>
      </c>
    </row>
    <row r="662" spans="1:10" ht="19.5" customHeight="1" x14ac:dyDescent="0.35">
      <c r="A662" s="23" t="s">
        <v>896</v>
      </c>
      <c r="B662" s="23" t="s">
        <v>1677</v>
      </c>
      <c r="C662" s="23" t="s">
        <v>1077</v>
      </c>
      <c r="D662" s="24">
        <v>1</v>
      </c>
      <c r="E662" s="23" t="s">
        <v>1678</v>
      </c>
      <c r="F662" s="23" t="s">
        <v>1442</v>
      </c>
      <c r="G662" s="23" t="s">
        <v>901</v>
      </c>
      <c r="H662" s="23" t="s">
        <v>902</v>
      </c>
      <c r="I662" s="23" t="s">
        <v>656</v>
      </c>
      <c r="J662" s="23" t="s">
        <v>1679</v>
      </c>
    </row>
    <row r="663" spans="1:10" ht="19.5" customHeight="1" x14ac:dyDescent="0.35">
      <c r="A663" s="23" t="s">
        <v>896</v>
      </c>
      <c r="B663" s="23" t="s">
        <v>1680</v>
      </c>
      <c r="C663" s="23" t="s">
        <v>1122</v>
      </c>
      <c r="D663" s="24">
        <v>1</v>
      </c>
      <c r="E663" s="23" t="s">
        <v>1681</v>
      </c>
      <c r="F663" s="23" t="s">
        <v>1442</v>
      </c>
      <c r="G663" s="23" t="s">
        <v>901</v>
      </c>
      <c r="H663" s="23" t="s">
        <v>902</v>
      </c>
      <c r="I663" s="23" t="s">
        <v>656</v>
      </c>
      <c r="J663" s="23" t="s">
        <v>1682</v>
      </c>
    </row>
    <row r="664" spans="1:10" ht="19.5" customHeight="1" x14ac:dyDescent="0.35">
      <c r="A664" s="23" t="s">
        <v>896</v>
      </c>
      <c r="B664" s="23" t="s">
        <v>1683</v>
      </c>
      <c r="C664" s="23" t="s">
        <v>1009</v>
      </c>
      <c r="D664" s="24">
        <v>1</v>
      </c>
      <c r="E664" s="23" t="s">
        <v>1684</v>
      </c>
      <c r="F664" s="23" t="s">
        <v>1442</v>
      </c>
      <c r="G664" s="23" t="s">
        <v>901</v>
      </c>
      <c r="H664" s="23" t="s">
        <v>902</v>
      </c>
      <c r="I664" s="23" t="s">
        <v>656</v>
      </c>
      <c r="J664" s="23" t="s">
        <v>1685</v>
      </c>
    </row>
    <row r="665" spans="1:10" ht="19.5" customHeight="1" x14ac:dyDescent="0.35">
      <c r="A665" s="23" t="s">
        <v>896</v>
      </c>
      <c r="B665" s="23" t="s">
        <v>1686</v>
      </c>
      <c r="C665" s="23" t="s">
        <v>905</v>
      </c>
      <c r="D665" s="24">
        <v>1</v>
      </c>
      <c r="E665" s="23" t="s">
        <v>1687</v>
      </c>
      <c r="F665" s="23" t="s">
        <v>1442</v>
      </c>
      <c r="G665" s="23" t="s">
        <v>901</v>
      </c>
      <c r="H665" s="23" t="s">
        <v>902</v>
      </c>
      <c r="I665" s="23" t="s">
        <v>656</v>
      </c>
      <c r="J665" s="23" t="s">
        <v>1688</v>
      </c>
    </row>
    <row r="666" spans="1:10" ht="19.5" customHeight="1" x14ac:dyDescent="0.35">
      <c r="A666" s="23" t="s">
        <v>896</v>
      </c>
      <c r="B666" s="23" t="s">
        <v>1689</v>
      </c>
      <c r="C666" s="23" t="s">
        <v>1690</v>
      </c>
      <c r="D666" s="24">
        <v>1</v>
      </c>
      <c r="E666" s="23" t="s">
        <v>1691</v>
      </c>
      <c r="F666" s="23" t="s">
        <v>1442</v>
      </c>
      <c r="G666" s="23" t="s">
        <v>901</v>
      </c>
      <c r="H666" s="23" t="s">
        <v>902</v>
      </c>
      <c r="I666" s="23" t="s">
        <v>656</v>
      </c>
      <c r="J666" s="23" t="s">
        <v>1692</v>
      </c>
    </row>
    <row r="667" spans="1:10" ht="19.5" customHeight="1" x14ac:dyDescent="0.35">
      <c r="A667" s="23" t="s">
        <v>896</v>
      </c>
      <c r="B667" s="23" t="s">
        <v>1693</v>
      </c>
      <c r="C667" s="23" t="s">
        <v>1084</v>
      </c>
      <c r="D667" s="24">
        <v>1</v>
      </c>
      <c r="E667" s="23" t="s">
        <v>1694</v>
      </c>
      <c r="F667" s="23" t="s">
        <v>1442</v>
      </c>
      <c r="G667" s="23" t="s">
        <v>901</v>
      </c>
      <c r="H667" s="23" t="s">
        <v>902</v>
      </c>
      <c r="I667" s="23" t="s">
        <v>656</v>
      </c>
      <c r="J667" s="23" t="s">
        <v>1695</v>
      </c>
    </row>
    <row r="668" spans="1:10" ht="19.5" customHeight="1" x14ac:dyDescent="0.35">
      <c r="A668" s="23" t="s">
        <v>896</v>
      </c>
      <c r="B668" s="23" t="s">
        <v>1696</v>
      </c>
      <c r="C668" s="23" t="s">
        <v>1697</v>
      </c>
      <c r="D668" s="24">
        <v>1</v>
      </c>
      <c r="E668" s="23" t="s">
        <v>1698</v>
      </c>
      <c r="F668" s="23" t="s">
        <v>1442</v>
      </c>
      <c r="G668" s="23" t="s">
        <v>901</v>
      </c>
      <c r="H668" s="23" t="s">
        <v>902</v>
      </c>
      <c r="I668" s="23" t="s">
        <v>656</v>
      </c>
      <c r="J668" s="23" t="s">
        <v>1699</v>
      </c>
    </row>
    <row r="669" spans="1:10" ht="19.5" customHeight="1" x14ac:dyDescent="0.35">
      <c r="A669" s="23" t="s">
        <v>896</v>
      </c>
      <c r="B669" s="23" t="s">
        <v>1700</v>
      </c>
      <c r="C669" s="23" t="s">
        <v>1299</v>
      </c>
      <c r="D669" s="24">
        <v>1</v>
      </c>
      <c r="E669" s="23" t="s">
        <v>1701</v>
      </c>
      <c r="F669" s="23" t="s">
        <v>1442</v>
      </c>
      <c r="G669" s="23" t="s">
        <v>901</v>
      </c>
      <c r="H669" s="23" t="s">
        <v>902</v>
      </c>
      <c r="I669" s="23" t="s">
        <v>656</v>
      </c>
      <c r="J669" s="23" t="s">
        <v>1702</v>
      </c>
    </row>
    <row r="670" spans="1:10" ht="19.5" customHeight="1" x14ac:dyDescent="0.35">
      <c r="A670" s="23" t="s">
        <v>896</v>
      </c>
      <c r="B670" s="23" t="s">
        <v>1703</v>
      </c>
      <c r="C670" s="23" t="s">
        <v>1122</v>
      </c>
      <c r="D670" s="24">
        <v>1</v>
      </c>
      <c r="E670" s="23" t="s">
        <v>1704</v>
      </c>
      <c r="F670" s="23" t="s">
        <v>1442</v>
      </c>
      <c r="G670" s="23" t="s">
        <v>901</v>
      </c>
      <c r="H670" s="23" t="s">
        <v>902</v>
      </c>
      <c r="I670" s="23" t="s">
        <v>656</v>
      </c>
      <c r="J670" s="23" t="s">
        <v>1705</v>
      </c>
    </row>
    <row r="671" spans="1:10" ht="19.5" customHeight="1" x14ac:dyDescent="0.35">
      <c r="A671" s="23" t="s">
        <v>896</v>
      </c>
      <c r="B671" s="23" t="s">
        <v>1706</v>
      </c>
      <c r="C671" s="23" t="s">
        <v>1136</v>
      </c>
      <c r="D671" s="24">
        <v>1</v>
      </c>
      <c r="E671" s="23" t="s">
        <v>1707</v>
      </c>
      <c r="F671" s="23" t="s">
        <v>1442</v>
      </c>
      <c r="G671" s="23" t="s">
        <v>901</v>
      </c>
      <c r="H671" s="23" t="s">
        <v>902</v>
      </c>
      <c r="I671" s="23" t="s">
        <v>656</v>
      </c>
      <c r="J671" s="23" t="s">
        <v>1708</v>
      </c>
    </row>
    <row r="672" spans="1:10" ht="19.5" customHeight="1" x14ac:dyDescent="0.35">
      <c r="A672" s="23" t="s">
        <v>896</v>
      </c>
      <c r="B672" s="23" t="s">
        <v>1709</v>
      </c>
      <c r="C672" s="23" t="s">
        <v>1122</v>
      </c>
      <c r="D672" s="24">
        <v>1</v>
      </c>
      <c r="E672" s="23" t="s">
        <v>1710</v>
      </c>
      <c r="F672" s="23" t="s">
        <v>1442</v>
      </c>
      <c r="G672" s="23" t="s">
        <v>901</v>
      </c>
      <c r="H672" s="23" t="s">
        <v>902</v>
      </c>
      <c r="I672" s="23" t="s">
        <v>656</v>
      </c>
      <c r="J672" s="23" t="s">
        <v>1711</v>
      </c>
    </row>
    <row r="673" spans="1:10" ht="19.5" customHeight="1" x14ac:dyDescent="0.35">
      <c r="A673" s="23" t="s">
        <v>896</v>
      </c>
      <c r="B673" s="23" t="s">
        <v>1712</v>
      </c>
      <c r="C673" s="23" t="s">
        <v>1659</v>
      </c>
      <c r="D673" s="24">
        <v>1</v>
      </c>
      <c r="E673" s="23" t="s">
        <v>1713</v>
      </c>
      <c r="F673" s="23" t="s">
        <v>1442</v>
      </c>
      <c r="G673" s="23" t="s">
        <v>901</v>
      </c>
      <c r="H673" s="23" t="s">
        <v>902</v>
      </c>
      <c r="I673" s="23" t="s">
        <v>656</v>
      </c>
      <c r="J673" s="23" t="s">
        <v>1714</v>
      </c>
    </row>
    <row r="674" spans="1:10" ht="19.5" customHeight="1" x14ac:dyDescent="0.35">
      <c r="A674" s="23" t="s">
        <v>896</v>
      </c>
      <c r="B674" s="23" t="s">
        <v>1715</v>
      </c>
      <c r="C674" s="23" t="s">
        <v>959</v>
      </c>
      <c r="D674" s="24">
        <v>1</v>
      </c>
      <c r="E674" s="23" t="s">
        <v>1716</v>
      </c>
      <c r="F674" s="23" t="s">
        <v>1442</v>
      </c>
      <c r="G674" s="23" t="s">
        <v>901</v>
      </c>
      <c r="H674" s="23" t="s">
        <v>902</v>
      </c>
      <c r="I674" s="23" t="s">
        <v>656</v>
      </c>
      <c r="J674" s="23" t="s">
        <v>1717</v>
      </c>
    </row>
    <row r="675" spans="1:10" ht="19.5" customHeight="1" x14ac:dyDescent="0.35">
      <c r="A675" s="23" t="s">
        <v>896</v>
      </c>
      <c r="B675" s="23" t="s">
        <v>1718</v>
      </c>
      <c r="C675" s="23" t="s">
        <v>1122</v>
      </c>
      <c r="D675" s="24">
        <v>1</v>
      </c>
      <c r="E675" s="23" t="s">
        <v>1719</v>
      </c>
      <c r="F675" s="23" t="s">
        <v>1442</v>
      </c>
      <c r="G675" s="23" t="s">
        <v>901</v>
      </c>
      <c r="H675" s="23" t="s">
        <v>902</v>
      </c>
      <c r="I675" s="23" t="s">
        <v>656</v>
      </c>
      <c r="J675" s="23" t="s">
        <v>1720</v>
      </c>
    </row>
    <row r="676" spans="1:10" ht="19.5" customHeight="1" x14ac:dyDescent="0.35">
      <c r="A676" s="23" t="s">
        <v>896</v>
      </c>
      <c r="B676" s="23" t="s">
        <v>1721</v>
      </c>
      <c r="C676" s="23" t="s">
        <v>963</v>
      </c>
      <c r="D676" s="24">
        <v>1</v>
      </c>
      <c r="E676" s="23" t="s">
        <v>1722</v>
      </c>
      <c r="F676" s="23" t="s">
        <v>1442</v>
      </c>
      <c r="G676" s="23" t="s">
        <v>901</v>
      </c>
      <c r="H676" s="23" t="s">
        <v>902</v>
      </c>
      <c r="I676" s="23" t="s">
        <v>656</v>
      </c>
      <c r="J676" s="23" t="s">
        <v>1723</v>
      </c>
    </row>
    <row r="677" spans="1:10" ht="19.5" customHeight="1" x14ac:dyDescent="0.35">
      <c r="A677" s="23" t="s">
        <v>896</v>
      </c>
      <c r="B677" s="23" t="s">
        <v>1724</v>
      </c>
      <c r="C677" s="23" t="s">
        <v>1077</v>
      </c>
      <c r="D677" s="24">
        <v>1</v>
      </c>
      <c r="E677" s="23" t="s">
        <v>1725</v>
      </c>
      <c r="F677" s="23" t="s">
        <v>1442</v>
      </c>
      <c r="G677" s="23" t="s">
        <v>901</v>
      </c>
      <c r="H677" s="23" t="s">
        <v>902</v>
      </c>
      <c r="I677" s="23" t="s">
        <v>656</v>
      </c>
      <c r="J677" s="23" t="s">
        <v>1726</v>
      </c>
    </row>
    <row r="678" spans="1:10" ht="19.5" customHeight="1" x14ac:dyDescent="0.35">
      <c r="A678" s="23" t="s">
        <v>896</v>
      </c>
      <c r="B678" s="23" t="s">
        <v>1727</v>
      </c>
      <c r="C678" s="23" t="s">
        <v>946</v>
      </c>
      <c r="D678" s="24">
        <v>1</v>
      </c>
      <c r="E678" s="23" t="s">
        <v>1728</v>
      </c>
      <c r="F678" s="23" t="s">
        <v>1442</v>
      </c>
      <c r="G678" s="23" t="s">
        <v>901</v>
      </c>
      <c r="H678" s="23" t="s">
        <v>902</v>
      </c>
      <c r="I678" s="23" t="s">
        <v>656</v>
      </c>
      <c r="J678" s="23" t="s">
        <v>1729</v>
      </c>
    </row>
    <row r="679" spans="1:10" ht="19.5" customHeight="1" x14ac:dyDescent="0.35">
      <c r="A679" s="23" t="s">
        <v>896</v>
      </c>
      <c r="B679" s="23" t="s">
        <v>1730</v>
      </c>
      <c r="C679" s="23" t="s">
        <v>1731</v>
      </c>
      <c r="D679" s="24">
        <v>1</v>
      </c>
      <c r="E679" s="23" t="s">
        <v>1732</v>
      </c>
      <c r="F679" s="23" t="s">
        <v>1442</v>
      </c>
      <c r="G679" s="23" t="s">
        <v>901</v>
      </c>
      <c r="H679" s="23" t="s">
        <v>902</v>
      </c>
      <c r="I679" s="23" t="s">
        <v>656</v>
      </c>
      <c r="J679" s="23" t="s">
        <v>1733</v>
      </c>
    </row>
    <row r="680" spans="1:10" ht="19.5" customHeight="1" x14ac:dyDescent="0.35">
      <c r="A680" s="23" t="s">
        <v>896</v>
      </c>
      <c r="B680" s="23" t="s">
        <v>1734</v>
      </c>
      <c r="C680" s="23" t="s">
        <v>946</v>
      </c>
      <c r="D680" s="24">
        <v>1</v>
      </c>
      <c r="E680" s="23" t="s">
        <v>1735</v>
      </c>
      <c r="F680" s="23" t="s">
        <v>1442</v>
      </c>
      <c r="G680" s="23" t="s">
        <v>901</v>
      </c>
      <c r="H680" s="23" t="s">
        <v>902</v>
      </c>
      <c r="I680" s="23" t="s">
        <v>656</v>
      </c>
      <c r="J680" s="23" t="s">
        <v>1736</v>
      </c>
    </row>
    <row r="681" spans="1:10" ht="19.5" customHeight="1" x14ac:dyDescent="0.35">
      <c r="A681" s="23" t="s">
        <v>896</v>
      </c>
      <c r="B681" s="23" t="s">
        <v>1737</v>
      </c>
      <c r="C681" s="23" t="s">
        <v>1122</v>
      </c>
      <c r="D681" s="24">
        <v>1</v>
      </c>
      <c r="E681" s="23" t="s">
        <v>1738</v>
      </c>
      <c r="F681" s="23" t="s">
        <v>1442</v>
      </c>
      <c r="G681" s="23" t="s">
        <v>901</v>
      </c>
      <c r="H681" s="23" t="s">
        <v>902</v>
      </c>
      <c r="I681" s="23" t="s">
        <v>656</v>
      </c>
      <c r="J681" s="23" t="s">
        <v>1739</v>
      </c>
    </row>
    <row r="682" spans="1:10" ht="19.5" customHeight="1" x14ac:dyDescent="0.35">
      <c r="A682" s="23" t="s">
        <v>896</v>
      </c>
      <c r="B682" s="23" t="s">
        <v>1740</v>
      </c>
      <c r="C682" s="23" t="s">
        <v>1009</v>
      </c>
      <c r="D682" s="24">
        <v>1</v>
      </c>
      <c r="E682" s="23" t="s">
        <v>1741</v>
      </c>
      <c r="F682" s="23" t="s">
        <v>1442</v>
      </c>
      <c r="G682" s="23" t="s">
        <v>901</v>
      </c>
      <c r="H682" s="23" t="s">
        <v>902</v>
      </c>
      <c r="I682" s="23" t="s">
        <v>656</v>
      </c>
      <c r="J682" s="23" t="s">
        <v>1742</v>
      </c>
    </row>
    <row r="683" spans="1:10" ht="19.5" customHeight="1" x14ac:dyDescent="0.35">
      <c r="A683" s="23" t="s">
        <v>896</v>
      </c>
      <c r="B683" s="23" t="s">
        <v>1743</v>
      </c>
      <c r="C683" s="23" t="s">
        <v>1697</v>
      </c>
      <c r="D683" s="24">
        <v>1</v>
      </c>
      <c r="E683" s="23" t="s">
        <v>1744</v>
      </c>
      <c r="F683" s="23" t="s">
        <v>1442</v>
      </c>
      <c r="G683" s="23" t="s">
        <v>901</v>
      </c>
      <c r="H683" s="23" t="s">
        <v>902</v>
      </c>
      <c r="I683" s="23" t="s">
        <v>656</v>
      </c>
      <c r="J683" s="23" t="s">
        <v>1745</v>
      </c>
    </row>
    <row r="684" spans="1:10" ht="19.5" customHeight="1" x14ac:dyDescent="0.35">
      <c r="A684" s="23" t="s">
        <v>896</v>
      </c>
      <c r="B684" s="23" t="s">
        <v>1746</v>
      </c>
      <c r="C684" s="23" t="s">
        <v>1122</v>
      </c>
      <c r="D684" s="24">
        <v>1</v>
      </c>
      <c r="E684" s="23" t="s">
        <v>1747</v>
      </c>
      <c r="F684" s="23" t="s">
        <v>1442</v>
      </c>
      <c r="G684" s="23" t="s">
        <v>901</v>
      </c>
      <c r="H684" s="23" t="s">
        <v>902</v>
      </c>
      <c r="I684" s="23" t="s">
        <v>656</v>
      </c>
      <c r="J684" s="23" t="s">
        <v>1748</v>
      </c>
    </row>
    <row r="685" spans="1:10" ht="19.5" customHeight="1" x14ac:dyDescent="0.35">
      <c r="A685" s="23" t="s">
        <v>896</v>
      </c>
      <c r="B685" s="23" t="s">
        <v>1749</v>
      </c>
      <c r="C685" s="23" t="s">
        <v>946</v>
      </c>
      <c r="D685" s="24">
        <v>1</v>
      </c>
      <c r="E685" s="23" t="s">
        <v>1750</v>
      </c>
      <c r="F685" s="23" t="s">
        <v>1442</v>
      </c>
      <c r="G685" s="23" t="s">
        <v>901</v>
      </c>
      <c r="H685" s="23" t="s">
        <v>902</v>
      </c>
      <c r="I685" s="23" t="s">
        <v>656</v>
      </c>
      <c r="J685" s="23" t="s">
        <v>1751</v>
      </c>
    </row>
    <row r="686" spans="1:10" ht="19.5" customHeight="1" x14ac:dyDescent="0.35">
      <c r="A686" s="23" t="s">
        <v>896</v>
      </c>
      <c r="B686" s="23" t="s">
        <v>1752</v>
      </c>
      <c r="C686" s="23" t="s">
        <v>1129</v>
      </c>
      <c r="D686" s="24">
        <v>1</v>
      </c>
      <c r="E686" s="23" t="s">
        <v>1753</v>
      </c>
      <c r="F686" s="23" t="s">
        <v>1442</v>
      </c>
      <c r="G686" s="23" t="s">
        <v>901</v>
      </c>
      <c r="H686" s="23" t="s">
        <v>902</v>
      </c>
      <c r="I686" s="23" t="s">
        <v>656</v>
      </c>
      <c r="J686" s="23" t="s">
        <v>1754</v>
      </c>
    </row>
    <row r="687" spans="1:10" ht="19.5" customHeight="1" x14ac:dyDescent="0.35">
      <c r="A687" s="23" t="s">
        <v>896</v>
      </c>
      <c r="B687" s="23" t="s">
        <v>1755</v>
      </c>
      <c r="C687" s="23" t="s">
        <v>1136</v>
      </c>
      <c r="D687" s="24">
        <v>1</v>
      </c>
      <c r="E687" s="23" t="s">
        <v>1756</v>
      </c>
      <c r="F687" s="23" t="s">
        <v>1442</v>
      </c>
      <c r="G687" s="23" t="s">
        <v>901</v>
      </c>
      <c r="H687" s="23" t="s">
        <v>902</v>
      </c>
      <c r="I687" s="23" t="s">
        <v>656</v>
      </c>
      <c r="J687" s="23" t="s">
        <v>1757</v>
      </c>
    </row>
    <row r="688" spans="1:10" ht="19.5" customHeight="1" x14ac:dyDescent="0.35">
      <c r="A688" s="23" t="s">
        <v>896</v>
      </c>
      <c r="B688" s="23" t="s">
        <v>1758</v>
      </c>
      <c r="C688" s="23" t="s">
        <v>1101</v>
      </c>
      <c r="D688" s="24">
        <v>1</v>
      </c>
      <c r="E688" s="23" t="s">
        <v>1759</v>
      </c>
      <c r="F688" s="23" t="s">
        <v>1442</v>
      </c>
      <c r="G688" s="23" t="s">
        <v>901</v>
      </c>
      <c r="H688" s="23" t="s">
        <v>902</v>
      </c>
      <c r="I688" s="23" t="s">
        <v>656</v>
      </c>
      <c r="J688" s="23" t="s">
        <v>1760</v>
      </c>
    </row>
    <row r="689" spans="1:10" ht="19.5" customHeight="1" x14ac:dyDescent="0.35">
      <c r="A689" s="23" t="s">
        <v>896</v>
      </c>
      <c r="B689" s="23" t="s">
        <v>1761</v>
      </c>
      <c r="C689" s="23" t="s">
        <v>898</v>
      </c>
      <c r="D689" s="24">
        <v>1</v>
      </c>
      <c r="E689" s="23" t="s">
        <v>1762</v>
      </c>
      <c r="F689" s="23" t="s">
        <v>1442</v>
      </c>
      <c r="G689" s="23" t="s">
        <v>901</v>
      </c>
      <c r="H689" s="23" t="s">
        <v>902</v>
      </c>
      <c r="I689" s="23" t="s">
        <v>656</v>
      </c>
      <c r="J689" s="23" t="s">
        <v>1763</v>
      </c>
    </row>
    <row r="690" spans="1:10" ht="19.5" customHeight="1" x14ac:dyDescent="0.35">
      <c r="A690" s="23" t="s">
        <v>896</v>
      </c>
      <c r="B690" s="23" t="s">
        <v>1764</v>
      </c>
      <c r="C690" s="23" t="s">
        <v>905</v>
      </c>
      <c r="D690" s="24">
        <v>1</v>
      </c>
      <c r="E690" s="23" t="s">
        <v>1765</v>
      </c>
      <c r="F690" s="23" t="s">
        <v>1442</v>
      </c>
      <c r="G690" s="23" t="s">
        <v>901</v>
      </c>
      <c r="H690" s="23" t="s">
        <v>902</v>
      </c>
      <c r="I690" s="23" t="s">
        <v>656</v>
      </c>
      <c r="J690" s="23" t="s">
        <v>1766</v>
      </c>
    </row>
    <row r="691" spans="1:10" ht="19.5" customHeight="1" x14ac:dyDescent="0.35">
      <c r="A691" s="23" t="s">
        <v>896</v>
      </c>
      <c r="B691" s="23" t="s">
        <v>1767</v>
      </c>
      <c r="C691" s="23" t="s">
        <v>1768</v>
      </c>
      <c r="D691" s="24">
        <v>1</v>
      </c>
      <c r="E691" s="23" t="s">
        <v>1769</v>
      </c>
      <c r="F691" s="23" t="s">
        <v>1442</v>
      </c>
      <c r="G691" s="23" t="s">
        <v>901</v>
      </c>
      <c r="H691" s="23" t="s">
        <v>902</v>
      </c>
      <c r="I691" s="23" t="s">
        <v>656</v>
      </c>
      <c r="J691" s="23" t="s">
        <v>1770</v>
      </c>
    </row>
    <row r="692" spans="1:10" ht="19.5" customHeight="1" x14ac:dyDescent="0.35">
      <c r="A692" s="23" t="s">
        <v>896</v>
      </c>
      <c r="B692" s="23" t="s">
        <v>1771</v>
      </c>
      <c r="C692" s="23" t="s">
        <v>905</v>
      </c>
      <c r="D692" s="24">
        <v>1</v>
      </c>
      <c r="E692" s="23" t="s">
        <v>1772</v>
      </c>
      <c r="F692" s="23" t="s">
        <v>1442</v>
      </c>
      <c r="G692" s="23" t="s">
        <v>901</v>
      </c>
      <c r="H692" s="23" t="s">
        <v>902</v>
      </c>
      <c r="I692" s="23" t="s">
        <v>656</v>
      </c>
      <c r="J692" s="23" t="s">
        <v>1773</v>
      </c>
    </row>
    <row r="693" spans="1:10" ht="19.5" customHeight="1" x14ac:dyDescent="0.35">
      <c r="A693" s="23" t="s">
        <v>896</v>
      </c>
      <c r="B693" s="23" t="s">
        <v>1774</v>
      </c>
      <c r="C693" s="23" t="s">
        <v>1646</v>
      </c>
      <c r="D693" s="24">
        <v>1</v>
      </c>
      <c r="E693" s="23" t="s">
        <v>1775</v>
      </c>
      <c r="F693" s="23" t="s">
        <v>1442</v>
      </c>
      <c r="G693" s="23" t="s">
        <v>901</v>
      </c>
      <c r="H693" s="23" t="s">
        <v>902</v>
      </c>
      <c r="I693" s="23" t="s">
        <v>656</v>
      </c>
      <c r="J693" s="23" t="s">
        <v>1776</v>
      </c>
    </row>
    <row r="694" spans="1:10" ht="19.5" customHeight="1" x14ac:dyDescent="0.35">
      <c r="A694" s="23" t="s">
        <v>896</v>
      </c>
      <c r="B694" s="23" t="s">
        <v>1777</v>
      </c>
      <c r="C694" s="23" t="s">
        <v>1136</v>
      </c>
      <c r="D694" s="24">
        <v>1</v>
      </c>
      <c r="E694" s="23" t="s">
        <v>1778</v>
      </c>
      <c r="F694" s="23" t="s">
        <v>1442</v>
      </c>
      <c r="G694" s="23" t="s">
        <v>901</v>
      </c>
      <c r="H694" s="23" t="s">
        <v>902</v>
      </c>
      <c r="I694" s="23" t="s">
        <v>656</v>
      </c>
      <c r="J694" s="23" t="s">
        <v>1779</v>
      </c>
    </row>
    <row r="695" spans="1:10" ht="19.5" customHeight="1" x14ac:dyDescent="0.35">
      <c r="A695" s="23" t="s">
        <v>896</v>
      </c>
      <c r="B695" s="23" t="s">
        <v>1780</v>
      </c>
      <c r="C695" s="23" t="s">
        <v>963</v>
      </c>
      <c r="D695" s="24">
        <v>1</v>
      </c>
      <c r="E695" s="23" t="s">
        <v>1781</v>
      </c>
      <c r="F695" s="23" t="s">
        <v>1442</v>
      </c>
      <c r="G695" s="23" t="s">
        <v>901</v>
      </c>
      <c r="H695" s="23" t="s">
        <v>902</v>
      </c>
      <c r="I695" s="23" t="s">
        <v>656</v>
      </c>
      <c r="J695" s="23" t="s">
        <v>1782</v>
      </c>
    </row>
    <row r="696" spans="1:10" ht="19.5" customHeight="1" x14ac:dyDescent="0.35">
      <c r="A696" s="23" t="s">
        <v>896</v>
      </c>
      <c r="B696" s="23" t="s">
        <v>1783</v>
      </c>
      <c r="C696" s="23" t="s">
        <v>1490</v>
      </c>
      <c r="D696" s="24">
        <v>1</v>
      </c>
      <c r="E696" s="23" t="s">
        <v>1784</v>
      </c>
      <c r="F696" s="23" t="s">
        <v>1442</v>
      </c>
      <c r="G696" s="23" t="s">
        <v>901</v>
      </c>
      <c r="H696" s="23" t="s">
        <v>902</v>
      </c>
      <c r="I696" s="23" t="s">
        <v>656</v>
      </c>
      <c r="J696" s="23" t="s">
        <v>1785</v>
      </c>
    </row>
    <row r="697" spans="1:10" ht="19.5" customHeight="1" x14ac:dyDescent="0.35">
      <c r="A697" s="27" t="s">
        <v>896</v>
      </c>
      <c r="B697" s="27" t="s">
        <v>1786</v>
      </c>
      <c r="C697" s="27" t="s">
        <v>1077</v>
      </c>
      <c r="D697" s="28">
        <v>1</v>
      </c>
      <c r="E697" s="27" t="s">
        <v>1787</v>
      </c>
      <c r="F697" s="27" t="s">
        <v>1026</v>
      </c>
      <c r="G697" s="27" t="s">
        <v>901</v>
      </c>
      <c r="H697" s="27" t="s">
        <v>902</v>
      </c>
      <c r="I697" s="27" t="s">
        <v>656</v>
      </c>
      <c r="J697" s="27" t="s">
        <v>1788</v>
      </c>
    </row>
    <row r="698" spans="1:10" ht="19.5" customHeight="1" x14ac:dyDescent="0.35">
      <c r="A698" s="23" t="s">
        <v>896</v>
      </c>
      <c r="B698" s="23" t="s">
        <v>1789</v>
      </c>
      <c r="C698" s="23" t="s">
        <v>909</v>
      </c>
      <c r="D698" s="24">
        <v>1</v>
      </c>
      <c r="E698" s="23" t="s">
        <v>1790</v>
      </c>
      <c r="F698" s="23" t="s">
        <v>1442</v>
      </c>
      <c r="G698" s="23" t="s">
        <v>901</v>
      </c>
      <c r="H698" s="23" t="s">
        <v>902</v>
      </c>
      <c r="I698" s="23" t="s">
        <v>656</v>
      </c>
      <c r="J698" s="23" t="s">
        <v>1791</v>
      </c>
    </row>
    <row r="699" spans="1:10" ht="19.5" customHeight="1" x14ac:dyDescent="0.35">
      <c r="A699" s="23" t="s">
        <v>896</v>
      </c>
      <c r="B699" s="23" t="s">
        <v>1792</v>
      </c>
      <c r="C699" s="23" t="s">
        <v>1101</v>
      </c>
      <c r="D699" s="24">
        <v>1</v>
      </c>
      <c r="E699" s="23" t="s">
        <v>1793</v>
      </c>
      <c r="F699" s="23" t="s">
        <v>1442</v>
      </c>
      <c r="G699" s="23" t="s">
        <v>901</v>
      </c>
      <c r="H699" s="23" t="s">
        <v>902</v>
      </c>
      <c r="I699" s="23" t="s">
        <v>656</v>
      </c>
      <c r="J699" s="23" t="s">
        <v>1794</v>
      </c>
    </row>
    <row r="700" spans="1:10" ht="19.5" customHeight="1" x14ac:dyDescent="0.35">
      <c r="A700" s="23" t="s">
        <v>896</v>
      </c>
      <c r="B700" s="23" t="s">
        <v>1795</v>
      </c>
      <c r="C700" s="23" t="s">
        <v>925</v>
      </c>
      <c r="D700" s="24">
        <v>1</v>
      </c>
      <c r="E700" s="23" t="s">
        <v>1796</v>
      </c>
      <c r="F700" s="23" t="s">
        <v>1442</v>
      </c>
      <c r="G700" s="23" t="s">
        <v>901</v>
      </c>
      <c r="H700" s="23" t="s">
        <v>902</v>
      </c>
      <c r="I700" s="23" t="s">
        <v>656</v>
      </c>
      <c r="J700" s="23" t="s">
        <v>1797</v>
      </c>
    </row>
    <row r="701" spans="1:10" ht="19.5" customHeight="1" x14ac:dyDescent="0.35">
      <c r="A701" s="23" t="s">
        <v>896</v>
      </c>
      <c r="B701" s="23" t="s">
        <v>1798</v>
      </c>
      <c r="C701" s="23" t="s">
        <v>905</v>
      </c>
      <c r="D701" s="24">
        <v>1</v>
      </c>
      <c r="E701" s="23" t="s">
        <v>1799</v>
      </c>
      <c r="F701" s="23" t="s">
        <v>1442</v>
      </c>
      <c r="G701" s="23" t="s">
        <v>901</v>
      </c>
      <c r="H701" s="23" t="s">
        <v>902</v>
      </c>
      <c r="I701" s="23" t="s">
        <v>656</v>
      </c>
      <c r="J701" s="23" t="s">
        <v>1800</v>
      </c>
    </row>
    <row r="702" spans="1:10" ht="19.5" customHeight="1" x14ac:dyDescent="0.35">
      <c r="A702" s="23" t="s">
        <v>896</v>
      </c>
      <c r="B702" s="23" t="s">
        <v>1801</v>
      </c>
      <c r="C702" s="23" t="s">
        <v>1009</v>
      </c>
      <c r="D702" s="24">
        <v>1</v>
      </c>
      <c r="E702" s="23" t="s">
        <v>1802</v>
      </c>
      <c r="F702" s="23" t="s">
        <v>1442</v>
      </c>
      <c r="G702" s="23" t="s">
        <v>901</v>
      </c>
      <c r="H702" s="23" t="s">
        <v>902</v>
      </c>
      <c r="I702" s="23" t="s">
        <v>656</v>
      </c>
      <c r="J702" s="23" t="s">
        <v>1803</v>
      </c>
    </row>
    <row r="703" spans="1:10" ht="19.5" customHeight="1" x14ac:dyDescent="0.35">
      <c r="A703" s="23" t="s">
        <v>896</v>
      </c>
      <c r="B703" s="23" t="s">
        <v>1804</v>
      </c>
      <c r="C703" s="23" t="s">
        <v>925</v>
      </c>
      <c r="D703" s="24">
        <v>1</v>
      </c>
      <c r="E703" s="23" t="s">
        <v>1805</v>
      </c>
      <c r="F703" s="23" t="s">
        <v>1442</v>
      </c>
      <c r="G703" s="23" t="s">
        <v>901</v>
      </c>
      <c r="H703" s="23" t="s">
        <v>902</v>
      </c>
      <c r="I703" s="23" t="s">
        <v>656</v>
      </c>
      <c r="J703" s="23" t="s">
        <v>1806</v>
      </c>
    </row>
    <row r="704" spans="1:10" ht="19.5" customHeight="1" x14ac:dyDescent="0.35">
      <c r="A704" s="23" t="s">
        <v>896</v>
      </c>
      <c r="B704" s="23" t="s">
        <v>1807</v>
      </c>
      <c r="C704" s="23" t="s">
        <v>1212</v>
      </c>
      <c r="D704" s="24">
        <v>1</v>
      </c>
      <c r="E704" s="23" t="s">
        <v>1808</v>
      </c>
      <c r="F704" s="23" t="s">
        <v>1442</v>
      </c>
      <c r="G704" s="23" t="s">
        <v>901</v>
      </c>
      <c r="H704" s="23" t="s">
        <v>902</v>
      </c>
      <c r="I704" s="23" t="s">
        <v>656</v>
      </c>
      <c r="J704" s="23" t="s">
        <v>1809</v>
      </c>
    </row>
    <row r="705" spans="1:10" ht="19.5" customHeight="1" x14ac:dyDescent="0.35">
      <c r="A705" s="23" t="s">
        <v>896</v>
      </c>
      <c r="B705" s="23" t="s">
        <v>1810</v>
      </c>
      <c r="C705" s="23" t="s">
        <v>1084</v>
      </c>
      <c r="D705" s="24">
        <v>1</v>
      </c>
      <c r="E705" s="23" t="s">
        <v>1811</v>
      </c>
      <c r="F705" s="23" t="s">
        <v>1442</v>
      </c>
      <c r="G705" s="23" t="s">
        <v>901</v>
      </c>
      <c r="H705" s="23" t="s">
        <v>902</v>
      </c>
      <c r="I705" s="23" t="s">
        <v>656</v>
      </c>
      <c r="J705" s="23" t="s">
        <v>1812</v>
      </c>
    </row>
    <row r="706" spans="1:10" ht="19.5" customHeight="1" x14ac:dyDescent="0.35">
      <c r="A706" s="23" t="s">
        <v>896</v>
      </c>
      <c r="B706" s="23" t="s">
        <v>1813</v>
      </c>
      <c r="C706" s="23" t="s">
        <v>898</v>
      </c>
      <c r="D706" s="24">
        <v>1</v>
      </c>
      <c r="E706" s="23" t="s">
        <v>1814</v>
      </c>
      <c r="F706" s="23" t="s">
        <v>1442</v>
      </c>
      <c r="G706" s="23" t="s">
        <v>901</v>
      </c>
      <c r="H706" s="23" t="s">
        <v>902</v>
      </c>
      <c r="I706" s="23" t="s">
        <v>656</v>
      </c>
      <c r="J706" s="23" t="s">
        <v>1815</v>
      </c>
    </row>
    <row r="707" spans="1:10" ht="19.5" customHeight="1" x14ac:dyDescent="0.35">
      <c r="A707" s="23" t="s">
        <v>896</v>
      </c>
      <c r="B707" s="23" t="s">
        <v>1816</v>
      </c>
      <c r="C707" s="23" t="s">
        <v>1817</v>
      </c>
      <c r="D707" s="24">
        <v>1</v>
      </c>
      <c r="E707" s="23" t="s">
        <v>1818</v>
      </c>
      <c r="F707" s="23" t="s">
        <v>1442</v>
      </c>
      <c r="G707" s="23" t="s">
        <v>901</v>
      </c>
      <c r="H707" s="23" t="s">
        <v>902</v>
      </c>
      <c r="I707" s="23" t="s">
        <v>656</v>
      </c>
      <c r="J707" s="23" t="s">
        <v>1819</v>
      </c>
    </row>
    <row r="708" spans="1:10" ht="19.5" customHeight="1" x14ac:dyDescent="0.35">
      <c r="A708" s="23" t="s">
        <v>896</v>
      </c>
      <c r="B708" s="23" t="s">
        <v>1820</v>
      </c>
      <c r="C708" s="23" t="s">
        <v>959</v>
      </c>
      <c r="D708" s="24">
        <v>1</v>
      </c>
      <c r="E708" s="23" t="s">
        <v>1821</v>
      </c>
      <c r="F708" s="23" t="s">
        <v>1442</v>
      </c>
      <c r="G708" s="23" t="s">
        <v>901</v>
      </c>
      <c r="H708" s="23" t="s">
        <v>902</v>
      </c>
      <c r="I708" s="23" t="s">
        <v>656</v>
      </c>
      <c r="J708" s="23" t="s">
        <v>1822</v>
      </c>
    </row>
    <row r="709" spans="1:10" ht="19.5" customHeight="1" x14ac:dyDescent="0.35">
      <c r="A709" s="23" t="s">
        <v>896</v>
      </c>
      <c r="B709" s="23" t="s">
        <v>1823</v>
      </c>
      <c r="C709" s="23" t="s">
        <v>905</v>
      </c>
      <c r="D709" s="24">
        <v>1</v>
      </c>
      <c r="E709" s="23" t="s">
        <v>1824</v>
      </c>
      <c r="F709" s="23" t="s">
        <v>1442</v>
      </c>
      <c r="G709" s="23" t="s">
        <v>901</v>
      </c>
      <c r="H709" s="23" t="s">
        <v>902</v>
      </c>
      <c r="I709" s="23" t="s">
        <v>656</v>
      </c>
      <c r="J709" s="23" t="s">
        <v>1825</v>
      </c>
    </row>
    <row r="710" spans="1:10" ht="19.5" customHeight="1" x14ac:dyDescent="0.35">
      <c r="A710" s="23" t="s">
        <v>896</v>
      </c>
      <c r="B710" s="23" t="s">
        <v>1826</v>
      </c>
      <c r="C710" s="23" t="s">
        <v>913</v>
      </c>
      <c r="D710" s="24">
        <v>1</v>
      </c>
      <c r="E710" s="23" t="s">
        <v>1827</v>
      </c>
      <c r="F710" s="23" t="s">
        <v>1442</v>
      </c>
      <c r="G710" s="23" t="s">
        <v>901</v>
      </c>
      <c r="H710" s="23" t="s">
        <v>902</v>
      </c>
      <c r="I710" s="23" t="s">
        <v>656</v>
      </c>
      <c r="J710" s="23" t="s">
        <v>1828</v>
      </c>
    </row>
    <row r="711" spans="1:10" ht="19.5" customHeight="1" x14ac:dyDescent="0.35">
      <c r="A711" s="23" t="s">
        <v>896</v>
      </c>
      <c r="B711" s="23" t="s">
        <v>1829</v>
      </c>
      <c r="C711" s="23" t="s">
        <v>996</v>
      </c>
      <c r="D711" s="24">
        <v>1</v>
      </c>
      <c r="E711" s="23" t="s">
        <v>1830</v>
      </c>
      <c r="F711" s="23" t="s">
        <v>1442</v>
      </c>
      <c r="G711" s="23" t="s">
        <v>901</v>
      </c>
      <c r="H711" s="23" t="s">
        <v>902</v>
      </c>
      <c r="I711" s="23" t="s">
        <v>656</v>
      </c>
      <c r="J711" s="23" t="s">
        <v>1831</v>
      </c>
    </row>
    <row r="712" spans="1:10" ht="19.5" customHeight="1" x14ac:dyDescent="0.35">
      <c r="A712" s="23" t="s">
        <v>896</v>
      </c>
      <c r="B712" s="23" t="s">
        <v>1832</v>
      </c>
      <c r="C712" s="23" t="s">
        <v>963</v>
      </c>
      <c r="D712" s="24">
        <v>1</v>
      </c>
      <c r="E712" s="23" t="s">
        <v>1833</v>
      </c>
      <c r="F712" s="23" t="s">
        <v>1442</v>
      </c>
      <c r="G712" s="23" t="s">
        <v>901</v>
      </c>
      <c r="H712" s="23" t="s">
        <v>902</v>
      </c>
      <c r="I712" s="23" t="s">
        <v>656</v>
      </c>
      <c r="J712" s="23" t="s">
        <v>1834</v>
      </c>
    </row>
    <row r="713" spans="1:10" ht="19.5" customHeight="1" x14ac:dyDescent="0.35">
      <c r="A713" s="23" t="s">
        <v>896</v>
      </c>
      <c r="B713" s="23" t="s">
        <v>1835</v>
      </c>
      <c r="C713" s="23" t="s">
        <v>1101</v>
      </c>
      <c r="D713" s="24">
        <v>1</v>
      </c>
      <c r="E713" s="23" t="s">
        <v>1836</v>
      </c>
      <c r="F713" s="23" t="s">
        <v>1442</v>
      </c>
      <c r="G713" s="23" t="s">
        <v>901</v>
      </c>
      <c r="H713" s="23" t="s">
        <v>902</v>
      </c>
      <c r="I713" s="23" t="s">
        <v>656</v>
      </c>
      <c r="J713" s="23" t="s">
        <v>1837</v>
      </c>
    </row>
    <row r="714" spans="1:10" ht="19.5" customHeight="1" x14ac:dyDescent="0.35">
      <c r="A714" s="23" t="s">
        <v>896</v>
      </c>
      <c r="B714" s="23" t="s">
        <v>1838</v>
      </c>
      <c r="C714" s="23" t="s">
        <v>963</v>
      </c>
      <c r="D714" s="24">
        <v>1</v>
      </c>
      <c r="E714" s="23" t="s">
        <v>1839</v>
      </c>
      <c r="F714" s="23" t="s">
        <v>1442</v>
      </c>
      <c r="G714" s="23" t="s">
        <v>901</v>
      </c>
      <c r="H714" s="23" t="s">
        <v>902</v>
      </c>
      <c r="I714" s="23" t="s">
        <v>656</v>
      </c>
      <c r="J714" s="23" t="s">
        <v>1840</v>
      </c>
    </row>
    <row r="715" spans="1:10" ht="19.5" customHeight="1" x14ac:dyDescent="0.35">
      <c r="A715" s="23" t="s">
        <v>896</v>
      </c>
      <c r="B715" s="23" t="s">
        <v>1841</v>
      </c>
      <c r="C715" s="23" t="s">
        <v>1118</v>
      </c>
      <c r="D715" s="24">
        <v>1</v>
      </c>
      <c r="E715" s="23" t="s">
        <v>1842</v>
      </c>
      <c r="F715" s="23" t="s">
        <v>1442</v>
      </c>
      <c r="G715" s="23" t="s">
        <v>901</v>
      </c>
      <c r="H715" s="23" t="s">
        <v>902</v>
      </c>
      <c r="I715" s="23" t="s">
        <v>656</v>
      </c>
      <c r="J715" s="23" t="s">
        <v>1843</v>
      </c>
    </row>
    <row r="716" spans="1:10" ht="19.5" customHeight="1" x14ac:dyDescent="0.35">
      <c r="A716" s="23" t="s">
        <v>896</v>
      </c>
      <c r="B716" s="23" t="s">
        <v>1844</v>
      </c>
      <c r="C716" s="23" t="s">
        <v>1136</v>
      </c>
      <c r="D716" s="24">
        <v>1</v>
      </c>
      <c r="E716" s="23" t="s">
        <v>1845</v>
      </c>
      <c r="F716" s="23" t="s">
        <v>1442</v>
      </c>
      <c r="G716" s="23" t="s">
        <v>901</v>
      </c>
      <c r="H716" s="23" t="s">
        <v>902</v>
      </c>
      <c r="I716" s="23" t="s">
        <v>656</v>
      </c>
      <c r="J716" s="23" t="s">
        <v>1846</v>
      </c>
    </row>
    <row r="717" spans="1:10" ht="19.5" customHeight="1" x14ac:dyDescent="0.35">
      <c r="A717" s="23" t="s">
        <v>896</v>
      </c>
      <c r="B717" s="23" t="s">
        <v>1847</v>
      </c>
      <c r="C717" s="23" t="s">
        <v>1143</v>
      </c>
      <c r="D717" s="24">
        <v>1</v>
      </c>
      <c r="E717" s="23" t="s">
        <v>1848</v>
      </c>
      <c r="F717" s="23" t="s">
        <v>1442</v>
      </c>
      <c r="G717" s="23" t="s">
        <v>901</v>
      </c>
      <c r="H717" s="23" t="s">
        <v>902</v>
      </c>
      <c r="I717" s="23" t="s">
        <v>656</v>
      </c>
      <c r="J717" s="23" t="s">
        <v>1849</v>
      </c>
    </row>
    <row r="718" spans="1:10" ht="19.5" customHeight="1" x14ac:dyDescent="0.35">
      <c r="A718" s="23" t="s">
        <v>896</v>
      </c>
      <c r="B718" s="23" t="s">
        <v>1850</v>
      </c>
      <c r="C718" s="23" t="s">
        <v>1490</v>
      </c>
      <c r="D718" s="24">
        <v>1</v>
      </c>
      <c r="E718" s="23" t="s">
        <v>1851</v>
      </c>
      <c r="F718" s="23" t="s">
        <v>1442</v>
      </c>
      <c r="G718" s="23" t="s">
        <v>901</v>
      </c>
      <c r="H718" s="23" t="s">
        <v>902</v>
      </c>
      <c r="I718" s="23" t="s">
        <v>656</v>
      </c>
      <c r="J718" s="23" t="s">
        <v>1852</v>
      </c>
    </row>
    <row r="719" spans="1:10" ht="19.5" customHeight="1" x14ac:dyDescent="0.35">
      <c r="A719" s="23" t="s">
        <v>896</v>
      </c>
      <c r="B719" s="23" t="s">
        <v>1853</v>
      </c>
      <c r="C719" s="23" t="s">
        <v>1136</v>
      </c>
      <c r="D719" s="24">
        <v>1</v>
      </c>
      <c r="E719" s="23" t="s">
        <v>1854</v>
      </c>
      <c r="F719" s="23" t="s">
        <v>1442</v>
      </c>
      <c r="G719" s="23" t="s">
        <v>901</v>
      </c>
      <c r="H719" s="23" t="s">
        <v>902</v>
      </c>
      <c r="I719" s="23" t="s">
        <v>656</v>
      </c>
      <c r="J719" s="23" t="s">
        <v>1855</v>
      </c>
    </row>
    <row r="720" spans="1:10" ht="19.5" customHeight="1" x14ac:dyDescent="0.35">
      <c r="A720" s="23" t="s">
        <v>896</v>
      </c>
      <c r="B720" s="23" t="s">
        <v>1856</v>
      </c>
      <c r="C720" s="23" t="s">
        <v>929</v>
      </c>
      <c r="D720" s="24">
        <v>1</v>
      </c>
      <c r="E720" s="23" t="s">
        <v>1857</v>
      </c>
      <c r="F720" s="23" t="s">
        <v>1442</v>
      </c>
      <c r="G720" s="23" t="s">
        <v>901</v>
      </c>
      <c r="H720" s="23" t="s">
        <v>902</v>
      </c>
      <c r="I720" s="23" t="s">
        <v>656</v>
      </c>
      <c r="J720" s="23" t="s">
        <v>1858</v>
      </c>
    </row>
    <row r="721" spans="1:10" ht="19.5" customHeight="1" x14ac:dyDescent="0.35">
      <c r="A721" s="23" t="s">
        <v>896</v>
      </c>
      <c r="B721" s="23" t="s">
        <v>1859</v>
      </c>
      <c r="C721" s="23" t="s">
        <v>1077</v>
      </c>
      <c r="D721" s="24">
        <v>1</v>
      </c>
      <c r="E721" s="23" t="s">
        <v>1860</v>
      </c>
      <c r="F721" s="23" t="s">
        <v>1442</v>
      </c>
      <c r="G721" s="23" t="s">
        <v>901</v>
      </c>
      <c r="H721" s="23" t="s">
        <v>902</v>
      </c>
      <c r="I721" s="23" t="s">
        <v>656</v>
      </c>
      <c r="J721" s="23" t="s">
        <v>1861</v>
      </c>
    </row>
    <row r="722" spans="1:10" ht="19.5" customHeight="1" x14ac:dyDescent="0.35">
      <c r="A722" s="23" t="s">
        <v>896</v>
      </c>
      <c r="B722" s="23" t="s">
        <v>1862</v>
      </c>
      <c r="C722" s="23" t="s">
        <v>946</v>
      </c>
      <c r="D722" s="24">
        <v>1</v>
      </c>
      <c r="E722" s="23" t="s">
        <v>1863</v>
      </c>
      <c r="F722" s="23" t="s">
        <v>1442</v>
      </c>
      <c r="G722" s="23" t="s">
        <v>901</v>
      </c>
      <c r="H722" s="23" t="s">
        <v>902</v>
      </c>
      <c r="I722" s="23" t="s">
        <v>656</v>
      </c>
      <c r="J722" s="23" t="s">
        <v>1864</v>
      </c>
    </row>
    <row r="723" spans="1:10" ht="19.5" customHeight="1" x14ac:dyDescent="0.35">
      <c r="A723" s="23" t="s">
        <v>896</v>
      </c>
      <c r="B723" s="23" t="s">
        <v>1865</v>
      </c>
      <c r="C723" s="23" t="s">
        <v>921</v>
      </c>
      <c r="D723" s="24">
        <v>1</v>
      </c>
      <c r="E723" s="23" t="s">
        <v>1866</v>
      </c>
      <c r="F723" s="23" t="s">
        <v>1442</v>
      </c>
      <c r="G723" s="23" t="s">
        <v>901</v>
      </c>
      <c r="H723" s="23" t="s">
        <v>902</v>
      </c>
      <c r="I723" s="23" t="s">
        <v>656</v>
      </c>
      <c r="J723" s="23" t="s">
        <v>1867</v>
      </c>
    </row>
    <row r="724" spans="1:10" ht="19.5" customHeight="1" x14ac:dyDescent="0.35">
      <c r="A724" s="23" t="s">
        <v>896</v>
      </c>
      <c r="B724" s="23" t="s">
        <v>1868</v>
      </c>
      <c r="C724" s="23" t="s">
        <v>1136</v>
      </c>
      <c r="D724" s="24">
        <v>1</v>
      </c>
      <c r="E724" s="23" t="s">
        <v>1869</v>
      </c>
      <c r="F724" s="23" t="s">
        <v>1442</v>
      </c>
      <c r="G724" s="23" t="s">
        <v>901</v>
      </c>
      <c r="H724" s="23" t="s">
        <v>902</v>
      </c>
      <c r="I724" s="23" t="s">
        <v>656</v>
      </c>
      <c r="J724" s="23" t="s">
        <v>1870</v>
      </c>
    </row>
    <row r="725" spans="1:10" ht="19.5" customHeight="1" x14ac:dyDescent="0.35">
      <c r="A725" s="23" t="s">
        <v>896</v>
      </c>
      <c r="B725" s="23" t="s">
        <v>1871</v>
      </c>
      <c r="C725" s="23" t="s">
        <v>1697</v>
      </c>
      <c r="D725" s="24">
        <v>1</v>
      </c>
      <c r="E725" s="23" t="s">
        <v>1872</v>
      </c>
      <c r="F725" s="23" t="s">
        <v>1442</v>
      </c>
      <c r="G725" s="23" t="s">
        <v>901</v>
      </c>
      <c r="H725" s="23" t="s">
        <v>902</v>
      </c>
      <c r="I725" s="23" t="s">
        <v>656</v>
      </c>
      <c r="J725" s="23" t="s">
        <v>1873</v>
      </c>
    </row>
    <row r="726" spans="1:10" ht="19.5" customHeight="1" x14ac:dyDescent="0.35">
      <c r="A726" s="23" t="s">
        <v>896</v>
      </c>
      <c r="B726" s="23" t="s">
        <v>1874</v>
      </c>
      <c r="C726" s="23" t="s">
        <v>1697</v>
      </c>
      <c r="D726" s="24">
        <v>1</v>
      </c>
      <c r="E726" s="23" t="s">
        <v>1875</v>
      </c>
      <c r="F726" s="23" t="s">
        <v>1442</v>
      </c>
      <c r="G726" s="23" t="s">
        <v>901</v>
      </c>
      <c r="H726" s="23" t="s">
        <v>902</v>
      </c>
      <c r="I726" s="23" t="s">
        <v>656</v>
      </c>
      <c r="J726" s="23" t="s">
        <v>1876</v>
      </c>
    </row>
    <row r="727" spans="1:10" ht="19.5" customHeight="1" x14ac:dyDescent="0.35">
      <c r="A727" s="23" t="s">
        <v>896</v>
      </c>
      <c r="B727" s="23" t="s">
        <v>1877</v>
      </c>
      <c r="C727" s="23" t="s">
        <v>1009</v>
      </c>
      <c r="D727" s="24">
        <v>1</v>
      </c>
      <c r="E727" s="23" t="s">
        <v>1878</v>
      </c>
      <c r="F727" s="23" t="s">
        <v>1442</v>
      </c>
      <c r="G727" s="23" t="s">
        <v>901</v>
      </c>
      <c r="H727" s="23" t="s">
        <v>902</v>
      </c>
      <c r="I727" s="23" t="s">
        <v>656</v>
      </c>
      <c r="J727" s="23" t="s">
        <v>1879</v>
      </c>
    </row>
    <row r="728" spans="1:10" ht="19.5" customHeight="1" x14ac:dyDescent="0.35">
      <c r="A728" s="23" t="s">
        <v>896</v>
      </c>
      <c r="B728" s="23" t="s">
        <v>1880</v>
      </c>
      <c r="C728" s="23" t="s">
        <v>898</v>
      </c>
      <c r="D728" s="24">
        <v>1</v>
      </c>
      <c r="E728" s="23" t="s">
        <v>1881</v>
      </c>
      <c r="F728" s="23" t="s">
        <v>1442</v>
      </c>
      <c r="G728" s="23" t="s">
        <v>901</v>
      </c>
      <c r="H728" s="23" t="s">
        <v>902</v>
      </c>
      <c r="I728" s="23" t="s">
        <v>656</v>
      </c>
      <c r="J728" s="23" t="s">
        <v>1882</v>
      </c>
    </row>
    <row r="729" spans="1:10" ht="19.5" customHeight="1" x14ac:dyDescent="0.35">
      <c r="A729" s="29" t="s">
        <v>896</v>
      </c>
      <c r="B729" s="29" t="s">
        <v>1883</v>
      </c>
      <c r="C729" s="29" t="s">
        <v>909</v>
      </c>
      <c r="D729" s="30">
        <v>1</v>
      </c>
      <c r="E729" s="29" t="s">
        <v>1884</v>
      </c>
      <c r="F729" s="29" t="s">
        <v>1885</v>
      </c>
      <c r="G729" s="29" t="s">
        <v>901</v>
      </c>
      <c r="H729" s="29" t="s">
        <v>902</v>
      </c>
      <c r="I729" s="29" t="s">
        <v>656</v>
      </c>
      <c r="J729" s="29" t="s">
        <v>1886</v>
      </c>
    </row>
    <row r="730" spans="1:10" ht="19.5" customHeight="1" x14ac:dyDescent="0.35">
      <c r="A730" s="23" t="s">
        <v>896</v>
      </c>
      <c r="B730" s="23" t="s">
        <v>1887</v>
      </c>
      <c r="C730" s="23" t="s">
        <v>1077</v>
      </c>
      <c r="D730" s="24">
        <v>1</v>
      </c>
      <c r="E730" s="23" t="s">
        <v>1888</v>
      </c>
      <c r="F730" s="23" t="s">
        <v>1442</v>
      </c>
      <c r="G730" s="23" t="s">
        <v>901</v>
      </c>
      <c r="H730" s="23" t="s">
        <v>902</v>
      </c>
      <c r="I730" s="23" t="s">
        <v>656</v>
      </c>
      <c r="J730" s="23" t="s">
        <v>1889</v>
      </c>
    </row>
    <row r="731" spans="1:10" ht="19.5" customHeight="1" x14ac:dyDescent="0.35">
      <c r="A731" s="29" t="s">
        <v>896</v>
      </c>
      <c r="B731" s="29" t="s">
        <v>1890</v>
      </c>
      <c r="C731" s="29" t="s">
        <v>1118</v>
      </c>
      <c r="D731" s="30">
        <v>1</v>
      </c>
      <c r="E731" s="29" t="s">
        <v>1891</v>
      </c>
      <c r="F731" s="29" t="s">
        <v>1885</v>
      </c>
      <c r="G731" s="29" t="s">
        <v>901</v>
      </c>
      <c r="H731" s="29" t="s">
        <v>902</v>
      </c>
      <c r="I731" s="29" t="s">
        <v>656</v>
      </c>
      <c r="J731" s="29" t="s">
        <v>1892</v>
      </c>
    </row>
    <row r="732" spans="1:10" ht="19.5" customHeight="1" x14ac:dyDescent="0.35">
      <c r="A732" s="29" t="s">
        <v>896</v>
      </c>
      <c r="B732" s="29" t="s">
        <v>1893</v>
      </c>
      <c r="C732" s="29" t="s">
        <v>1009</v>
      </c>
      <c r="D732" s="30">
        <v>1</v>
      </c>
      <c r="E732" s="29" t="s">
        <v>1894</v>
      </c>
      <c r="F732" s="29" t="s">
        <v>1885</v>
      </c>
      <c r="G732" s="29" t="s">
        <v>901</v>
      </c>
      <c r="H732" s="29" t="s">
        <v>902</v>
      </c>
      <c r="I732" s="29" t="s">
        <v>656</v>
      </c>
      <c r="J732" s="29" t="s">
        <v>1895</v>
      </c>
    </row>
    <row r="733" spans="1:10" ht="19.5" customHeight="1" x14ac:dyDescent="0.35">
      <c r="A733" s="29" t="s">
        <v>896</v>
      </c>
      <c r="B733" s="29" t="s">
        <v>1896</v>
      </c>
      <c r="C733" s="29" t="s">
        <v>917</v>
      </c>
      <c r="D733" s="30">
        <v>1</v>
      </c>
      <c r="E733" s="29" t="s">
        <v>1897</v>
      </c>
      <c r="F733" s="29" t="s">
        <v>1885</v>
      </c>
      <c r="G733" s="29" t="s">
        <v>901</v>
      </c>
      <c r="H733" s="29" t="s">
        <v>902</v>
      </c>
      <c r="I733" s="29" t="s">
        <v>656</v>
      </c>
      <c r="J733" s="29" t="s">
        <v>1898</v>
      </c>
    </row>
    <row r="734" spans="1:10" ht="19.5" customHeight="1" x14ac:dyDescent="0.35">
      <c r="A734" s="29" t="s">
        <v>896</v>
      </c>
      <c r="B734" s="29" t="s">
        <v>1899</v>
      </c>
      <c r="C734" s="29" t="s">
        <v>921</v>
      </c>
      <c r="D734" s="30">
        <v>1</v>
      </c>
      <c r="E734" s="29" t="s">
        <v>1900</v>
      </c>
      <c r="F734" s="29" t="s">
        <v>1885</v>
      </c>
      <c r="G734" s="29" t="s">
        <v>901</v>
      </c>
      <c r="H734" s="29" t="s">
        <v>902</v>
      </c>
      <c r="I734" s="29" t="s">
        <v>656</v>
      </c>
      <c r="J734" s="29" t="s">
        <v>1901</v>
      </c>
    </row>
    <row r="735" spans="1:10" ht="19.5" customHeight="1" x14ac:dyDescent="0.35">
      <c r="A735" s="29" t="s">
        <v>896</v>
      </c>
      <c r="B735" s="29" t="s">
        <v>1902</v>
      </c>
      <c r="C735" s="29" t="s">
        <v>1817</v>
      </c>
      <c r="D735" s="30">
        <v>1</v>
      </c>
      <c r="E735" s="29" t="s">
        <v>1903</v>
      </c>
      <c r="F735" s="29" t="s">
        <v>1885</v>
      </c>
      <c r="G735" s="29" t="s">
        <v>901</v>
      </c>
      <c r="H735" s="29" t="s">
        <v>902</v>
      </c>
      <c r="I735" s="29" t="s">
        <v>656</v>
      </c>
      <c r="J735" s="29" t="s">
        <v>1904</v>
      </c>
    </row>
    <row r="736" spans="1:10" ht="19.5" customHeight="1" x14ac:dyDescent="0.35">
      <c r="A736" s="29" t="s">
        <v>896</v>
      </c>
      <c r="B736" s="29" t="s">
        <v>1905</v>
      </c>
      <c r="C736" s="29" t="s">
        <v>1240</v>
      </c>
      <c r="D736" s="30">
        <v>1</v>
      </c>
      <c r="E736" s="29" t="s">
        <v>1906</v>
      </c>
      <c r="F736" s="29" t="s">
        <v>1885</v>
      </c>
      <c r="G736" s="29" t="s">
        <v>901</v>
      </c>
      <c r="H736" s="29" t="s">
        <v>902</v>
      </c>
      <c r="I736" s="29" t="s">
        <v>656</v>
      </c>
      <c r="J736" s="29" t="s">
        <v>1907</v>
      </c>
    </row>
    <row r="737" spans="1:10" ht="19.5" customHeight="1" x14ac:dyDescent="0.35">
      <c r="A737" s="29" t="s">
        <v>896</v>
      </c>
      <c r="B737" s="29" t="s">
        <v>1908</v>
      </c>
      <c r="C737" s="29" t="s">
        <v>1077</v>
      </c>
      <c r="D737" s="30">
        <v>1</v>
      </c>
      <c r="E737" s="29" t="s">
        <v>1909</v>
      </c>
      <c r="F737" s="29" t="s">
        <v>1885</v>
      </c>
      <c r="G737" s="29" t="s">
        <v>901</v>
      </c>
      <c r="H737" s="29" t="s">
        <v>902</v>
      </c>
      <c r="I737" s="29" t="s">
        <v>656</v>
      </c>
      <c r="J737" s="29" t="s">
        <v>1910</v>
      </c>
    </row>
    <row r="738" spans="1:10" ht="19.5" customHeight="1" x14ac:dyDescent="0.35">
      <c r="A738" s="23" t="s">
        <v>896</v>
      </c>
      <c r="B738" s="23" t="s">
        <v>1911</v>
      </c>
      <c r="C738" s="23" t="s">
        <v>1240</v>
      </c>
      <c r="D738" s="24">
        <v>1</v>
      </c>
      <c r="E738" s="23" t="s">
        <v>1912</v>
      </c>
      <c r="F738" s="23" t="s">
        <v>1442</v>
      </c>
      <c r="G738" s="23" t="s">
        <v>901</v>
      </c>
      <c r="H738" s="23" t="s">
        <v>902</v>
      </c>
      <c r="I738" s="23" t="s">
        <v>656</v>
      </c>
      <c r="J738" s="23" t="s">
        <v>1913</v>
      </c>
    </row>
    <row r="739" spans="1:10" ht="19.5" customHeight="1" x14ac:dyDescent="0.35">
      <c r="A739" s="29" t="s">
        <v>896</v>
      </c>
      <c r="B739" s="29" t="s">
        <v>1914</v>
      </c>
      <c r="C739" s="29" t="s">
        <v>1659</v>
      </c>
      <c r="D739" s="30">
        <v>1</v>
      </c>
      <c r="E739" s="29" t="s">
        <v>1915</v>
      </c>
      <c r="F739" s="29" t="s">
        <v>1885</v>
      </c>
      <c r="G739" s="29" t="s">
        <v>901</v>
      </c>
      <c r="H739" s="29" t="s">
        <v>902</v>
      </c>
      <c r="I739" s="29" t="s">
        <v>656</v>
      </c>
      <c r="J739" s="29" t="s">
        <v>1916</v>
      </c>
    </row>
    <row r="740" spans="1:10" ht="19.5" customHeight="1" x14ac:dyDescent="0.35">
      <c r="A740" s="29" t="s">
        <v>896</v>
      </c>
      <c r="B740" s="29" t="s">
        <v>1917</v>
      </c>
      <c r="C740" s="29" t="s">
        <v>905</v>
      </c>
      <c r="D740" s="30">
        <v>1</v>
      </c>
      <c r="E740" s="29" t="s">
        <v>1918</v>
      </c>
      <c r="F740" s="29" t="s">
        <v>1885</v>
      </c>
      <c r="G740" s="29" t="s">
        <v>901</v>
      </c>
      <c r="H740" s="29" t="s">
        <v>902</v>
      </c>
      <c r="I740" s="29" t="s">
        <v>656</v>
      </c>
      <c r="J740" s="29" t="s">
        <v>1919</v>
      </c>
    </row>
    <row r="741" spans="1:10" ht="19.5" customHeight="1" x14ac:dyDescent="0.35">
      <c r="A741" s="29" t="s">
        <v>896</v>
      </c>
      <c r="B741" s="29" t="s">
        <v>1920</v>
      </c>
      <c r="C741" s="29" t="s">
        <v>1084</v>
      </c>
      <c r="D741" s="30">
        <v>1</v>
      </c>
      <c r="E741" s="29" t="s">
        <v>1921</v>
      </c>
      <c r="F741" s="29" t="s">
        <v>1885</v>
      </c>
      <c r="G741" s="29" t="s">
        <v>901</v>
      </c>
      <c r="H741" s="29" t="s">
        <v>902</v>
      </c>
      <c r="I741" s="29" t="s">
        <v>656</v>
      </c>
      <c r="J741" s="29" t="s">
        <v>1922</v>
      </c>
    </row>
    <row r="742" spans="1:10" ht="19.5" customHeight="1" x14ac:dyDescent="0.35">
      <c r="A742" s="23" t="s">
        <v>896</v>
      </c>
      <c r="B742" s="23" t="s">
        <v>1923</v>
      </c>
      <c r="C742" s="23" t="s">
        <v>1122</v>
      </c>
      <c r="D742" s="24">
        <v>1</v>
      </c>
      <c r="E742" s="23" t="s">
        <v>1924</v>
      </c>
      <c r="F742" s="23" t="s">
        <v>1442</v>
      </c>
      <c r="G742" s="23" t="s">
        <v>901</v>
      </c>
      <c r="H742" s="23" t="s">
        <v>902</v>
      </c>
      <c r="I742" s="23" t="s">
        <v>656</v>
      </c>
      <c r="J742" s="23" t="s">
        <v>1925</v>
      </c>
    </row>
    <row r="743" spans="1:10" ht="19.5" customHeight="1" x14ac:dyDescent="0.35">
      <c r="A743" s="29" t="s">
        <v>896</v>
      </c>
      <c r="B743" s="29" t="s">
        <v>1926</v>
      </c>
      <c r="C743" s="29" t="s">
        <v>942</v>
      </c>
      <c r="D743" s="30">
        <v>1</v>
      </c>
      <c r="E743" s="29" t="s">
        <v>1927</v>
      </c>
      <c r="F743" s="29" t="s">
        <v>1885</v>
      </c>
      <c r="G743" s="29" t="s">
        <v>901</v>
      </c>
      <c r="H743" s="29" t="s">
        <v>902</v>
      </c>
      <c r="I743" s="29" t="s">
        <v>656</v>
      </c>
      <c r="J743" s="29" t="s">
        <v>1928</v>
      </c>
    </row>
    <row r="744" spans="1:10" ht="19.5" customHeight="1" x14ac:dyDescent="0.35">
      <c r="A744" s="29" t="s">
        <v>896</v>
      </c>
      <c r="B744" s="29" t="s">
        <v>1929</v>
      </c>
      <c r="C744" s="29" t="s">
        <v>1136</v>
      </c>
      <c r="D744" s="30">
        <v>1</v>
      </c>
      <c r="E744" s="29" t="s">
        <v>1930</v>
      </c>
      <c r="F744" s="29" t="s">
        <v>1885</v>
      </c>
      <c r="G744" s="29" t="s">
        <v>901</v>
      </c>
      <c r="H744" s="29" t="s">
        <v>902</v>
      </c>
      <c r="I744" s="29" t="s">
        <v>656</v>
      </c>
      <c r="J744" s="29" t="s">
        <v>1931</v>
      </c>
    </row>
    <row r="745" spans="1:10" ht="19.5" customHeight="1" x14ac:dyDescent="0.35">
      <c r="A745" s="29" t="s">
        <v>896</v>
      </c>
      <c r="B745" s="29" t="s">
        <v>1932</v>
      </c>
      <c r="C745" s="29" t="s">
        <v>913</v>
      </c>
      <c r="D745" s="30">
        <v>1</v>
      </c>
      <c r="E745" s="29" t="s">
        <v>1933</v>
      </c>
      <c r="F745" s="29" t="s">
        <v>1885</v>
      </c>
      <c r="G745" s="29" t="s">
        <v>901</v>
      </c>
      <c r="H745" s="29" t="s">
        <v>902</v>
      </c>
      <c r="I745" s="29" t="s">
        <v>656</v>
      </c>
      <c r="J745" s="29" t="s">
        <v>1934</v>
      </c>
    </row>
    <row r="746" spans="1:10" ht="19.5" customHeight="1" x14ac:dyDescent="0.35">
      <c r="A746" s="29" t="s">
        <v>896</v>
      </c>
      <c r="B746" s="29" t="s">
        <v>1935</v>
      </c>
      <c r="C746" s="29" t="s">
        <v>1646</v>
      </c>
      <c r="D746" s="30">
        <v>1</v>
      </c>
      <c r="E746" s="29" t="s">
        <v>1936</v>
      </c>
      <c r="F746" s="29" t="s">
        <v>1885</v>
      </c>
      <c r="G746" s="29" t="s">
        <v>901</v>
      </c>
      <c r="H746" s="29" t="s">
        <v>902</v>
      </c>
      <c r="I746" s="29" t="s">
        <v>656</v>
      </c>
      <c r="J746" s="29" t="s">
        <v>1937</v>
      </c>
    </row>
    <row r="747" spans="1:10" ht="19.5" customHeight="1" x14ac:dyDescent="0.35">
      <c r="A747" s="29" t="s">
        <v>896</v>
      </c>
      <c r="B747" s="29" t="s">
        <v>1938</v>
      </c>
      <c r="C747" s="29" t="s">
        <v>973</v>
      </c>
      <c r="D747" s="30">
        <v>1</v>
      </c>
      <c r="E747" s="29" t="s">
        <v>1939</v>
      </c>
      <c r="F747" s="29" t="s">
        <v>1885</v>
      </c>
      <c r="G747" s="29" t="s">
        <v>901</v>
      </c>
      <c r="H747" s="29" t="s">
        <v>902</v>
      </c>
      <c r="I747" s="29" t="s">
        <v>656</v>
      </c>
      <c r="J747" s="29" t="s">
        <v>1940</v>
      </c>
    </row>
    <row r="748" spans="1:10" ht="19.5" customHeight="1" x14ac:dyDescent="0.35">
      <c r="A748" s="29" t="s">
        <v>896</v>
      </c>
      <c r="B748" s="29" t="s">
        <v>1941</v>
      </c>
      <c r="C748" s="29" t="s">
        <v>1009</v>
      </c>
      <c r="D748" s="30">
        <v>1</v>
      </c>
      <c r="E748" s="29" t="s">
        <v>1942</v>
      </c>
      <c r="F748" s="29" t="s">
        <v>1885</v>
      </c>
      <c r="G748" s="29" t="s">
        <v>901</v>
      </c>
      <c r="H748" s="29" t="s">
        <v>902</v>
      </c>
      <c r="I748" s="29" t="s">
        <v>656</v>
      </c>
      <c r="J748" s="29" t="s">
        <v>1943</v>
      </c>
    </row>
    <row r="749" spans="1:10" ht="19.5" customHeight="1" x14ac:dyDescent="0.35">
      <c r="A749" s="29" t="s">
        <v>896</v>
      </c>
      <c r="B749" s="29" t="s">
        <v>1944</v>
      </c>
      <c r="C749" s="29" t="s">
        <v>1494</v>
      </c>
      <c r="D749" s="30">
        <v>1</v>
      </c>
      <c r="E749" s="29" t="s">
        <v>1945</v>
      </c>
      <c r="F749" s="29" t="s">
        <v>1885</v>
      </c>
      <c r="G749" s="29" t="s">
        <v>901</v>
      </c>
      <c r="H749" s="29" t="s">
        <v>902</v>
      </c>
      <c r="I749" s="29" t="s">
        <v>656</v>
      </c>
      <c r="J749" s="29" t="s">
        <v>1946</v>
      </c>
    </row>
    <row r="750" spans="1:10" ht="19.5" customHeight="1" x14ac:dyDescent="0.35">
      <c r="A750" s="29" t="s">
        <v>896</v>
      </c>
      <c r="B750" s="29" t="s">
        <v>1947</v>
      </c>
      <c r="C750" s="29" t="s">
        <v>1111</v>
      </c>
      <c r="D750" s="30">
        <v>1</v>
      </c>
      <c r="E750" s="29" t="s">
        <v>1948</v>
      </c>
      <c r="F750" s="29" t="s">
        <v>1885</v>
      </c>
      <c r="G750" s="29" t="s">
        <v>901</v>
      </c>
      <c r="H750" s="29" t="s">
        <v>902</v>
      </c>
      <c r="I750" s="29" t="s">
        <v>656</v>
      </c>
      <c r="J750" s="29" t="s">
        <v>1949</v>
      </c>
    </row>
    <row r="751" spans="1:10" ht="19.5" customHeight="1" x14ac:dyDescent="0.35">
      <c r="A751" s="29" t="s">
        <v>896</v>
      </c>
      <c r="B751" s="29" t="s">
        <v>1950</v>
      </c>
      <c r="C751" s="29" t="s">
        <v>1240</v>
      </c>
      <c r="D751" s="30">
        <v>1</v>
      </c>
      <c r="E751" s="29" t="s">
        <v>1951</v>
      </c>
      <c r="F751" s="29" t="s">
        <v>1885</v>
      </c>
      <c r="G751" s="29" t="s">
        <v>901</v>
      </c>
      <c r="H751" s="29" t="s">
        <v>902</v>
      </c>
      <c r="I751" s="29" t="s">
        <v>656</v>
      </c>
      <c r="J751" s="29" t="s">
        <v>1952</v>
      </c>
    </row>
    <row r="752" spans="1:10" ht="19.5" customHeight="1" x14ac:dyDescent="0.35">
      <c r="A752" s="29" t="s">
        <v>896</v>
      </c>
      <c r="B752" s="29" t="s">
        <v>1953</v>
      </c>
      <c r="C752" s="29" t="s">
        <v>921</v>
      </c>
      <c r="D752" s="30">
        <v>1</v>
      </c>
      <c r="E752" s="29" t="s">
        <v>1954</v>
      </c>
      <c r="F752" s="29" t="s">
        <v>1885</v>
      </c>
      <c r="G752" s="29" t="s">
        <v>901</v>
      </c>
      <c r="H752" s="29" t="s">
        <v>902</v>
      </c>
      <c r="I752" s="29" t="s">
        <v>656</v>
      </c>
      <c r="J752" s="29" t="s">
        <v>1955</v>
      </c>
    </row>
    <row r="753" spans="1:10" ht="19.5" customHeight="1" x14ac:dyDescent="0.35">
      <c r="A753" s="23" t="s">
        <v>896</v>
      </c>
      <c r="B753" s="23" t="s">
        <v>1956</v>
      </c>
      <c r="C753" s="23" t="s">
        <v>1122</v>
      </c>
      <c r="D753" s="24">
        <v>1</v>
      </c>
      <c r="E753" s="23" t="s">
        <v>1957</v>
      </c>
      <c r="F753" s="23" t="s">
        <v>1442</v>
      </c>
      <c r="G753" s="23" t="s">
        <v>901</v>
      </c>
      <c r="H753" s="23" t="s">
        <v>902</v>
      </c>
      <c r="I753" s="23" t="s">
        <v>656</v>
      </c>
      <c r="J753" s="23" t="s">
        <v>1958</v>
      </c>
    </row>
    <row r="754" spans="1:10" ht="19.5" customHeight="1" x14ac:dyDescent="0.35">
      <c r="A754" s="29" t="s">
        <v>896</v>
      </c>
      <c r="B754" s="29" t="s">
        <v>1959</v>
      </c>
      <c r="C754" s="29" t="s">
        <v>989</v>
      </c>
      <c r="D754" s="30">
        <v>1</v>
      </c>
      <c r="E754" s="29" t="s">
        <v>1960</v>
      </c>
      <c r="F754" s="29" t="s">
        <v>1885</v>
      </c>
      <c r="G754" s="29" t="s">
        <v>901</v>
      </c>
      <c r="H754" s="29" t="s">
        <v>902</v>
      </c>
      <c r="I754" s="29" t="s">
        <v>656</v>
      </c>
      <c r="J754" s="29" t="s">
        <v>1961</v>
      </c>
    </row>
    <row r="755" spans="1:10" ht="19.5" customHeight="1" x14ac:dyDescent="0.35">
      <c r="A755" s="29" t="s">
        <v>896</v>
      </c>
      <c r="B755" s="29" t="s">
        <v>1962</v>
      </c>
      <c r="C755" s="29" t="s">
        <v>929</v>
      </c>
      <c r="D755" s="30">
        <v>1</v>
      </c>
      <c r="E755" s="29" t="s">
        <v>1963</v>
      </c>
      <c r="F755" s="29" t="s">
        <v>1885</v>
      </c>
      <c r="G755" s="29" t="s">
        <v>901</v>
      </c>
      <c r="H755" s="29" t="s">
        <v>902</v>
      </c>
      <c r="I755" s="29" t="s">
        <v>656</v>
      </c>
      <c r="J755" s="29" t="s">
        <v>1964</v>
      </c>
    </row>
    <row r="756" spans="1:10" ht="19.5" customHeight="1" x14ac:dyDescent="0.35">
      <c r="A756" s="23" t="s">
        <v>896</v>
      </c>
      <c r="B756" s="23" t="s">
        <v>1965</v>
      </c>
      <c r="C756" s="23" t="s">
        <v>1768</v>
      </c>
      <c r="D756" s="24">
        <v>1</v>
      </c>
      <c r="E756" s="23" t="s">
        <v>1966</v>
      </c>
      <c r="F756" s="23" t="s">
        <v>1442</v>
      </c>
      <c r="G756" s="23" t="s">
        <v>901</v>
      </c>
      <c r="H756" s="23" t="s">
        <v>902</v>
      </c>
      <c r="I756" s="23" t="s">
        <v>656</v>
      </c>
      <c r="J756" s="23" t="s">
        <v>1967</v>
      </c>
    </row>
    <row r="757" spans="1:10" ht="19.5" customHeight="1" x14ac:dyDescent="0.35">
      <c r="A757" s="29" t="s">
        <v>896</v>
      </c>
      <c r="B757" s="29" t="s">
        <v>1968</v>
      </c>
      <c r="C757" s="29" t="s">
        <v>1136</v>
      </c>
      <c r="D757" s="30">
        <v>1</v>
      </c>
      <c r="E757" s="29" t="s">
        <v>1969</v>
      </c>
      <c r="F757" s="29" t="s">
        <v>1885</v>
      </c>
      <c r="G757" s="29" t="s">
        <v>901</v>
      </c>
      <c r="H757" s="29" t="s">
        <v>902</v>
      </c>
      <c r="I757" s="29" t="s">
        <v>656</v>
      </c>
      <c r="J757" s="29" t="s">
        <v>1970</v>
      </c>
    </row>
    <row r="758" spans="1:10" ht="19.5" customHeight="1" x14ac:dyDescent="0.35">
      <c r="A758" s="29" t="s">
        <v>896</v>
      </c>
      <c r="B758" s="29" t="s">
        <v>1971</v>
      </c>
      <c r="C758" s="29" t="s">
        <v>1077</v>
      </c>
      <c r="D758" s="30">
        <v>1</v>
      </c>
      <c r="E758" s="29" t="s">
        <v>1972</v>
      </c>
      <c r="F758" s="29" t="s">
        <v>1885</v>
      </c>
      <c r="G758" s="29" t="s">
        <v>901</v>
      </c>
      <c r="H758" s="29" t="s">
        <v>902</v>
      </c>
      <c r="I758" s="29" t="s">
        <v>656</v>
      </c>
      <c r="J758" s="29" t="s">
        <v>1973</v>
      </c>
    </row>
    <row r="759" spans="1:10" ht="19.5" customHeight="1" x14ac:dyDescent="0.35">
      <c r="A759" s="29" t="s">
        <v>896</v>
      </c>
      <c r="B759" s="29" t="s">
        <v>1974</v>
      </c>
      <c r="C759" s="29" t="s">
        <v>929</v>
      </c>
      <c r="D759" s="30">
        <v>1</v>
      </c>
      <c r="E759" s="29" t="s">
        <v>1975</v>
      </c>
      <c r="F759" s="29" t="s">
        <v>1885</v>
      </c>
      <c r="G759" s="29" t="s">
        <v>901</v>
      </c>
      <c r="H759" s="29" t="s">
        <v>902</v>
      </c>
      <c r="I759" s="29" t="s">
        <v>656</v>
      </c>
      <c r="J759" s="29" t="s">
        <v>1976</v>
      </c>
    </row>
    <row r="760" spans="1:10" ht="19.5" customHeight="1" x14ac:dyDescent="0.35">
      <c r="A760" s="29" t="s">
        <v>896</v>
      </c>
      <c r="B760" s="29" t="s">
        <v>1977</v>
      </c>
      <c r="C760" s="29" t="s">
        <v>1136</v>
      </c>
      <c r="D760" s="30">
        <v>1</v>
      </c>
      <c r="E760" s="29" t="s">
        <v>1978</v>
      </c>
      <c r="F760" s="29" t="s">
        <v>1885</v>
      </c>
      <c r="G760" s="29" t="s">
        <v>901</v>
      </c>
      <c r="H760" s="29" t="s">
        <v>902</v>
      </c>
      <c r="I760" s="29" t="s">
        <v>656</v>
      </c>
      <c r="J760" s="29" t="s">
        <v>1979</v>
      </c>
    </row>
    <row r="761" spans="1:10" ht="19.5" customHeight="1" x14ac:dyDescent="0.35">
      <c r="A761" s="29" t="s">
        <v>896</v>
      </c>
      <c r="B761" s="29" t="s">
        <v>1980</v>
      </c>
      <c r="C761" s="29" t="s">
        <v>959</v>
      </c>
      <c r="D761" s="30">
        <v>1</v>
      </c>
      <c r="E761" s="29" t="s">
        <v>1981</v>
      </c>
      <c r="F761" s="29" t="s">
        <v>1885</v>
      </c>
      <c r="G761" s="29" t="s">
        <v>901</v>
      </c>
      <c r="H761" s="29" t="s">
        <v>902</v>
      </c>
      <c r="I761" s="29" t="s">
        <v>656</v>
      </c>
      <c r="J761" s="29" t="s">
        <v>1982</v>
      </c>
    </row>
    <row r="762" spans="1:10" ht="19.5" customHeight="1" x14ac:dyDescent="0.35">
      <c r="A762" s="29" t="s">
        <v>896</v>
      </c>
      <c r="B762" s="29" t="s">
        <v>1983</v>
      </c>
      <c r="C762" s="29" t="s">
        <v>959</v>
      </c>
      <c r="D762" s="30">
        <v>1</v>
      </c>
      <c r="E762" s="29" t="s">
        <v>1984</v>
      </c>
      <c r="F762" s="29" t="s">
        <v>1885</v>
      </c>
      <c r="G762" s="29" t="s">
        <v>901</v>
      </c>
      <c r="H762" s="29" t="s">
        <v>902</v>
      </c>
      <c r="I762" s="29" t="s">
        <v>656</v>
      </c>
      <c r="J762" s="29" t="s">
        <v>1985</v>
      </c>
    </row>
    <row r="763" spans="1:10" ht="19.5" customHeight="1" x14ac:dyDescent="0.35">
      <c r="A763" s="29" t="s">
        <v>896</v>
      </c>
      <c r="B763" s="29" t="s">
        <v>1986</v>
      </c>
      <c r="C763" s="29" t="s">
        <v>1690</v>
      </c>
      <c r="D763" s="30">
        <v>1</v>
      </c>
      <c r="E763" s="29" t="s">
        <v>1987</v>
      </c>
      <c r="F763" s="29" t="s">
        <v>1885</v>
      </c>
      <c r="G763" s="29" t="s">
        <v>901</v>
      </c>
      <c r="H763" s="29" t="s">
        <v>902</v>
      </c>
      <c r="I763" s="29" t="s">
        <v>656</v>
      </c>
      <c r="J763" s="29" t="s">
        <v>1988</v>
      </c>
    </row>
    <row r="764" spans="1:10" ht="19.5" customHeight="1" x14ac:dyDescent="0.35">
      <c r="A764" s="29" t="s">
        <v>896</v>
      </c>
      <c r="B764" s="29" t="s">
        <v>1989</v>
      </c>
      <c r="C764" s="29" t="s">
        <v>1582</v>
      </c>
      <c r="D764" s="30">
        <v>1</v>
      </c>
      <c r="E764" s="29" t="s">
        <v>1990</v>
      </c>
      <c r="F764" s="29" t="s">
        <v>1885</v>
      </c>
      <c r="G764" s="29" t="s">
        <v>901</v>
      </c>
      <c r="H764" s="29" t="s">
        <v>902</v>
      </c>
      <c r="I764" s="29" t="s">
        <v>656</v>
      </c>
      <c r="J764" s="29" t="s">
        <v>1991</v>
      </c>
    </row>
    <row r="765" spans="1:10" ht="19.5" customHeight="1" x14ac:dyDescent="0.35">
      <c r="A765" s="29" t="s">
        <v>896</v>
      </c>
      <c r="B765" s="29" t="s">
        <v>1992</v>
      </c>
      <c r="C765" s="29" t="s">
        <v>905</v>
      </c>
      <c r="D765" s="30">
        <v>1</v>
      </c>
      <c r="E765" s="29" t="s">
        <v>1993</v>
      </c>
      <c r="F765" s="29" t="s">
        <v>1885</v>
      </c>
      <c r="G765" s="29" t="s">
        <v>901</v>
      </c>
      <c r="H765" s="29" t="s">
        <v>902</v>
      </c>
      <c r="I765" s="29" t="s">
        <v>656</v>
      </c>
      <c r="J765" s="29" t="s">
        <v>1994</v>
      </c>
    </row>
    <row r="766" spans="1:10" ht="19.5" customHeight="1" x14ac:dyDescent="0.35">
      <c r="A766" s="29" t="s">
        <v>896</v>
      </c>
      <c r="B766" s="29" t="s">
        <v>1995</v>
      </c>
      <c r="C766" s="29" t="s">
        <v>946</v>
      </c>
      <c r="D766" s="30">
        <v>1</v>
      </c>
      <c r="E766" s="29" t="s">
        <v>1996</v>
      </c>
      <c r="F766" s="29" t="s">
        <v>1885</v>
      </c>
      <c r="G766" s="29" t="s">
        <v>901</v>
      </c>
      <c r="H766" s="29" t="s">
        <v>902</v>
      </c>
      <c r="I766" s="29" t="s">
        <v>656</v>
      </c>
      <c r="J766" s="29" t="s">
        <v>1997</v>
      </c>
    </row>
    <row r="767" spans="1:10" ht="19.5" customHeight="1" x14ac:dyDescent="0.35">
      <c r="A767" s="29" t="s">
        <v>896</v>
      </c>
      <c r="B767" s="29" t="s">
        <v>1998</v>
      </c>
      <c r="C767" s="29" t="s">
        <v>963</v>
      </c>
      <c r="D767" s="30">
        <v>1</v>
      </c>
      <c r="E767" s="29" t="s">
        <v>1999</v>
      </c>
      <c r="F767" s="29" t="s">
        <v>1885</v>
      </c>
      <c r="G767" s="29" t="s">
        <v>901</v>
      </c>
      <c r="H767" s="29" t="s">
        <v>902</v>
      </c>
      <c r="I767" s="29" t="s">
        <v>656</v>
      </c>
      <c r="J767" s="29" t="s">
        <v>2000</v>
      </c>
    </row>
    <row r="768" spans="1:10" ht="19.5" customHeight="1" x14ac:dyDescent="0.35">
      <c r="A768" s="29" t="s">
        <v>896</v>
      </c>
      <c r="B768" s="29" t="s">
        <v>2001</v>
      </c>
      <c r="C768" s="29" t="s">
        <v>1077</v>
      </c>
      <c r="D768" s="30">
        <v>1</v>
      </c>
      <c r="E768" s="29" t="s">
        <v>2002</v>
      </c>
      <c r="F768" s="29" t="s">
        <v>1885</v>
      </c>
      <c r="G768" s="29" t="s">
        <v>901</v>
      </c>
      <c r="H768" s="29" t="s">
        <v>902</v>
      </c>
      <c r="I768" s="29" t="s">
        <v>656</v>
      </c>
      <c r="J768" s="29" t="s">
        <v>2003</v>
      </c>
    </row>
    <row r="769" spans="1:10" ht="19.5" customHeight="1" x14ac:dyDescent="0.35">
      <c r="A769" s="29" t="s">
        <v>896</v>
      </c>
      <c r="B769" s="29" t="s">
        <v>2004</v>
      </c>
      <c r="C769" s="29" t="s">
        <v>1122</v>
      </c>
      <c r="D769" s="30">
        <v>1</v>
      </c>
      <c r="E769" s="29" t="s">
        <v>2005</v>
      </c>
      <c r="F769" s="29" t="s">
        <v>1885</v>
      </c>
      <c r="G769" s="29" t="s">
        <v>901</v>
      </c>
      <c r="H769" s="29" t="s">
        <v>902</v>
      </c>
      <c r="I769" s="29" t="s">
        <v>656</v>
      </c>
      <c r="J769" s="29" t="s">
        <v>2006</v>
      </c>
    </row>
    <row r="770" spans="1:10" ht="19.5" customHeight="1" x14ac:dyDescent="0.35">
      <c r="A770" s="29" t="s">
        <v>896</v>
      </c>
      <c r="B770" s="29" t="s">
        <v>2007</v>
      </c>
      <c r="C770" s="29" t="s">
        <v>1136</v>
      </c>
      <c r="D770" s="30">
        <v>1</v>
      </c>
      <c r="E770" s="29" t="s">
        <v>2008</v>
      </c>
      <c r="F770" s="29" t="s">
        <v>1885</v>
      </c>
      <c r="G770" s="29" t="s">
        <v>901</v>
      </c>
      <c r="H770" s="29" t="s">
        <v>902</v>
      </c>
      <c r="I770" s="29" t="s">
        <v>656</v>
      </c>
      <c r="J770" s="29" t="s">
        <v>2009</v>
      </c>
    </row>
    <row r="771" spans="1:10" ht="19.5" customHeight="1" x14ac:dyDescent="0.35">
      <c r="A771" s="23" t="s">
        <v>896</v>
      </c>
      <c r="B771" s="23" t="s">
        <v>2010</v>
      </c>
      <c r="C771" s="23" t="s">
        <v>1077</v>
      </c>
      <c r="D771" s="24">
        <v>1</v>
      </c>
      <c r="E771" s="23" t="s">
        <v>2011</v>
      </c>
      <c r="F771" s="23" t="s">
        <v>1442</v>
      </c>
      <c r="G771" s="23" t="s">
        <v>901</v>
      </c>
      <c r="H771" s="23" t="s">
        <v>902</v>
      </c>
      <c r="I771" s="23" t="s">
        <v>656</v>
      </c>
      <c r="J771" s="23" t="s">
        <v>2012</v>
      </c>
    </row>
    <row r="772" spans="1:10" ht="19.5" customHeight="1" x14ac:dyDescent="0.35">
      <c r="A772" s="29" t="s">
        <v>896</v>
      </c>
      <c r="B772" s="29" t="s">
        <v>2013</v>
      </c>
      <c r="C772" s="29" t="s">
        <v>1009</v>
      </c>
      <c r="D772" s="30">
        <v>1</v>
      </c>
      <c r="E772" s="29" t="s">
        <v>2014</v>
      </c>
      <c r="F772" s="29" t="s">
        <v>1885</v>
      </c>
      <c r="G772" s="29" t="s">
        <v>901</v>
      </c>
      <c r="H772" s="29" t="s">
        <v>902</v>
      </c>
      <c r="I772" s="29" t="s">
        <v>656</v>
      </c>
      <c r="J772" s="29" t="s">
        <v>2015</v>
      </c>
    </row>
    <row r="773" spans="1:10" ht="19.5" customHeight="1" x14ac:dyDescent="0.35">
      <c r="A773" s="23" t="s">
        <v>896</v>
      </c>
      <c r="B773" s="23" t="s">
        <v>2016</v>
      </c>
      <c r="C773" s="23" t="s">
        <v>959</v>
      </c>
      <c r="D773" s="24">
        <v>1</v>
      </c>
      <c r="E773" s="23" t="s">
        <v>2017</v>
      </c>
      <c r="F773" s="23" t="s">
        <v>1442</v>
      </c>
      <c r="G773" s="23" t="s">
        <v>901</v>
      </c>
      <c r="H773" s="23" t="s">
        <v>902</v>
      </c>
      <c r="I773" s="23" t="s">
        <v>656</v>
      </c>
      <c r="J773" s="23" t="s">
        <v>2018</v>
      </c>
    </row>
    <row r="774" spans="1:10" ht="19.5" customHeight="1" x14ac:dyDescent="0.35">
      <c r="A774" s="29" t="s">
        <v>896</v>
      </c>
      <c r="B774" s="29" t="s">
        <v>2019</v>
      </c>
      <c r="C774" s="29" t="s">
        <v>1070</v>
      </c>
      <c r="D774" s="30">
        <v>1</v>
      </c>
      <c r="E774" s="29" t="s">
        <v>2020</v>
      </c>
      <c r="F774" s="29" t="s">
        <v>1885</v>
      </c>
      <c r="G774" s="29" t="s">
        <v>901</v>
      </c>
      <c r="H774" s="29" t="s">
        <v>902</v>
      </c>
      <c r="I774" s="29" t="s">
        <v>656</v>
      </c>
      <c r="J774" s="29" t="s">
        <v>2021</v>
      </c>
    </row>
    <row r="775" spans="1:10" ht="19.5" customHeight="1" x14ac:dyDescent="0.35">
      <c r="A775" s="29" t="s">
        <v>896</v>
      </c>
      <c r="B775" s="29" t="s">
        <v>2022</v>
      </c>
      <c r="C775" s="29" t="s">
        <v>913</v>
      </c>
      <c r="D775" s="30">
        <v>1</v>
      </c>
      <c r="E775" s="29" t="s">
        <v>2023</v>
      </c>
      <c r="F775" s="29" t="s">
        <v>1885</v>
      </c>
      <c r="G775" s="29" t="s">
        <v>901</v>
      </c>
      <c r="H775" s="29" t="s">
        <v>902</v>
      </c>
      <c r="I775" s="29" t="s">
        <v>656</v>
      </c>
      <c r="J775" s="29" t="s">
        <v>2024</v>
      </c>
    </row>
    <row r="776" spans="1:10" ht="19.5" customHeight="1" x14ac:dyDescent="0.35">
      <c r="A776" s="29" t="s">
        <v>896</v>
      </c>
      <c r="B776" s="29" t="s">
        <v>2025</v>
      </c>
      <c r="C776" s="29" t="s">
        <v>1582</v>
      </c>
      <c r="D776" s="30">
        <v>1</v>
      </c>
      <c r="E776" s="29" t="s">
        <v>2026</v>
      </c>
      <c r="F776" s="29" t="s">
        <v>1885</v>
      </c>
      <c r="G776" s="29" t="s">
        <v>901</v>
      </c>
      <c r="H776" s="29" t="s">
        <v>902</v>
      </c>
      <c r="I776" s="29" t="s">
        <v>656</v>
      </c>
      <c r="J776" s="29" t="s">
        <v>2027</v>
      </c>
    </row>
    <row r="777" spans="1:10" ht="19.5" customHeight="1" x14ac:dyDescent="0.35">
      <c r="A777" s="29" t="s">
        <v>896</v>
      </c>
      <c r="B777" s="29" t="s">
        <v>2028</v>
      </c>
      <c r="C777" s="29" t="s">
        <v>913</v>
      </c>
      <c r="D777" s="30">
        <v>1</v>
      </c>
      <c r="E777" s="29" t="s">
        <v>2029</v>
      </c>
      <c r="F777" s="29" t="s">
        <v>1885</v>
      </c>
      <c r="G777" s="29" t="s">
        <v>901</v>
      </c>
      <c r="H777" s="29" t="s">
        <v>902</v>
      </c>
      <c r="I777" s="29" t="s">
        <v>656</v>
      </c>
      <c r="J777" s="29" t="s">
        <v>2030</v>
      </c>
    </row>
    <row r="778" spans="1:10" ht="19.5" customHeight="1" x14ac:dyDescent="0.35">
      <c r="A778" s="29" t="s">
        <v>896</v>
      </c>
      <c r="B778" s="29" t="s">
        <v>2031</v>
      </c>
      <c r="C778" s="29" t="s">
        <v>989</v>
      </c>
      <c r="D778" s="30">
        <v>1</v>
      </c>
      <c r="E778" s="29" t="s">
        <v>2032</v>
      </c>
      <c r="F778" s="29" t="s">
        <v>1885</v>
      </c>
      <c r="G778" s="29" t="s">
        <v>901</v>
      </c>
      <c r="H778" s="29" t="s">
        <v>902</v>
      </c>
      <c r="I778" s="29" t="s">
        <v>656</v>
      </c>
      <c r="J778" s="29" t="s">
        <v>2033</v>
      </c>
    </row>
    <row r="779" spans="1:10" ht="19.5" customHeight="1" x14ac:dyDescent="0.35">
      <c r="A779" s="29" t="s">
        <v>896</v>
      </c>
      <c r="B779" s="29" t="s">
        <v>2034</v>
      </c>
      <c r="C779" s="29" t="s">
        <v>1697</v>
      </c>
      <c r="D779" s="30">
        <v>1</v>
      </c>
      <c r="E779" s="29" t="s">
        <v>2035</v>
      </c>
      <c r="F779" s="29" t="s">
        <v>1885</v>
      </c>
      <c r="G779" s="29" t="s">
        <v>901</v>
      </c>
      <c r="H779" s="29" t="s">
        <v>902</v>
      </c>
      <c r="I779" s="29" t="s">
        <v>656</v>
      </c>
      <c r="J779" s="29" t="s">
        <v>1946</v>
      </c>
    </row>
    <row r="780" spans="1:10" ht="19.5" customHeight="1" x14ac:dyDescent="0.35">
      <c r="A780" s="29" t="s">
        <v>896</v>
      </c>
      <c r="B780" s="29" t="s">
        <v>2036</v>
      </c>
      <c r="C780" s="29" t="s">
        <v>1054</v>
      </c>
      <c r="D780" s="30">
        <v>1</v>
      </c>
      <c r="E780" s="29" t="s">
        <v>2037</v>
      </c>
      <c r="F780" s="29" t="s">
        <v>1885</v>
      </c>
      <c r="G780" s="29" t="s">
        <v>901</v>
      </c>
      <c r="H780" s="29" t="s">
        <v>902</v>
      </c>
      <c r="I780" s="29" t="s">
        <v>656</v>
      </c>
      <c r="J780" s="29" t="s">
        <v>2038</v>
      </c>
    </row>
    <row r="781" spans="1:10" ht="19.5" customHeight="1" x14ac:dyDescent="0.35">
      <c r="A781" s="29" t="s">
        <v>896</v>
      </c>
      <c r="B781" s="29" t="s">
        <v>2039</v>
      </c>
      <c r="C781" s="29" t="s">
        <v>1009</v>
      </c>
      <c r="D781" s="30">
        <v>1</v>
      </c>
      <c r="E781" s="29" t="s">
        <v>2040</v>
      </c>
      <c r="F781" s="29" t="s">
        <v>1885</v>
      </c>
      <c r="G781" s="29" t="s">
        <v>901</v>
      </c>
      <c r="H781" s="29" t="s">
        <v>902</v>
      </c>
      <c r="I781" s="29" t="s">
        <v>656</v>
      </c>
      <c r="J781" s="29" t="s">
        <v>2041</v>
      </c>
    </row>
    <row r="782" spans="1:10" ht="19.5" customHeight="1" x14ac:dyDescent="0.35">
      <c r="A782" s="29" t="s">
        <v>896</v>
      </c>
      <c r="B782" s="29" t="s">
        <v>2042</v>
      </c>
      <c r="C782" s="29" t="s">
        <v>913</v>
      </c>
      <c r="D782" s="30">
        <v>1</v>
      </c>
      <c r="E782" s="29" t="s">
        <v>2043</v>
      </c>
      <c r="F782" s="29" t="s">
        <v>1885</v>
      </c>
      <c r="G782" s="29" t="s">
        <v>901</v>
      </c>
      <c r="H782" s="29" t="s">
        <v>902</v>
      </c>
      <c r="I782" s="29" t="s">
        <v>656</v>
      </c>
      <c r="J782" s="29" t="s">
        <v>2044</v>
      </c>
    </row>
    <row r="783" spans="1:10" ht="19.5" customHeight="1" x14ac:dyDescent="0.35">
      <c r="A783" s="29" t="s">
        <v>896</v>
      </c>
      <c r="B783" s="29" t="s">
        <v>2045</v>
      </c>
      <c r="C783" s="29" t="s">
        <v>905</v>
      </c>
      <c r="D783" s="30">
        <v>1</v>
      </c>
      <c r="E783" s="29" t="s">
        <v>2046</v>
      </c>
      <c r="F783" s="29" t="s">
        <v>1885</v>
      </c>
      <c r="G783" s="29" t="s">
        <v>901</v>
      </c>
      <c r="H783" s="29" t="s">
        <v>902</v>
      </c>
      <c r="I783" s="29" t="s">
        <v>656</v>
      </c>
      <c r="J783" s="29" t="s">
        <v>2047</v>
      </c>
    </row>
    <row r="784" spans="1:10" ht="19.5" customHeight="1" x14ac:dyDescent="0.35">
      <c r="A784" s="29" t="s">
        <v>896</v>
      </c>
      <c r="B784" s="29" t="s">
        <v>2048</v>
      </c>
      <c r="C784" s="29" t="s">
        <v>973</v>
      </c>
      <c r="D784" s="30">
        <v>1</v>
      </c>
      <c r="E784" s="29" t="s">
        <v>2049</v>
      </c>
      <c r="F784" s="29" t="s">
        <v>1885</v>
      </c>
      <c r="G784" s="29" t="s">
        <v>901</v>
      </c>
      <c r="H784" s="29" t="s">
        <v>902</v>
      </c>
      <c r="I784" s="29" t="s">
        <v>656</v>
      </c>
      <c r="J784" s="29" t="s">
        <v>2050</v>
      </c>
    </row>
    <row r="785" spans="1:10" ht="19.5" customHeight="1" x14ac:dyDescent="0.35">
      <c r="A785" s="29" t="s">
        <v>896</v>
      </c>
      <c r="B785" s="29" t="s">
        <v>2051</v>
      </c>
      <c r="C785" s="29" t="s">
        <v>1077</v>
      </c>
      <c r="D785" s="30">
        <v>1</v>
      </c>
      <c r="E785" s="29" t="s">
        <v>2052</v>
      </c>
      <c r="F785" s="29" t="s">
        <v>1885</v>
      </c>
      <c r="G785" s="29" t="s">
        <v>901</v>
      </c>
      <c r="H785" s="29" t="s">
        <v>902</v>
      </c>
      <c r="I785" s="29" t="s">
        <v>656</v>
      </c>
      <c r="J785" s="29" t="s">
        <v>2053</v>
      </c>
    </row>
    <row r="786" spans="1:10" ht="19.5" customHeight="1" x14ac:dyDescent="0.35">
      <c r="A786" s="29" t="s">
        <v>896</v>
      </c>
      <c r="B786" s="29" t="s">
        <v>2054</v>
      </c>
      <c r="C786" s="29" t="s">
        <v>1118</v>
      </c>
      <c r="D786" s="30">
        <v>1</v>
      </c>
      <c r="E786" s="29" t="s">
        <v>2055</v>
      </c>
      <c r="F786" s="29" t="s">
        <v>1885</v>
      </c>
      <c r="G786" s="29" t="s">
        <v>901</v>
      </c>
      <c r="H786" s="29" t="s">
        <v>902</v>
      </c>
      <c r="I786" s="29" t="s">
        <v>656</v>
      </c>
      <c r="J786" s="29" t="s">
        <v>2056</v>
      </c>
    </row>
    <row r="787" spans="1:10" ht="19.5" customHeight="1" x14ac:dyDescent="0.35">
      <c r="A787" s="23" t="s">
        <v>896</v>
      </c>
      <c r="B787" s="23" t="s">
        <v>2057</v>
      </c>
      <c r="C787" s="23" t="s">
        <v>921</v>
      </c>
      <c r="D787" s="24">
        <v>1</v>
      </c>
      <c r="E787" s="23" t="s">
        <v>2058</v>
      </c>
      <c r="F787" s="23" t="s">
        <v>1442</v>
      </c>
      <c r="G787" s="23" t="s">
        <v>901</v>
      </c>
      <c r="H787" s="23" t="s">
        <v>902</v>
      </c>
      <c r="I787" s="23" t="s">
        <v>656</v>
      </c>
      <c r="J787" s="23" t="s">
        <v>2059</v>
      </c>
    </row>
    <row r="788" spans="1:10" ht="19.5" customHeight="1" x14ac:dyDescent="0.35">
      <c r="A788" s="29" t="s">
        <v>896</v>
      </c>
      <c r="B788" s="29" t="s">
        <v>2060</v>
      </c>
      <c r="C788" s="29" t="s">
        <v>989</v>
      </c>
      <c r="D788" s="30">
        <v>1</v>
      </c>
      <c r="E788" s="29" t="s">
        <v>2061</v>
      </c>
      <c r="F788" s="29" t="s">
        <v>1885</v>
      </c>
      <c r="G788" s="29" t="s">
        <v>901</v>
      </c>
      <c r="H788" s="29" t="s">
        <v>902</v>
      </c>
      <c r="I788" s="29" t="s">
        <v>656</v>
      </c>
      <c r="J788" s="29" t="s">
        <v>2062</v>
      </c>
    </row>
    <row r="789" spans="1:10" ht="19.5" customHeight="1" x14ac:dyDescent="0.35">
      <c r="A789" s="29" t="s">
        <v>896</v>
      </c>
      <c r="B789" s="29" t="s">
        <v>2063</v>
      </c>
      <c r="C789" s="29" t="s">
        <v>1077</v>
      </c>
      <c r="D789" s="30">
        <v>1</v>
      </c>
      <c r="E789" s="29" t="s">
        <v>2064</v>
      </c>
      <c r="F789" s="29" t="s">
        <v>1885</v>
      </c>
      <c r="G789" s="29" t="s">
        <v>901</v>
      </c>
      <c r="H789" s="29" t="s">
        <v>902</v>
      </c>
      <c r="I789" s="29" t="s">
        <v>656</v>
      </c>
      <c r="J789" s="29" t="s">
        <v>2065</v>
      </c>
    </row>
    <row r="790" spans="1:10" ht="19.5" customHeight="1" x14ac:dyDescent="0.35">
      <c r="A790" s="29" t="s">
        <v>896</v>
      </c>
      <c r="B790" s="29" t="s">
        <v>2066</v>
      </c>
      <c r="C790" s="29" t="s">
        <v>1077</v>
      </c>
      <c r="D790" s="30">
        <v>1</v>
      </c>
      <c r="E790" s="29" t="s">
        <v>2067</v>
      </c>
      <c r="F790" s="29" t="s">
        <v>1885</v>
      </c>
      <c r="G790" s="29" t="s">
        <v>901</v>
      </c>
      <c r="H790" s="29" t="s">
        <v>902</v>
      </c>
      <c r="I790" s="29" t="s">
        <v>656</v>
      </c>
      <c r="J790" s="29" t="s">
        <v>2068</v>
      </c>
    </row>
    <row r="791" spans="1:10" ht="19.5" customHeight="1" x14ac:dyDescent="0.35">
      <c r="A791" s="29" t="s">
        <v>896</v>
      </c>
      <c r="B791" s="29" t="s">
        <v>2069</v>
      </c>
      <c r="C791" s="29" t="s">
        <v>1009</v>
      </c>
      <c r="D791" s="30">
        <v>1</v>
      </c>
      <c r="E791" s="29" t="s">
        <v>2070</v>
      </c>
      <c r="F791" s="29" t="s">
        <v>1885</v>
      </c>
      <c r="G791" s="29" t="s">
        <v>901</v>
      </c>
      <c r="H791" s="29" t="s">
        <v>902</v>
      </c>
      <c r="I791" s="29" t="s">
        <v>656</v>
      </c>
      <c r="J791" s="29" t="s">
        <v>2071</v>
      </c>
    </row>
    <row r="792" spans="1:10" ht="19.5" customHeight="1" x14ac:dyDescent="0.35">
      <c r="A792" s="29" t="s">
        <v>896</v>
      </c>
      <c r="B792" s="29" t="s">
        <v>2072</v>
      </c>
      <c r="C792" s="29" t="s">
        <v>1077</v>
      </c>
      <c r="D792" s="30">
        <v>1</v>
      </c>
      <c r="E792" s="29" t="s">
        <v>2073</v>
      </c>
      <c r="F792" s="29" t="s">
        <v>1885</v>
      </c>
      <c r="G792" s="29" t="s">
        <v>901</v>
      </c>
      <c r="H792" s="29" t="s">
        <v>902</v>
      </c>
      <c r="I792" s="29" t="s">
        <v>656</v>
      </c>
      <c r="J792" s="29" t="s">
        <v>2074</v>
      </c>
    </row>
    <row r="793" spans="1:10" ht="19.5" customHeight="1" x14ac:dyDescent="0.35">
      <c r="A793" s="29" t="s">
        <v>896</v>
      </c>
      <c r="B793" s="29" t="s">
        <v>2075</v>
      </c>
      <c r="C793" s="29" t="s">
        <v>1212</v>
      </c>
      <c r="D793" s="30">
        <v>1</v>
      </c>
      <c r="E793" s="29" t="s">
        <v>2076</v>
      </c>
      <c r="F793" s="29" t="s">
        <v>1885</v>
      </c>
      <c r="G793" s="29" t="s">
        <v>901</v>
      </c>
      <c r="H793" s="29" t="s">
        <v>902</v>
      </c>
      <c r="I793" s="29" t="s">
        <v>656</v>
      </c>
      <c r="J793" s="29" t="s">
        <v>2077</v>
      </c>
    </row>
    <row r="794" spans="1:10" ht="19.5" customHeight="1" x14ac:dyDescent="0.35">
      <c r="A794" s="29" t="s">
        <v>896</v>
      </c>
      <c r="B794" s="29" t="s">
        <v>2078</v>
      </c>
      <c r="C794" s="29" t="s">
        <v>1118</v>
      </c>
      <c r="D794" s="30">
        <v>1</v>
      </c>
      <c r="E794" s="29" t="s">
        <v>2079</v>
      </c>
      <c r="F794" s="29" t="s">
        <v>1885</v>
      </c>
      <c r="G794" s="29" t="s">
        <v>901</v>
      </c>
      <c r="H794" s="29" t="s">
        <v>902</v>
      </c>
      <c r="I794" s="29" t="s">
        <v>656</v>
      </c>
      <c r="J794" s="29" t="s">
        <v>2080</v>
      </c>
    </row>
    <row r="795" spans="1:10" ht="19.5" customHeight="1" x14ac:dyDescent="0.35">
      <c r="A795" s="23" t="s">
        <v>896</v>
      </c>
      <c r="B795" s="23" t="s">
        <v>2081</v>
      </c>
      <c r="C795" s="23" t="s">
        <v>1077</v>
      </c>
      <c r="D795" s="24">
        <v>1</v>
      </c>
      <c r="E795" s="23" t="s">
        <v>2082</v>
      </c>
      <c r="F795" s="23" t="s">
        <v>1442</v>
      </c>
      <c r="G795" s="23" t="s">
        <v>901</v>
      </c>
      <c r="H795" s="23" t="s">
        <v>902</v>
      </c>
      <c r="I795" s="23" t="s">
        <v>656</v>
      </c>
      <c r="J795" s="23" t="s">
        <v>2083</v>
      </c>
    </row>
    <row r="796" spans="1:10" ht="19.5" customHeight="1" x14ac:dyDescent="0.35">
      <c r="A796" s="23" t="s">
        <v>896</v>
      </c>
      <c r="B796" s="23" t="s">
        <v>2084</v>
      </c>
      <c r="C796" s="23" t="s">
        <v>1077</v>
      </c>
      <c r="D796" s="24">
        <v>1</v>
      </c>
      <c r="E796" s="23" t="s">
        <v>2085</v>
      </c>
      <c r="F796" s="23" t="s">
        <v>1442</v>
      </c>
      <c r="G796" s="23" t="s">
        <v>901</v>
      </c>
      <c r="H796" s="23" t="s">
        <v>902</v>
      </c>
      <c r="I796" s="23" t="s">
        <v>656</v>
      </c>
      <c r="J796" s="23" t="s">
        <v>2086</v>
      </c>
    </row>
    <row r="797" spans="1:10" ht="19.5" customHeight="1" x14ac:dyDescent="0.35">
      <c r="A797" s="23" t="s">
        <v>896</v>
      </c>
      <c r="B797" s="23" t="s">
        <v>2087</v>
      </c>
      <c r="C797" s="23" t="s">
        <v>1009</v>
      </c>
      <c r="D797" s="24">
        <v>1</v>
      </c>
      <c r="E797" s="23" t="s">
        <v>2088</v>
      </c>
      <c r="F797" s="23" t="s">
        <v>1442</v>
      </c>
      <c r="G797" s="23" t="s">
        <v>901</v>
      </c>
      <c r="H797" s="23" t="s">
        <v>902</v>
      </c>
      <c r="I797" s="23" t="s">
        <v>656</v>
      </c>
      <c r="J797" s="23" t="s">
        <v>2089</v>
      </c>
    </row>
    <row r="798" spans="1:10" ht="19.5" customHeight="1" x14ac:dyDescent="0.35">
      <c r="A798" s="29" t="s">
        <v>896</v>
      </c>
      <c r="B798" s="29" t="s">
        <v>2090</v>
      </c>
      <c r="C798" s="29" t="s">
        <v>1077</v>
      </c>
      <c r="D798" s="30">
        <v>1</v>
      </c>
      <c r="E798" s="29" t="s">
        <v>2091</v>
      </c>
      <c r="F798" s="29" t="s">
        <v>1885</v>
      </c>
      <c r="G798" s="29" t="s">
        <v>901</v>
      </c>
      <c r="H798" s="29" t="s">
        <v>902</v>
      </c>
      <c r="I798" s="29" t="s">
        <v>656</v>
      </c>
      <c r="J798" s="29" t="s">
        <v>2092</v>
      </c>
    </row>
    <row r="799" spans="1:10" ht="19.5" customHeight="1" x14ac:dyDescent="0.35">
      <c r="A799" s="29" t="s">
        <v>896</v>
      </c>
      <c r="B799" s="29" t="s">
        <v>2093</v>
      </c>
      <c r="C799" s="29" t="s">
        <v>1136</v>
      </c>
      <c r="D799" s="30">
        <v>1</v>
      </c>
      <c r="E799" s="29" t="s">
        <v>2094</v>
      </c>
      <c r="F799" s="29" t="s">
        <v>1885</v>
      </c>
      <c r="G799" s="29" t="s">
        <v>901</v>
      </c>
      <c r="H799" s="29" t="s">
        <v>902</v>
      </c>
      <c r="I799" s="29" t="s">
        <v>656</v>
      </c>
      <c r="J799" s="29" t="s">
        <v>2095</v>
      </c>
    </row>
    <row r="800" spans="1:10" ht="19.5" customHeight="1" x14ac:dyDescent="0.35">
      <c r="A800" s="29" t="s">
        <v>896</v>
      </c>
      <c r="B800" s="29" t="s">
        <v>2096</v>
      </c>
      <c r="C800" s="29" t="s">
        <v>905</v>
      </c>
      <c r="D800" s="30">
        <v>1</v>
      </c>
      <c r="E800" s="29" t="s">
        <v>2097</v>
      </c>
      <c r="F800" s="29" t="s">
        <v>1885</v>
      </c>
      <c r="G800" s="29" t="s">
        <v>901</v>
      </c>
      <c r="H800" s="29" t="s">
        <v>902</v>
      </c>
      <c r="I800" s="29" t="s">
        <v>656</v>
      </c>
      <c r="J800" s="29" t="s">
        <v>2098</v>
      </c>
    </row>
    <row r="801" spans="1:10" ht="19.5" customHeight="1" x14ac:dyDescent="0.35">
      <c r="A801" s="29" t="s">
        <v>896</v>
      </c>
      <c r="B801" s="29" t="s">
        <v>2099</v>
      </c>
      <c r="C801" s="29" t="s">
        <v>1084</v>
      </c>
      <c r="D801" s="30">
        <v>1</v>
      </c>
      <c r="E801" s="29" t="s">
        <v>2100</v>
      </c>
      <c r="F801" s="29" t="s">
        <v>1885</v>
      </c>
      <c r="G801" s="29" t="s">
        <v>901</v>
      </c>
      <c r="H801" s="29" t="s">
        <v>902</v>
      </c>
      <c r="I801" s="29" t="s">
        <v>656</v>
      </c>
      <c r="J801" s="29" t="s">
        <v>2101</v>
      </c>
    </row>
    <row r="802" spans="1:10" ht="19.5" customHeight="1" x14ac:dyDescent="0.35">
      <c r="A802" s="29" t="s">
        <v>896</v>
      </c>
      <c r="B802" s="29" t="s">
        <v>2102</v>
      </c>
      <c r="C802" s="29" t="s">
        <v>1050</v>
      </c>
      <c r="D802" s="30">
        <v>1</v>
      </c>
      <c r="E802" s="29" t="s">
        <v>2103</v>
      </c>
      <c r="F802" s="29" t="s">
        <v>1885</v>
      </c>
      <c r="G802" s="29" t="s">
        <v>901</v>
      </c>
      <c r="H802" s="29" t="s">
        <v>902</v>
      </c>
      <c r="I802" s="29" t="s">
        <v>656</v>
      </c>
      <c r="J802" s="29" t="s">
        <v>2104</v>
      </c>
    </row>
    <row r="803" spans="1:10" ht="19.5" customHeight="1" x14ac:dyDescent="0.35">
      <c r="A803" s="29" t="s">
        <v>896</v>
      </c>
      <c r="B803" s="29" t="s">
        <v>2105</v>
      </c>
      <c r="C803" s="29" t="s">
        <v>905</v>
      </c>
      <c r="D803" s="30">
        <v>1</v>
      </c>
      <c r="E803" s="29" t="s">
        <v>2106</v>
      </c>
      <c r="F803" s="29" t="s">
        <v>1885</v>
      </c>
      <c r="G803" s="29" t="s">
        <v>901</v>
      </c>
      <c r="H803" s="29" t="s">
        <v>902</v>
      </c>
      <c r="I803" s="29" t="s">
        <v>656</v>
      </c>
      <c r="J803" s="29" t="s">
        <v>2107</v>
      </c>
    </row>
    <row r="804" spans="1:10" ht="19.5" customHeight="1" x14ac:dyDescent="0.35">
      <c r="A804" s="23" t="s">
        <v>896</v>
      </c>
      <c r="B804" s="23" t="s">
        <v>2108</v>
      </c>
      <c r="C804" s="23" t="s">
        <v>1009</v>
      </c>
      <c r="D804" s="24">
        <v>1</v>
      </c>
      <c r="E804" s="23" t="s">
        <v>2109</v>
      </c>
      <c r="F804" s="23" t="s">
        <v>1442</v>
      </c>
      <c r="G804" s="23" t="s">
        <v>901</v>
      </c>
      <c r="H804" s="23" t="s">
        <v>902</v>
      </c>
      <c r="I804" s="23" t="s">
        <v>656</v>
      </c>
      <c r="J804" s="23" t="s">
        <v>2110</v>
      </c>
    </row>
    <row r="805" spans="1:10" ht="19.5" customHeight="1" x14ac:dyDescent="0.35">
      <c r="A805" s="29" t="s">
        <v>896</v>
      </c>
      <c r="B805" s="29" t="s">
        <v>2111</v>
      </c>
      <c r="C805" s="29" t="s">
        <v>921</v>
      </c>
      <c r="D805" s="30">
        <v>1</v>
      </c>
      <c r="E805" s="29" t="s">
        <v>2112</v>
      </c>
      <c r="F805" s="29" t="s">
        <v>1885</v>
      </c>
      <c r="G805" s="29" t="s">
        <v>901</v>
      </c>
      <c r="H805" s="29" t="s">
        <v>902</v>
      </c>
      <c r="I805" s="29" t="s">
        <v>656</v>
      </c>
      <c r="J805" s="29" t="s">
        <v>2113</v>
      </c>
    </row>
    <row r="806" spans="1:10" ht="19.5" customHeight="1" x14ac:dyDescent="0.35">
      <c r="A806" s="29" t="s">
        <v>896</v>
      </c>
      <c r="B806" s="29" t="s">
        <v>2114</v>
      </c>
      <c r="C806" s="29" t="s">
        <v>959</v>
      </c>
      <c r="D806" s="30">
        <v>1</v>
      </c>
      <c r="E806" s="29" t="s">
        <v>2115</v>
      </c>
      <c r="F806" s="29" t="s">
        <v>1885</v>
      </c>
      <c r="G806" s="29" t="s">
        <v>901</v>
      </c>
      <c r="H806" s="29" t="s">
        <v>902</v>
      </c>
      <c r="I806" s="29" t="s">
        <v>656</v>
      </c>
      <c r="J806" s="29" t="s">
        <v>2116</v>
      </c>
    </row>
    <row r="807" spans="1:10" ht="19.5" customHeight="1" x14ac:dyDescent="0.35">
      <c r="A807" s="29" t="s">
        <v>896</v>
      </c>
      <c r="B807" s="29" t="s">
        <v>2117</v>
      </c>
      <c r="C807" s="29" t="s">
        <v>1077</v>
      </c>
      <c r="D807" s="30">
        <v>1</v>
      </c>
      <c r="E807" s="29" t="s">
        <v>2118</v>
      </c>
      <c r="F807" s="29" t="s">
        <v>1885</v>
      </c>
      <c r="G807" s="29" t="s">
        <v>901</v>
      </c>
      <c r="H807" s="29" t="s">
        <v>902</v>
      </c>
      <c r="I807" s="29" t="s">
        <v>656</v>
      </c>
      <c r="J807" s="29" t="s">
        <v>2119</v>
      </c>
    </row>
    <row r="808" spans="1:10" ht="19.5" customHeight="1" x14ac:dyDescent="0.35">
      <c r="A808" s="29" t="s">
        <v>896</v>
      </c>
      <c r="B808" s="29" t="s">
        <v>2120</v>
      </c>
      <c r="C808" s="29" t="s">
        <v>1646</v>
      </c>
      <c r="D808" s="30">
        <v>1</v>
      </c>
      <c r="E808" s="29" t="s">
        <v>2121</v>
      </c>
      <c r="F808" s="29" t="s">
        <v>1885</v>
      </c>
      <c r="G808" s="29" t="s">
        <v>901</v>
      </c>
      <c r="H808" s="29" t="s">
        <v>902</v>
      </c>
      <c r="I808" s="29" t="s">
        <v>656</v>
      </c>
      <c r="J808" s="29" t="s">
        <v>2122</v>
      </c>
    </row>
    <row r="809" spans="1:10" ht="19.5" customHeight="1" x14ac:dyDescent="0.35">
      <c r="A809" s="29" t="s">
        <v>896</v>
      </c>
      <c r="B809" s="29" t="s">
        <v>2123</v>
      </c>
      <c r="C809" s="29" t="s">
        <v>921</v>
      </c>
      <c r="D809" s="30">
        <v>1</v>
      </c>
      <c r="E809" s="29" t="s">
        <v>2124</v>
      </c>
      <c r="F809" s="29" t="s">
        <v>1885</v>
      </c>
      <c r="G809" s="29" t="s">
        <v>901</v>
      </c>
      <c r="H809" s="29" t="s">
        <v>902</v>
      </c>
      <c r="I809" s="29" t="s">
        <v>656</v>
      </c>
      <c r="J809" s="29" t="s">
        <v>2125</v>
      </c>
    </row>
    <row r="810" spans="1:10" ht="19.5" customHeight="1" x14ac:dyDescent="0.35">
      <c r="A810" s="23" t="s">
        <v>896</v>
      </c>
      <c r="B810" s="23" t="s">
        <v>2126</v>
      </c>
      <c r="C810" s="23" t="s">
        <v>963</v>
      </c>
      <c r="D810" s="24">
        <v>1</v>
      </c>
      <c r="E810" s="23" t="s">
        <v>2127</v>
      </c>
      <c r="F810" s="23" t="s">
        <v>1442</v>
      </c>
      <c r="G810" s="23" t="s">
        <v>901</v>
      </c>
      <c r="H810" s="23" t="s">
        <v>902</v>
      </c>
      <c r="I810" s="23" t="s">
        <v>656</v>
      </c>
      <c r="J810" s="23" t="s">
        <v>2128</v>
      </c>
    </row>
    <row r="811" spans="1:10" ht="19.5" customHeight="1" x14ac:dyDescent="0.35">
      <c r="A811" s="29" t="s">
        <v>896</v>
      </c>
      <c r="B811" s="29" t="s">
        <v>2129</v>
      </c>
      <c r="C811" s="29" t="s">
        <v>905</v>
      </c>
      <c r="D811" s="30">
        <v>1</v>
      </c>
      <c r="E811" s="29" t="s">
        <v>2130</v>
      </c>
      <c r="F811" s="29" t="s">
        <v>1885</v>
      </c>
      <c r="G811" s="29" t="s">
        <v>901</v>
      </c>
      <c r="H811" s="29" t="s">
        <v>902</v>
      </c>
      <c r="I811" s="29" t="s">
        <v>656</v>
      </c>
      <c r="J811" s="29" t="s">
        <v>2131</v>
      </c>
    </row>
    <row r="812" spans="1:10" ht="19.5" customHeight="1" x14ac:dyDescent="0.35">
      <c r="A812" s="29" t="s">
        <v>896</v>
      </c>
      <c r="B812" s="29" t="s">
        <v>2132</v>
      </c>
      <c r="C812" s="29" t="s">
        <v>1050</v>
      </c>
      <c r="D812" s="30">
        <v>1</v>
      </c>
      <c r="E812" s="29" t="s">
        <v>2133</v>
      </c>
      <c r="F812" s="29" t="s">
        <v>1885</v>
      </c>
      <c r="G812" s="29" t="s">
        <v>901</v>
      </c>
      <c r="H812" s="29" t="s">
        <v>902</v>
      </c>
      <c r="I812" s="29" t="s">
        <v>656</v>
      </c>
      <c r="J812" s="29" t="s">
        <v>2134</v>
      </c>
    </row>
    <row r="813" spans="1:10" ht="19.5" customHeight="1" x14ac:dyDescent="0.35">
      <c r="A813" s="29" t="s">
        <v>896</v>
      </c>
      <c r="B813" s="29" t="s">
        <v>2135</v>
      </c>
      <c r="C813" s="29" t="s">
        <v>1009</v>
      </c>
      <c r="D813" s="30">
        <v>1</v>
      </c>
      <c r="E813" s="29" t="s">
        <v>2136</v>
      </c>
      <c r="F813" s="29" t="s">
        <v>1885</v>
      </c>
      <c r="G813" s="29" t="s">
        <v>901</v>
      </c>
      <c r="H813" s="29" t="s">
        <v>902</v>
      </c>
      <c r="I813" s="29" t="s">
        <v>656</v>
      </c>
      <c r="J813" s="29" t="s">
        <v>2137</v>
      </c>
    </row>
    <row r="814" spans="1:10" ht="19.5" customHeight="1" x14ac:dyDescent="0.35">
      <c r="A814" s="29" t="s">
        <v>896</v>
      </c>
      <c r="B814" s="29" t="s">
        <v>2138</v>
      </c>
      <c r="C814" s="29" t="s">
        <v>1077</v>
      </c>
      <c r="D814" s="30">
        <v>1</v>
      </c>
      <c r="E814" s="29" t="s">
        <v>2139</v>
      </c>
      <c r="F814" s="29" t="s">
        <v>1885</v>
      </c>
      <c r="G814" s="29" t="s">
        <v>901</v>
      </c>
      <c r="H814" s="29" t="s">
        <v>902</v>
      </c>
      <c r="I814" s="29" t="s">
        <v>656</v>
      </c>
      <c r="J814" s="29" t="s">
        <v>2140</v>
      </c>
    </row>
    <row r="815" spans="1:10" ht="19.5" customHeight="1" x14ac:dyDescent="0.35">
      <c r="A815" s="29" t="s">
        <v>896</v>
      </c>
      <c r="B815" s="29" t="s">
        <v>2141</v>
      </c>
      <c r="C815" s="29" t="s">
        <v>1212</v>
      </c>
      <c r="D815" s="30">
        <v>1</v>
      </c>
      <c r="E815" s="29" t="s">
        <v>2142</v>
      </c>
      <c r="F815" s="29" t="s">
        <v>1885</v>
      </c>
      <c r="G815" s="29" t="s">
        <v>901</v>
      </c>
      <c r="H815" s="29" t="s">
        <v>902</v>
      </c>
      <c r="I815" s="29" t="s">
        <v>656</v>
      </c>
      <c r="J815" s="29" t="s">
        <v>2143</v>
      </c>
    </row>
    <row r="816" spans="1:10" ht="19.5" customHeight="1" x14ac:dyDescent="0.35">
      <c r="A816" s="29" t="s">
        <v>896</v>
      </c>
      <c r="B816" s="29" t="s">
        <v>2144</v>
      </c>
      <c r="C816" s="29" t="s">
        <v>929</v>
      </c>
      <c r="D816" s="30">
        <v>1</v>
      </c>
      <c r="E816" s="29" t="s">
        <v>2145</v>
      </c>
      <c r="F816" s="29" t="s">
        <v>1885</v>
      </c>
      <c r="G816" s="29" t="s">
        <v>901</v>
      </c>
      <c r="H816" s="29" t="s">
        <v>902</v>
      </c>
      <c r="I816" s="29" t="s">
        <v>656</v>
      </c>
      <c r="J816" s="29" t="s">
        <v>2146</v>
      </c>
    </row>
    <row r="817" spans="1:10" ht="19.5" customHeight="1" x14ac:dyDescent="0.35">
      <c r="A817" s="29" t="s">
        <v>896</v>
      </c>
      <c r="B817" s="29" t="s">
        <v>2147</v>
      </c>
      <c r="C817" s="29" t="s">
        <v>959</v>
      </c>
      <c r="D817" s="30">
        <v>1</v>
      </c>
      <c r="E817" s="29" t="s">
        <v>2148</v>
      </c>
      <c r="F817" s="29" t="s">
        <v>1885</v>
      </c>
      <c r="G817" s="29" t="s">
        <v>901</v>
      </c>
      <c r="H817" s="29" t="s">
        <v>902</v>
      </c>
      <c r="I817" s="29" t="s">
        <v>656</v>
      </c>
      <c r="J817" s="29" t="s">
        <v>2149</v>
      </c>
    </row>
    <row r="818" spans="1:10" ht="19.5" customHeight="1" x14ac:dyDescent="0.35">
      <c r="A818" s="29" t="s">
        <v>896</v>
      </c>
      <c r="B818" s="29" t="s">
        <v>2150</v>
      </c>
      <c r="C818" s="29" t="s">
        <v>1240</v>
      </c>
      <c r="D818" s="30">
        <v>1</v>
      </c>
      <c r="E818" s="29" t="s">
        <v>2151</v>
      </c>
      <c r="F818" s="29" t="s">
        <v>1885</v>
      </c>
      <c r="G818" s="29" t="s">
        <v>901</v>
      </c>
      <c r="H818" s="29" t="s">
        <v>902</v>
      </c>
      <c r="I818" s="29" t="s">
        <v>656</v>
      </c>
      <c r="J818" s="29" t="s">
        <v>2152</v>
      </c>
    </row>
    <row r="819" spans="1:10" ht="19.5" customHeight="1" x14ac:dyDescent="0.35">
      <c r="A819" s="29" t="s">
        <v>896</v>
      </c>
      <c r="B819" s="29" t="s">
        <v>2153</v>
      </c>
      <c r="C819" s="29" t="s">
        <v>921</v>
      </c>
      <c r="D819" s="30">
        <v>1</v>
      </c>
      <c r="E819" s="29" t="s">
        <v>2154</v>
      </c>
      <c r="F819" s="29" t="s">
        <v>1885</v>
      </c>
      <c r="G819" s="29" t="s">
        <v>901</v>
      </c>
      <c r="H819" s="29" t="s">
        <v>902</v>
      </c>
      <c r="I819" s="29" t="s">
        <v>656</v>
      </c>
      <c r="J819" s="29" t="s">
        <v>2155</v>
      </c>
    </row>
    <row r="820" spans="1:10" ht="19.5" customHeight="1" x14ac:dyDescent="0.35">
      <c r="A820" s="29" t="s">
        <v>896</v>
      </c>
      <c r="B820" s="29" t="s">
        <v>2156</v>
      </c>
      <c r="C820" s="29" t="s">
        <v>1077</v>
      </c>
      <c r="D820" s="30">
        <v>1</v>
      </c>
      <c r="E820" s="29" t="s">
        <v>2157</v>
      </c>
      <c r="F820" s="29" t="s">
        <v>1885</v>
      </c>
      <c r="G820" s="29" t="s">
        <v>901</v>
      </c>
      <c r="H820" s="29" t="s">
        <v>902</v>
      </c>
      <c r="I820" s="29" t="s">
        <v>656</v>
      </c>
      <c r="J820" s="29" t="s">
        <v>2158</v>
      </c>
    </row>
    <row r="821" spans="1:10" ht="19.5" customHeight="1" x14ac:dyDescent="0.35">
      <c r="A821" s="29" t="s">
        <v>896</v>
      </c>
      <c r="B821" s="29" t="s">
        <v>2159</v>
      </c>
      <c r="C821" s="29" t="s">
        <v>2160</v>
      </c>
      <c r="D821" s="30">
        <v>1</v>
      </c>
      <c r="E821" s="29" t="s">
        <v>2161</v>
      </c>
      <c r="F821" s="29" t="s">
        <v>1885</v>
      </c>
      <c r="G821" s="29" t="s">
        <v>901</v>
      </c>
      <c r="H821" s="29" t="s">
        <v>902</v>
      </c>
      <c r="I821" s="29" t="s">
        <v>656</v>
      </c>
      <c r="J821" s="29" t="s">
        <v>2162</v>
      </c>
    </row>
    <row r="822" spans="1:10" ht="19.5" customHeight="1" x14ac:dyDescent="0.35">
      <c r="A822" s="29" t="s">
        <v>896</v>
      </c>
      <c r="B822" s="29" t="s">
        <v>2163</v>
      </c>
      <c r="C822" s="29" t="s">
        <v>1009</v>
      </c>
      <c r="D822" s="30">
        <v>1</v>
      </c>
      <c r="E822" s="29" t="s">
        <v>2164</v>
      </c>
      <c r="F822" s="29" t="s">
        <v>1885</v>
      </c>
      <c r="G822" s="29" t="s">
        <v>901</v>
      </c>
      <c r="H822" s="29" t="s">
        <v>902</v>
      </c>
      <c r="I822" s="29" t="s">
        <v>656</v>
      </c>
      <c r="J822" s="29" t="s">
        <v>2165</v>
      </c>
    </row>
    <row r="823" spans="1:10" ht="19.5" customHeight="1" x14ac:dyDescent="0.35">
      <c r="A823" s="29" t="s">
        <v>896</v>
      </c>
      <c r="B823" s="29" t="s">
        <v>2166</v>
      </c>
      <c r="C823" s="29" t="s">
        <v>1136</v>
      </c>
      <c r="D823" s="30">
        <v>1</v>
      </c>
      <c r="E823" s="29" t="s">
        <v>2167</v>
      </c>
      <c r="F823" s="29" t="s">
        <v>1885</v>
      </c>
      <c r="G823" s="29" t="s">
        <v>901</v>
      </c>
      <c r="H823" s="29" t="s">
        <v>902</v>
      </c>
      <c r="I823" s="29" t="s">
        <v>656</v>
      </c>
      <c r="J823" s="29" t="s">
        <v>2168</v>
      </c>
    </row>
    <row r="824" spans="1:10" ht="19.5" customHeight="1" x14ac:dyDescent="0.35">
      <c r="A824" s="29" t="s">
        <v>896</v>
      </c>
      <c r="B824" s="29" t="s">
        <v>2169</v>
      </c>
      <c r="C824" s="29" t="s">
        <v>1077</v>
      </c>
      <c r="D824" s="30">
        <v>1</v>
      </c>
      <c r="E824" s="29" t="s">
        <v>2170</v>
      </c>
      <c r="F824" s="29" t="s">
        <v>1885</v>
      </c>
      <c r="G824" s="29" t="s">
        <v>901</v>
      </c>
      <c r="H824" s="29" t="s">
        <v>902</v>
      </c>
      <c r="I824" s="29" t="s">
        <v>656</v>
      </c>
      <c r="J824" s="29" t="s">
        <v>2171</v>
      </c>
    </row>
    <row r="825" spans="1:10" ht="19.5" customHeight="1" x14ac:dyDescent="0.35">
      <c r="A825" s="29" t="s">
        <v>896</v>
      </c>
      <c r="B825" s="29" t="s">
        <v>2172</v>
      </c>
      <c r="C825" s="29" t="s">
        <v>921</v>
      </c>
      <c r="D825" s="30">
        <v>1</v>
      </c>
      <c r="E825" s="29" t="s">
        <v>2173</v>
      </c>
      <c r="F825" s="29" t="s">
        <v>1885</v>
      </c>
      <c r="G825" s="29" t="s">
        <v>901</v>
      </c>
      <c r="H825" s="29" t="s">
        <v>902</v>
      </c>
      <c r="I825" s="29" t="s">
        <v>656</v>
      </c>
      <c r="J825" s="29" t="s">
        <v>2174</v>
      </c>
    </row>
    <row r="826" spans="1:10" ht="19.5" customHeight="1" x14ac:dyDescent="0.35">
      <c r="A826" s="29" t="s">
        <v>896</v>
      </c>
      <c r="B826" s="29" t="s">
        <v>2175</v>
      </c>
      <c r="C826" s="29" t="s">
        <v>1077</v>
      </c>
      <c r="D826" s="30">
        <v>1</v>
      </c>
      <c r="E826" s="29" t="s">
        <v>2176</v>
      </c>
      <c r="F826" s="29" t="s">
        <v>1885</v>
      </c>
      <c r="G826" s="29" t="s">
        <v>901</v>
      </c>
      <c r="H826" s="29" t="s">
        <v>902</v>
      </c>
      <c r="I826" s="29" t="s">
        <v>656</v>
      </c>
      <c r="J826" s="29" t="s">
        <v>2177</v>
      </c>
    </row>
    <row r="827" spans="1:10" ht="19.5" customHeight="1" x14ac:dyDescent="0.35">
      <c r="A827" s="29" t="s">
        <v>896</v>
      </c>
      <c r="B827" s="29" t="s">
        <v>2178</v>
      </c>
      <c r="C827" s="29" t="s">
        <v>1077</v>
      </c>
      <c r="D827" s="30">
        <v>1</v>
      </c>
      <c r="E827" s="29" t="s">
        <v>2179</v>
      </c>
      <c r="F827" s="29" t="s">
        <v>1885</v>
      </c>
      <c r="G827" s="29" t="s">
        <v>901</v>
      </c>
      <c r="H827" s="29" t="s">
        <v>902</v>
      </c>
      <c r="I827" s="29" t="s">
        <v>656</v>
      </c>
      <c r="J827" s="29" t="s">
        <v>2180</v>
      </c>
    </row>
    <row r="828" spans="1:10" ht="19.5" customHeight="1" x14ac:dyDescent="0.35">
      <c r="A828" s="29" t="s">
        <v>896</v>
      </c>
      <c r="B828" s="29" t="s">
        <v>2181</v>
      </c>
      <c r="C828" s="29" t="s">
        <v>1659</v>
      </c>
      <c r="D828" s="30">
        <v>1</v>
      </c>
      <c r="E828" s="29" t="s">
        <v>2182</v>
      </c>
      <c r="F828" s="29" t="s">
        <v>1885</v>
      </c>
      <c r="G828" s="29" t="s">
        <v>901</v>
      </c>
      <c r="H828" s="29" t="s">
        <v>902</v>
      </c>
      <c r="I828" s="29" t="s">
        <v>656</v>
      </c>
      <c r="J828" s="29" t="s">
        <v>2183</v>
      </c>
    </row>
    <row r="829" spans="1:10" ht="19.5" customHeight="1" x14ac:dyDescent="0.35">
      <c r="A829" s="29" t="s">
        <v>896</v>
      </c>
      <c r="B829" s="29" t="s">
        <v>2184</v>
      </c>
      <c r="C829" s="29" t="s">
        <v>1101</v>
      </c>
      <c r="D829" s="30">
        <v>1</v>
      </c>
      <c r="E829" s="29" t="s">
        <v>2185</v>
      </c>
      <c r="F829" s="29" t="s">
        <v>1885</v>
      </c>
      <c r="G829" s="29" t="s">
        <v>901</v>
      </c>
      <c r="H829" s="29" t="s">
        <v>902</v>
      </c>
      <c r="I829" s="29" t="s">
        <v>656</v>
      </c>
      <c r="J829" s="29" t="s">
        <v>2186</v>
      </c>
    </row>
    <row r="830" spans="1:10" ht="19.5" customHeight="1" x14ac:dyDescent="0.35">
      <c r="A830" s="29" t="s">
        <v>896</v>
      </c>
      <c r="B830" s="29" t="s">
        <v>2187</v>
      </c>
      <c r="C830" s="29" t="s">
        <v>905</v>
      </c>
      <c r="D830" s="30">
        <v>1</v>
      </c>
      <c r="E830" s="29" t="s">
        <v>2188</v>
      </c>
      <c r="F830" s="29" t="s">
        <v>1885</v>
      </c>
      <c r="G830" s="29" t="s">
        <v>901</v>
      </c>
      <c r="H830" s="29" t="s">
        <v>902</v>
      </c>
      <c r="I830" s="29" t="s">
        <v>656</v>
      </c>
      <c r="J830" s="29" t="s">
        <v>2189</v>
      </c>
    </row>
    <row r="831" spans="1:10" ht="19.5" customHeight="1" x14ac:dyDescent="0.35">
      <c r="A831" s="29" t="s">
        <v>896</v>
      </c>
      <c r="B831" s="29" t="s">
        <v>2190</v>
      </c>
      <c r="C831" s="29" t="s">
        <v>1101</v>
      </c>
      <c r="D831" s="30">
        <v>1</v>
      </c>
      <c r="E831" s="29" t="s">
        <v>2191</v>
      </c>
      <c r="F831" s="29" t="s">
        <v>1885</v>
      </c>
      <c r="G831" s="29" t="s">
        <v>901</v>
      </c>
      <c r="H831" s="29" t="s">
        <v>902</v>
      </c>
      <c r="I831" s="29" t="s">
        <v>656</v>
      </c>
      <c r="J831" s="29" t="s">
        <v>2192</v>
      </c>
    </row>
    <row r="832" spans="1:10" ht="19.5" customHeight="1" x14ac:dyDescent="0.35">
      <c r="A832" s="29" t="s">
        <v>896</v>
      </c>
      <c r="B832" s="29" t="s">
        <v>2193</v>
      </c>
      <c r="C832" s="29" t="s">
        <v>1077</v>
      </c>
      <c r="D832" s="30">
        <v>1</v>
      </c>
      <c r="E832" s="29" t="s">
        <v>2194</v>
      </c>
      <c r="F832" s="29" t="s">
        <v>1885</v>
      </c>
      <c r="G832" s="29" t="s">
        <v>901</v>
      </c>
      <c r="H832" s="29" t="s">
        <v>902</v>
      </c>
      <c r="I832" s="29" t="s">
        <v>656</v>
      </c>
      <c r="J832" s="29" t="s">
        <v>2195</v>
      </c>
    </row>
    <row r="833" spans="1:10" ht="19.5" customHeight="1" x14ac:dyDescent="0.35">
      <c r="A833" s="29" t="s">
        <v>896</v>
      </c>
      <c r="B833" s="29" t="s">
        <v>2196</v>
      </c>
      <c r="C833" s="29" t="s">
        <v>1009</v>
      </c>
      <c r="D833" s="30">
        <v>1</v>
      </c>
      <c r="E833" s="29" t="s">
        <v>2197</v>
      </c>
      <c r="F833" s="29" t="s">
        <v>1885</v>
      </c>
      <c r="G833" s="29" t="s">
        <v>901</v>
      </c>
      <c r="H833" s="29" t="s">
        <v>902</v>
      </c>
      <c r="I833" s="29" t="s">
        <v>656</v>
      </c>
      <c r="J833" s="29" t="s">
        <v>2198</v>
      </c>
    </row>
    <row r="834" spans="1:10" ht="19.5" customHeight="1" x14ac:dyDescent="0.35">
      <c r="A834" s="29" t="s">
        <v>896</v>
      </c>
      <c r="B834" s="29" t="s">
        <v>2199</v>
      </c>
      <c r="C834" s="29" t="s">
        <v>1136</v>
      </c>
      <c r="D834" s="30">
        <v>1</v>
      </c>
      <c r="E834" s="29" t="s">
        <v>2200</v>
      </c>
      <c r="F834" s="29" t="s">
        <v>1885</v>
      </c>
      <c r="G834" s="29" t="s">
        <v>901</v>
      </c>
      <c r="H834" s="29" t="s">
        <v>902</v>
      </c>
      <c r="I834" s="29" t="s">
        <v>656</v>
      </c>
      <c r="J834" s="29" t="s">
        <v>2201</v>
      </c>
    </row>
    <row r="835" spans="1:10" ht="19.5" customHeight="1" x14ac:dyDescent="0.35">
      <c r="A835" s="29" t="s">
        <v>896</v>
      </c>
      <c r="B835" s="29" t="s">
        <v>2202</v>
      </c>
      <c r="C835" s="29" t="s">
        <v>1490</v>
      </c>
      <c r="D835" s="30">
        <v>1</v>
      </c>
      <c r="E835" s="29" t="s">
        <v>2203</v>
      </c>
      <c r="F835" s="29" t="s">
        <v>1885</v>
      </c>
      <c r="G835" s="29" t="s">
        <v>901</v>
      </c>
      <c r="H835" s="29" t="s">
        <v>902</v>
      </c>
      <c r="I835" s="29" t="s">
        <v>656</v>
      </c>
      <c r="J835" s="29" t="s">
        <v>2204</v>
      </c>
    </row>
    <row r="836" spans="1:10" ht="19.5" customHeight="1" x14ac:dyDescent="0.35">
      <c r="A836" s="29" t="s">
        <v>896</v>
      </c>
      <c r="B836" s="29" t="s">
        <v>2205</v>
      </c>
      <c r="C836" s="29" t="s">
        <v>1077</v>
      </c>
      <c r="D836" s="30">
        <v>1</v>
      </c>
      <c r="E836" s="29" t="s">
        <v>2206</v>
      </c>
      <c r="F836" s="29" t="s">
        <v>1885</v>
      </c>
      <c r="G836" s="29" t="s">
        <v>901</v>
      </c>
      <c r="H836" s="29" t="s">
        <v>902</v>
      </c>
      <c r="I836" s="29" t="s">
        <v>656</v>
      </c>
      <c r="J836" s="29" t="s">
        <v>2207</v>
      </c>
    </row>
    <row r="837" spans="1:10" ht="19.5" customHeight="1" x14ac:dyDescent="0.35">
      <c r="A837" s="29" t="s">
        <v>896</v>
      </c>
      <c r="B837" s="29" t="s">
        <v>2208</v>
      </c>
      <c r="C837" s="29" t="s">
        <v>989</v>
      </c>
      <c r="D837" s="30">
        <v>1</v>
      </c>
      <c r="E837" s="29" t="s">
        <v>2209</v>
      </c>
      <c r="F837" s="29" t="s">
        <v>1885</v>
      </c>
      <c r="G837" s="29" t="s">
        <v>901</v>
      </c>
      <c r="H837" s="29" t="s">
        <v>902</v>
      </c>
      <c r="I837" s="29" t="s">
        <v>656</v>
      </c>
      <c r="J837" s="29" t="s">
        <v>2210</v>
      </c>
    </row>
    <row r="838" spans="1:10" ht="19.5" customHeight="1" x14ac:dyDescent="0.35">
      <c r="A838" s="29" t="s">
        <v>896</v>
      </c>
      <c r="B838" s="29" t="s">
        <v>2211</v>
      </c>
      <c r="C838" s="29" t="s">
        <v>1009</v>
      </c>
      <c r="D838" s="30">
        <v>1</v>
      </c>
      <c r="E838" s="29" t="s">
        <v>2212</v>
      </c>
      <c r="F838" s="29" t="s">
        <v>1885</v>
      </c>
      <c r="G838" s="29" t="s">
        <v>901</v>
      </c>
      <c r="H838" s="29" t="s">
        <v>902</v>
      </c>
      <c r="I838" s="29" t="s">
        <v>656</v>
      </c>
      <c r="J838" s="29" t="s">
        <v>2213</v>
      </c>
    </row>
    <row r="839" spans="1:10" ht="19.5" customHeight="1" x14ac:dyDescent="0.35">
      <c r="A839" s="29" t="s">
        <v>896</v>
      </c>
      <c r="B839" s="29" t="s">
        <v>2214</v>
      </c>
      <c r="C839" s="29" t="s">
        <v>989</v>
      </c>
      <c r="D839" s="30">
        <v>1</v>
      </c>
      <c r="E839" s="29" t="s">
        <v>2215</v>
      </c>
      <c r="F839" s="29" t="s">
        <v>1885</v>
      </c>
      <c r="G839" s="29" t="s">
        <v>901</v>
      </c>
      <c r="H839" s="29" t="s">
        <v>902</v>
      </c>
      <c r="I839" s="29" t="s">
        <v>656</v>
      </c>
      <c r="J839" s="29" t="s">
        <v>2216</v>
      </c>
    </row>
    <row r="840" spans="1:10" ht="19.5" customHeight="1" x14ac:dyDescent="0.35">
      <c r="A840" s="29" t="s">
        <v>896</v>
      </c>
      <c r="B840" s="29" t="s">
        <v>2217</v>
      </c>
      <c r="C840" s="29" t="s">
        <v>925</v>
      </c>
      <c r="D840" s="30">
        <v>1</v>
      </c>
      <c r="E840" s="29" t="s">
        <v>2218</v>
      </c>
      <c r="F840" s="29" t="s">
        <v>1885</v>
      </c>
      <c r="G840" s="29" t="s">
        <v>901</v>
      </c>
      <c r="H840" s="29" t="s">
        <v>902</v>
      </c>
      <c r="I840" s="29" t="s">
        <v>656</v>
      </c>
      <c r="J840" s="29" t="s">
        <v>2219</v>
      </c>
    </row>
    <row r="841" spans="1:10" ht="19.5" customHeight="1" x14ac:dyDescent="0.35">
      <c r="A841" s="29" t="s">
        <v>896</v>
      </c>
      <c r="B841" s="29" t="s">
        <v>2220</v>
      </c>
      <c r="C841" s="29" t="s">
        <v>1690</v>
      </c>
      <c r="D841" s="30">
        <v>1</v>
      </c>
      <c r="E841" s="29" t="s">
        <v>2221</v>
      </c>
      <c r="F841" s="29" t="s">
        <v>1885</v>
      </c>
      <c r="G841" s="29" t="s">
        <v>901</v>
      </c>
      <c r="H841" s="29" t="s">
        <v>902</v>
      </c>
      <c r="I841" s="29" t="s">
        <v>656</v>
      </c>
      <c r="J841" s="29" t="s">
        <v>2222</v>
      </c>
    </row>
    <row r="842" spans="1:10" ht="19.5" customHeight="1" x14ac:dyDescent="0.35">
      <c r="A842" s="29" t="s">
        <v>896</v>
      </c>
      <c r="B842" s="29" t="s">
        <v>2223</v>
      </c>
      <c r="C842" s="29" t="s">
        <v>989</v>
      </c>
      <c r="D842" s="30">
        <v>1</v>
      </c>
      <c r="E842" s="29" t="s">
        <v>2224</v>
      </c>
      <c r="F842" s="29" t="s">
        <v>1885</v>
      </c>
      <c r="G842" s="29" t="s">
        <v>901</v>
      </c>
      <c r="H842" s="29" t="s">
        <v>902</v>
      </c>
      <c r="I842" s="29" t="s">
        <v>656</v>
      </c>
      <c r="J842" s="29" t="s">
        <v>2225</v>
      </c>
    </row>
    <row r="843" spans="1:10" ht="19.5" customHeight="1" x14ac:dyDescent="0.35">
      <c r="A843" s="29" t="s">
        <v>896</v>
      </c>
      <c r="B843" s="29" t="s">
        <v>2226</v>
      </c>
      <c r="C843" s="29" t="s">
        <v>996</v>
      </c>
      <c r="D843" s="30">
        <v>1</v>
      </c>
      <c r="E843" s="29" t="s">
        <v>2227</v>
      </c>
      <c r="F843" s="29" t="s">
        <v>1885</v>
      </c>
      <c r="G843" s="29" t="s">
        <v>901</v>
      </c>
      <c r="H843" s="29" t="s">
        <v>902</v>
      </c>
      <c r="I843" s="29" t="s">
        <v>656</v>
      </c>
      <c r="J843" s="29" t="s">
        <v>2228</v>
      </c>
    </row>
    <row r="844" spans="1:10" ht="19.5" customHeight="1" x14ac:dyDescent="0.35">
      <c r="A844" s="29" t="s">
        <v>896</v>
      </c>
      <c r="B844" s="29" t="s">
        <v>2229</v>
      </c>
      <c r="C844" s="29" t="s">
        <v>1009</v>
      </c>
      <c r="D844" s="30">
        <v>1</v>
      </c>
      <c r="E844" s="29" t="s">
        <v>2230</v>
      </c>
      <c r="F844" s="29" t="s">
        <v>1885</v>
      </c>
      <c r="G844" s="29" t="s">
        <v>901</v>
      </c>
      <c r="H844" s="29" t="s">
        <v>902</v>
      </c>
      <c r="I844" s="29" t="s">
        <v>656</v>
      </c>
      <c r="J844" s="29" t="s">
        <v>2231</v>
      </c>
    </row>
    <row r="845" spans="1:10" ht="19.5" customHeight="1" x14ac:dyDescent="0.35">
      <c r="A845" s="29" t="s">
        <v>896</v>
      </c>
      <c r="B845" s="29" t="s">
        <v>2232</v>
      </c>
      <c r="C845" s="29" t="s">
        <v>1077</v>
      </c>
      <c r="D845" s="30">
        <v>1</v>
      </c>
      <c r="E845" s="29" t="s">
        <v>2233</v>
      </c>
      <c r="F845" s="29" t="s">
        <v>1885</v>
      </c>
      <c r="G845" s="29" t="s">
        <v>901</v>
      </c>
      <c r="H845" s="29" t="s">
        <v>902</v>
      </c>
      <c r="I845" s="29" t="s">
        <v>656</v>
      </c>
      <c r="J845" s="29" t="s">
        <v>2234</v>
      </c>
    </row>
    <row r="846" spans="1:10" ht="19.5" customHeight="1" x14ac:dyDescent="0.35">
      <c r="A846" s="29" t="s">
        <v>896</v>
      </c>
      <c r="B846" s="29" t="s">
        <v>2235</v>
      </c>
      <c r="C846" s="29" t="s">
        <v>929</v>
      </c>
      <c r="D846" s="30">
        <v>1</v>
      </c>
      <c r="E846" s="29" t="s">
        <v>2236</v>
      </c>
      <c r="F846" s="29" t="s">
        <v>1885</v>
      </c>
      <c r="G846" s="29" t="s">
        <v>901</v>
      </c>
      <c r="H846" s="29" t="s">
        <v>902</v>
      </c>
      <c r="I846" s="29" t="s">
        <v>656</v>
      </c>
      <c r="J846" s="29" t="s">
        <v>2237</v>
      </c>
    </row>
    <row r="847" spans="1:10" ht="19.5" customHeight="1" x14ac:dyDescent="0.35">
      <c r="A847" s="29" t="s">
        <v>896</v>
      </c>
      <c r="B847" s="29" t="s">
        <v>2238</v>
      </c>
      <c r="C847" s="29" t="s">
        <v>959</v>
      </c>
      <c r="D847" s="30">
        <v>1</v>
      </c>
      <c r="E847" s="29" t="s">
        <v>2239</v>
      </c>
      <c r="F847" s="29" t="s">
        <v>1885</v>
      </c>
      <c r="G847" s="29" t="s">
        <v>901</v>
      </c>
      <c r="H847" s="29" t="s">
        <v>902</v>
      </c>
      <c r="I847" s="29" t="s">
        <v>656</v>
      </c>
      <c r="J847" s="29" t="s">
        <v>2240</v>
      </c>
    </row>
    <row r="848" spans="1:10" ht="19.5" customHeight="1" x14ac:dyDescent="0.35">
      <c r="A848" s="29" t="s">
        <v>896</v>
      </c>
      <c r="B848" s="29" t="s">
        <v>2241</v>
      </c>
      <c r="C848" s="29" t="s">
        <v>913</v>
      </c>
      <c r="D848" s="30">
        <v>1</v>
      </c>
      <c r="E848" s="29" t="s">
        <v>2242</v>
      </c>
      <c r="F848" s="29" t="s">
        <v>1885</v>
      </c>
      <c r="G848" s="29" t="s">
        <v>901</v>
      </c>
      <c r="H848" s="29" t="s">
        <v>902</v>
      </c>
      <c r="I848" s="29" t="s">
        <v>656</v>
      </c>
      <c r="J848" s="29" t="s">
        <v>2243</v>
      </c>
    </row>
    <row r="849" spans="1:10" ht="19.5" customHeight="1" x14ac:dyDescent="0.35">
      <c r="A849" s="29" t="s">
        <v>896</v>
      </c>
      <c r="B849" s="29" t="s">
        <v>2244</v>
      </c>
      <c r="C849" s="29" t="s">
        <v>1111</v>
      </c>
      <c r="D849" s="30">
        <v>1</v>
      </c>
      <c r="E849" s="29" t="s">
        <v>2245</v>
      </c>
      <c r="F849" s="29" t="s">
        <v>1885</v>
      </c>
      <c r="G849" s="29" t="s">
        <v>901</v>
      </c>
      <c r="H849" s="29" t="s">
        <v>902</v>
      </c>
      <c r="I849" s="29" t="s">
        <v>656</v>
      </c>
      <c r="J849" s="29" t="s">
        <v>2246</v>
      </c>
    </row>
    <row r="850" spans="1:10" ht="19.5" customHeight="1" x14ac:dyDescent="0.35">
      <c r="A850" s="29" t="s">
        <v>896</v>
      </c>
      <c r="B850" s="29" t="s">
        <v>2247</v>
      </c>
      <c r="C850" s="29" t="s">
        <v>905</v>
      </c>
      <c r="D850" s="30">
        <v>1</v>
      </c>
      <c r="E850" s="29" t="s">
        <v>2248</v>
      </c>
      <c r="F850" s="29" t="s">
        <v>1885</v>
      </c>
      <c r="G850" s="29" t="s">
        <v>901</v>
      </c>
      <c r="H850" s="29" t="s">
        <v>902</v>
      </c>
      <c r="I850" s="29" t="s">
        <v>656</v>
      </c>
      <c r="J850" s="29" t="s">
        <v>2249</v>
      </c>
    </row>
    <row r="851" spans="1:10" ht="19.5" customHeight="1" x14ac:dyDescent="0.35">
      <c r="A851" s="29" t="s">
        <v>896</v>
      </c>
      <c r="B851" s="29" t="s">
        <v>2250</v>
      </c>
      <c r="C851" s="29" t="s">
        <v>1240</v>
      </c>
      <c r="D851" s="30">
        <v>1</v>
      </c>
      <c r="E851" s="29" t="s">
        <v>2251</v>
      </c>
      <c r="F851" s="29" t="s">
        <v>1885</v>
      </c>
      <c r="G851" s="29" t="s">
        <v>901</v>
      </c>
      <c r="H851" s="29" t="s">
        <v>902</v>
      </c>
      <c r="I851" s="29" t="s">
        <v>656</v>
      </c>
      <c r="J851" s="29" t="s">
        <v>2252</v>
      </c>
    </row>
    <row r="852" spans="1:10" ht="19.5" customHeight="1" x14ac:dyDescent="0.35">
      <c r="A852" s="29" t="s">
        <v>896</v>
      </c>
      <c r="B852" s="29" t="s">
        <v>2253</v>
      </c>
      <c r="C852" s="29" t="s">
        <v>1240</v>
      </c>
      <c r="D852" s="30">
        <v>1</v>
      </c>
      <c r="E852" s="29" t="s">
        <v>2254</v>
      </c>
      <c r="F852" s="29" t="s">
        <v>1885</v>
      </c>
      <c r="G852" s="29" t="s">
        <v>901</v>
      </c>
      <c r="H852" s="29" t="s">
        <v>902</v>
      </c>
      <c r="I852" s="29" t="s">
        <v>656</v>
      </c>
      <c r="J852" s="29" t="s">
        <v>2255</v>
      </c>
    </row>
    <row r="853" spans="1:10" ht="19.5" customHeight="1" x14ac:dyDescent="0.35">
      <c r="A853" s="29" t="s">
        <v>896</v>
      </c>
      <c r="B853" s="29" t="s">
        <v>2256</v>
      </c>
      <c r="C853" s="29" t="s">
        <v>2257</v>
      </c>
      <c r="D853" s="30">
        <v>1</v>
      </c>
      <c r="E853" s="29" t="s">
        <v>2258</v>
      </c>
      <c r="F853" s="29" t="s">
        <v>1885</v>
      </c>
      <c r="G853" s="29" t="s">
        <v>901</v>
      </c>
      <c r="H853" s="29" t="s">
        <v>902</v>
      </c>
      <c r="I853" s="29" t="s">
        <v>656</v>
      </c>
      <c r="J853" s="29" t="s">
        <v>2259</v>
      </c>
    </row>
    <row r="854" spans="1:10" ht="19.5" customHeight="1" x14ac:dyDescent="0.35">
      <c r="A854" s="29" t="s">
        <v>896</v>
      </c>
      <c r="B854" s="29" t="s">
        <v>2260</v>
      </c>
      <c r="C854" s="29" t="s">
        <v>973</v>
      </c>
      <c r="D854" s="30">
        <v>1</v>
      </c>
      <c r="E854" s="29" t="s">
        <v>2261</v>
      </c>
      <c r="F854" s="29" t="s">
        <v>1885</v>
      </c>
      <c r="G854" s="29" t="s">
        <v>901</v>
      </c>
      <c r="H854" s="29" t="s">
        <v>902</v>
      </c>
      <c r="I854" s="29" t="s">
        <v>656</v>
      </c>
      <c r="J854" s="29" t="s">
        <v>2262</v>
      </c>
    </row>
    <row r="855" spans="1:10" ht="19.5" customHeight="1" x14ac:dyDescent="0.35">
      <c r="A855" s="29" t="s">
        <v>896</v>
      </c>
      <c r="B855" s="29" t="s">
        <v>2263</v>
      </c>
      <c r="C855" s="29" t="s">
        <v>1122</v>
      </c>
      <c r="D855" s="30">
        <v>1</v>
      </c>
      <c r="E855" s="29" t="s">
        <v>2264</v>
      </c>
      <c r="F855" s="29" t="s">
        <v>1885</v>
      </c>
      <c r="G855" s="29" t="s">
        <v>901</v>
      </c>
      <c r="H855" s="29" t="s">
        <v>902</v>
      </c>
      <c r="I855" s="29" t="s">
        <v>656</v>
      </c>
      <c r="J855" s="29" t="s">
        <v>2265</v>
      </c>
    </row>
    <row r="856" spans="1:10" ht="19.5" customHeight="1" x14ac:dyDescent="0.35">
      <c r="A856" s="29" t="s">
        <v>896</v>
      </c>
      <c r="B856" s="29" t="s">
        <v>2266</v>
      </c>
      <c r="C856" s="29" t="s">
        <v>1077</v>
      </c>
      <c r="D856" s="30">
        <v>1</v>
      </c>
      <c r="E856" s="29" t="s">
        <v>2267</v>
      </c>
      <c r="F856" s="29" t="s">
        <v>1885</v>
      </c>
      <c r="G856" s="29" t="s">
        <v>901</v>
      </c>
      <c r="H856" s="29" t="s">
        <v>902</v>
      </c>
      <c r="I856" s="29" t="s">
        <v>656</v>
      </c>
      <c r="J856" s="29" t="s">
        <v>2268</v>
      </c>
    </row>
    <row r="857" spans="1:10" ht="19.5" customHeight="1" x14ac:dyDescent="0.35">
      <c r="A857" s="29" t="s">
        <v>896</v>
      </c>
      <c r="B857" s="29" t="s">
        <v>2269</v>
      </c>
      <c r="C857" s="29" t="s">
        <v>929</v>
      </c>
      <c r="D857" s="30">
        <v>1</v>
      </c>
      <c r="E857" s="29" t="s">
        <v>2270</v>
      </c>
      <c r="F857" s="29" t="s">
        <v>1885</v>
      </c>
      <c r="G857" s="29" t="s">
        <v>901</v>
      </c>
      <c r="H857" s="29" t="s">
        <v>902</v>
      </c>
      <c r="I857" s="29" t="s">
        <v>656</v>
      </c>
      <c r="J857" s="29" t="s">
        <v>2271</v>
      </c>
    </row>
    <row r="858" spans="1:10" ht="19.5" customHeight="1" x14ac:dyDescent="0.35">
      <c r="A858" s="29" t="s">
        <v>896</v>
      </c>
      <c r="B858" s="29" t="s">
        <v>2272</v>
      </c>
      <c r="C858" s="29" t="s">
        <v>1129</v>
      </c>
      <c r="D858" s="30">
        <v>1</v>
      </c>
      <c r="E858" s="29" t="s">
        <v>2273</v>
      </c>
      <c r="F858" s="29" t="s">
        <v>1885</v>
      </c>
      <c r="G858" s="29" t="s">
        <v>901</v>
      </c>
      <c r="H858" s="29" t="s">
        <v>902</v>
      </c>
      <c r="I858" s="29" t="s">
        <v>656</v>
      </c>
      <c r="J858" s="29" t="s">
        <v>2274</v>
      </c>
    </row>
    <row r="859" spans="1:10" ht="19.5" customHeight="1" x14ac:dyDescent="0.35">
      <c r="A859" s="29" t="s">
        <v>896</v>
      </c>
      <c r="B859" s="29" t="s">
        <v>2275</v>
      </c>
      <c r="C859" s="29" t="s">
        <v>921</v>
      </c>
      <c r="D859" s="30">
        <v>1</v>
      </c>
      <c r="E859" s="29" t="s">
        <v>2276</v>
      </c>
      <c r="F859" s="29" t="s">
        <v>1885</v>
      </c>
      <c r="G859" s="29" t="s">
        <v>901</v>
      </c>
      <c r="H859" s="29" t="s">
        <v>902</v>
      </c>
      <c r="I859" s="29" t="s">
        <v>656</v>
      </c>
      <c r="J859" s="29" t="s">
        <v>2277</v>
      </c>
    </row>
    <row r="860" spans="1:10" ht="19.5" customHeight="1" x14ac:dyDescent="0.35">
      <c r="A860" s="29" t="s">
        <v>896</v>
      </c>
      <c r="B860" s="29" t="s">
        <v>2278</v>
      </c>
      <c r="C860" s="29" t="s">
        <v>921</v>
      </c>
      <c r="D860" s="30">
        <v>1</v>
      </c>
      <c r="E860" s="29" t="s">
        <v>2279</v>
      </c>
      <c r="F860" s="29" t="s">
        <v>1885</v>
      </c>
      <c r="G860" s="29" t="s">
        <v>901</v>
      </c>
      <c r="H860" s="29" t="s">
        <v>902</v>
      </c>
      <c r="I860" s="29" t="s">
        <v>656</v>
      </c>
      <c r="J860" s="29" t="s">
        <v>2280</v>
      </c>
    </row>
    <row r="861" spans="1:10" ht="19.5" customHeight="1" x14ac:dyDescent="0.35">
      <c r="A861" s="29" t="s">
        <v>896</v>
      </c>
      <c r="B861" s="29" t="s">
        <v>2281</v>
      </c>
      <c r="C861" s="29" t="s">
        <v>1077</v>
      </c>
      <c r="D861" s="30">
        <v>1</v>
      </c>
      <c r="E861" s="29" t="s">
        <v>2282</v>
      </c>
      <c r="F861" s="29" t="s">
        <v>1885</v>
      </c>
      <c r="G861" s="29" t="s">
        <v>901</v>
      </c>
      <c r="H861" s="29" t="s">
        <v>902</v>
      </c>
      <c r="I861" s="29" t="s">
        <v>656</v>
      </c>
      <c r="J861" s="29" t="s">
        <v>2283</v>
      </c>
    </row>
    <row r="862" spans="1:10" ht="19.5" customHeight="1" x14ac:dyDescent="0.35">
      <c r="A862" s="29" t="s">
        <v>896</v>
      </c>
      <c r="B862" s="29" t="s">
        <v>2284</v>
      </c>
      <c r="C862" s="29" t="s">
        <v>1077</v>
      </c>
      <c r="D862" s="30">
        <v>1</v>
      </c>
      <c r="E862" s="29" t="s">
        <v>2285</v>
      </c>
      <c r="F862" s="29" t="s">
        <v>1885</v>
      </c>
      <c r="G862" s="29" t="s">
        <v>901</v>
      </c>
      <c r="H862" s="29" t="s">
        <v>902</v>
      </c>
      <c r="I862" s="29" t="s">
        <v>656</v>
      </c>
      <c r="J862" s="29" t="s">
        <v>2286</v>
      </c>
    </row>
    <row r="863" spans="1:10" ht="19.5" customHeight="1" x14ac:dyDescent="0.35">
      <c r="A863" s="29" t="s">
        <v>896</v>
      </c>
      <c r="B863" s="29" t="s">
        <v>2287</v>
      </c>
      <c r="C863" s="29" t="s">
        <v>1659</v>
      </c>
      <c r="D863" s="30">
        <v>1</v>
      </c>
      <c r="E863" s="29" t="s">
        <v>2288</v>
      </c>
      <c r="F863" s="29" t="s">
        <v>1885</v>
      </c>
      <c r="G863" s="29" t="s">
        <v>901</v>
      </c>
      <c r="H863" s="29" t="s">
        <v>902</v>
      </c>
      <c r="I863" s="29" t="s">
        <v>656</v>
      </c>
      <c r="J863" s="29" t="s">
        <v>2289</v>
      </c>
    </row>
    <row r="864" spans="1:10" ht="19.5" customHeight="1" x14ac:dyDescent="0.35">
      <c r="A864" s="29" t="s">
        <v>896</v>
      </c>
      <c r="B864" s="29" t="s">
        <v>2290</v>
      </c>
      <c r="C864" s="29" t="s">
        <v>913</v>
      </c>
      <c r="D864" s="30">
        <v>1</v>
      </c>
      <c r="E864" s="29" t="s">
        <v>2291</v>
      </c>
      <c r="F864" s="29" t="s">
        <v>1885</v>
      </c>
      <c r="G864" s="29" t="s">
        <v>901</v>
      </c>
      <c r="H864" s="29" t="s">
        <v>902</v>
      </c>
      <c r="I864" s="29" t="s">
        <v>656</v>
      </c>
      <c r="J864" s="29" t="s">
        <v>2292</v>
      </c>
    </row>
    <row r="865" spans="1:10" ht="19.5" customHeight="1" x14ac:dyDescent="0.35">
      <c r="A865" s="29" t="s">
        <v>896</v>
      </c>
      <c r="B865" s="29" t="s">
        <v>2293</v>
      </c>
      <c r="C865" s="29" t="s">
        <v>1240</v>
      </c>
      <c r="D865" s="30">
        <v>1</v>
      </c>
      <c r="E865" s="29" t="s">
        <v>2294</v>
      </c>
      <c r="F865" s="29" t="s">
        <v>1885</v>
      </c>
      <c r="G865" s="29" t="s">
        <v>901</v>
      </c>
      <c r="H865" s="29" t="s">
        <v>902</v>
      </c>
      <c r="I865" s="29" t="s">
        <v>656</v>
      </c>
      <c r="J865" s="29" t="s">
        <v>2295</v>
      </c>
    </row>
    <row r="866" spans="1:10" ht="19.5" customHeight="1" x14ac:dyDescent="0.35">
      <c r="A866" s="29" t="s">
        <v>896</v>
      </c>
      <c r="B866" s="29" t="s">
        <v>2296</v>
      </c>
      <c r="C866" s="29" t="s">
        <v>1077</v>
      </c>
      <c r="D866" s="30">
        <v>1</v>
      </c>
      <c r="E866" s="29" t="s">
        <v>2297</v>
      </c>
      <c r="F866" s="29" t="s">
        <v>1885</v>
      </c>
      <c r="G866" s="29" t="s">
        <v>901</v>
      </c>
      <c r="H866" s="29" t="s">
        <v>902</v>
      </c>
      <c r="I866" s="29" t="s">
        <v>656</v>
      </c>
      <c r="J866" s="29" t="s">
        <v>2298</v>
      </c>
    </row>
    <row r="867" spans="1:10" ht="19.5" customHeight="1" x14ac:dyDescent="0.35">
      <c r="A867" s="29" t="s">
        <v>896</v>
      </c>
      <c r="B867" s="29" t="s">
        <v>2299</v>
      </c>
      <c r="C867" s="29" t="s">
        <v>942</v>
      </c>
      <c r="D867" s="30">
        <v>1</v>
      </c>
      <c r="E867" s="29" t="s">
        <v>2300</v>
      </c>
      <c r="F867" s="29" t="s">
        <v>1885</v>
      </c>
      <c r="G867" s="29" t="s">
        <v>901</v>
      </c>
      <c r="H867" s="29" t="s">
        <v>902</v>
      </c>
      <c r="I867" s="29" t="s">
        <v>656</v>
      </c>
      <c r="J867" s="29" t="s">
        <v>2301</v>
      </c>
    </row>
    <row r="868" spans="1:10" ht="19.5" customHeight="1" x14ac:dyDescent="0.35">
      <c r="A868" s="29" t="s">
        <v>896</v>
      </c>
      <c r="B868" s="29" t="s">
        <v>2302</v>
      </c>
      <c r="C868" s="29" t="s">
        <v>1697</v>
      </c>
      <c r="D868" s="30">
        <v>1</v>
      </c>
      <c r="E868" s="29" t="s">
        <v>2303</v>
      </c>
      <c r="F868" s="29" t="s">
        <v>1885</v>
      </c>
      <c r="G868" s="29" t="s">
        <v>901</v>
      </c>
      <c r="H868" s="29" t="s">
        <v>902</v>
      </c>
      <c r="I868" s="29" t="s">
        <v>656</v>
      </c>
      <c r="J868" s="29" t="s">
        <v>2304</v>
      </c>
    </row>
    <row r="869" spans="1:10" ht="19.5" customHeight="1" x14ac:dyDescent="0.35">
      <c r="A869" s="29" t="s">
        <v>896</v>
      </c>
      <c r="B869" s="29" t="s">
        <v>2305</v>
      </c>
      <c r="C869" s="29" t="s">
        <v>1077</v>
      </c>
      <c r="D869" s="30">
        <v>1</v>
      </c>
      <c r="E869" s="29" t="s">
        <v>2306</v>
      </c>
      <c r="F869" s="29" t="s">
        <v>1885</v>
      </c>
      <c r="G869" s="29" t="s">
        <v>901</v>
      </c>
      <c r="H869" s="29" t="s">
        <v>902</v>
      </c>
      <c r="I869" s="29" t="s">
        <v>656</v>
      </c>
      <c r="J869" s="29" t="s">
        <v>2307</v>
      </c>
    </row>
    <row r="870" spans="1:10" ht="19.5" customHeight="1" x14ac:dyDescent="0.35">
      <c r="A870" s="29" t="s">
        <v>896</v>
      </c>
      <c r="B870" s="29" t="s">
        <v>2308</v>
      </c>
      <c r="C870" s="29" t="s">
        <v>989</v>
      </c>
      <c r="D870" s="30">
        <v>1</v>
      </c>
      <c r="E870" s="29" t="s">
        <v>2309</v>
      </c>
      <c r="F870" s="29" t="s">
        <v>1885</v>
      </c>
      <c r="G870" s="29" t="s">
        <v>901</v>
      </c>
      <c r="H870" s="29" t="s">
        <v>902</v>
      </c>
      <c r="I870" s="29" t="s">
        <v>656</v>
      </c>
      <c r="J870" s="29" t="s">
        <v>2310</v>
      </c>
    </row>
    <row r="871" spans="1:10" ht="19.5" customHeight="1" x14ac:dyDescent="0.35">
      <c r="A871" s="29" t="s">
        <v>896</v>
      </c>
      <c r="B871" s="29" t="s">
        <v>2311</v>
      </c>
      <c r="C871" s="29" t="s">
        <v>959</v>
      </c>
      <c r="D871" s="30">
        <v>1</v>
      </c>
      <c r="E871" s="29" t="s">
        <v>2312</v>
      </c>
      <c r="F871" s="29" t="s">
        <v>1885</v>
      </c>
      <c r="G871" s="29" t="s">
        <v>901</v>
      </c>
      <c r="H871" s="29" t="s">
        <v>902</v>
      </c>
      <c r="I871" s="29" t="s">
        <v>656</v>
      </c>
      <c r="J871" s="29" t="s">
        <v>2313</v>
      </c>
    </row>
    <row r="872" spans="1:10" ht="19.5" customHeight="1" x14ac:dyDescent="0.35">
      <c r="A872" s="29" t="s">
        <v>896</v>
      </c>
      <c r="B872" s="29" t="s">
        <v>2314</v>
      </c>
      <c r="C872" s="29" t="s">
        <v>1582</v>
      </c>
      <c r="D872" s="30">
        <v>1</v>
      </c>
      <c r="E872" s="29" t="s">
        <v>2315</v>
      </c>
      <c r="F872" s="29" t="s">
        <v>1885</v>
      </c>
      <c r="G872" s="29" t="s">
        <v>901</v>
      </c>
      <c r="H872" s="29" t="s">
        <v>902</v>
      </c>
      <c r="I872" s="29" t="s">
        <v>656</v>
      </c>
      <c r="J872" s="29" t="s">
        <v>2316</v>
      </c>
    </row>
    <row r="873" spans="1:10" ht="19.5" customHeight="1" x14ac:dyDescent="0.35">
      <c r="A873" s="29" t="s">
        <v>896</v>
      </c>
      <c r="B873" s="29" t="s">
        <v>2317</v>
      </c>
      <c r="C873" s="29" t="s">
        <v>963</v>
      </c>
      <c r="D873" s="30">
        <v>1</v>
      </c>
      <c r="E873" s="29" t="s">
        <v>2318</v>
      </c>
      <c r="F873" s="29" t="s">
        <v>1885</v>
      </c>
      <c r="G873" s="29" t="s">
        <v>901</v>
      </c>
      <c r="H873" s="29" t="s">
        <v>902</v>
      </c>
      <c r="I873" s="29" t="s">
        <v>656</v>
      </c>
      <c r="J873" s="29" t="s">
        <v>2319</v>
      </c>
    </row>
    <row r="874" spans="1:10" ht="19.5" customHeight="1" x14ac:dyDescent="0.35">
      <c r="A874" s="29" t="s">
        <v>896</v>
      </c>
      <c r="B874" s="29" t="s">
        <v>2320</v>
      </c>
      <c r="C874" s="29" t="s">
        <v>1768</v>
      </c>
      <c r="D874" s="30">
        <v>1</v>
      </c>
      <c r="E874" s="29" t="s">
        <v>2321</v>
      </c>
      <c r="F874" s="29" t="s">
        <v>1885</v>
      </c>
      <c r="G874" s="29" t="s">
        <v>901</v>
      </c>
      <c r="H874" s="29" t="s">
        <v>902</v>
      </c>
      <c r="I874" s="29" t="s">
        <v>656</v>
      </c>
      <c r="J874" s="29" t="s">
        <v>2322</v>
      </c>
    </row>
    <row r="875" spans="1:10" ht="19.5" customHeight="1" x14ac:dyDescent="0.35">
      <c r="A875" s="29" t="s">
        <v>896</v>
      </c>
      <c r="B875" s="29" t="s">
        <v>2323</v>
      </c>
      <c r="C875" s="29" t="s">
        <v>1009</v>
      </c>
      <c r="D875" s="30">
        <v>1</v>
      </c>
      <c r="E875" s="29" t="s">
        <v>2324</v>
      </c>
      <c r="F875" s="29" t="s">
        <v>1885</v>
      </c>
      <c r="G875" s="29" t="s">
        <v>901</v>
      </c>
      <c r="H875" s="29" t="s">
        <v>902</v>
      </c>
      <c r="I875" s="29" t="s">
        <v>656</v>
      </c>
      <c r="J875" s="29" t="s">
        <v>2325</v>
      </c>
    </row>
    <row r="876" spans="1:10" ht="19.5" customHeight="1" x14ac:dyDescent="0.35">
      <c r="A876" s="29" t="s">
        <v>896</v>
      </c>
      <c r="B876" s="29" t="s">
        <v>2326</v>
      </c>
      <c r="C876" s="29" t="s">
        <v>921</v>
      </c>
      <c r="D876" s="30">
        <v>1</v>
      </c>
      <c r="E876" s="29" t="s">
        <v>2327</v>
      </c>
      <c r="F876" s="29" t="s">
        <v>1885</v>
      </c>
      <c r="G876" s="29" t="s">
        <v>901</v>
      </c>
      <c r="H876" s="29" t="s">
        <v>902</v>
      </c>
      <c r="I876" s="29" t="s">
        <v>656</v>
      </c>
      <c r="J876" s="29" t="s">
        <v>2328</v>
      </c>
    </row>
    <row r="877" spans="1:10" ht="19.5" customHeight="1" x14ac:dyDescent="0.35">
      <c r="A877" s="29" t="s">
        <v>896</v>
      </c>
      <c r="B877" s="29" t="s">
        <v>2329</v>
      </c>
      <c r="C877" s="29" t="s">
        <v>1697</v>
      </c>
      <c r="D877" s="30">
        <v>1</v>
      </c>
      <c r="E877" s="29" t="s">
        <v>2330</v>
      </c>
      <c r="F877" s="29" t="s">
        <v>1885</v>
      </c>
      <c r="G877" s="29" t="s">
        <v>901</v>
      </c>
      <c r="H877" s="29" t="s">
        <v>902</v>
      </c>
      <c r="I877" s="29" t="s">
        <v>656</v>
      </c>
      <c r="J877" s="29" t="s">
        <v>2331</v>
      </c>
    </row>
    <row r="878" spans="1:10" ht="19.5" customHeight="1" x14ac:dyDescent="0.35">
      <c r="A878" s="23" t="s">
        <v>896</v>
      </c>
      <c r="B878" s="23" t="s">
        <v>2332</v>
      </c>
      <c r="C878" s="23" t="s">
        <v>1240</v>
      </c>
      <c r="D878" s="24">
        <v>1</v>
      </c>
      <c r="E878" s="23" t="s">
        <v>2333</v>
      </c>
      <c r="F878" s="23" t="s">
        <v>1442</v>
      </c>
      <c r="G878" s="23" t="s">
        <v>901</v>
      </c>
      <c r="H878" s="23" t="s">
        <v>902</v>
      </c>
      <c r="I878" s="23" t="s">
        <v>656</v>
      </c>
      <c r="J878" s="23" t="s">
        <v>2334</v>
      </c>
    </row>
    <row r="879" spans="1:10" ht="19.5" customHeight="1" x14ac:dyDescent="0.35">
      <c r="A879" s="29" t="s">
        <v>896</v>
      </c>
      <c r="B879" s="29" t="s">
        <v>2335</v>
      </c>
      <c r="C879" s="29" t="s">
        <v>989</v>
      </c>
      <c r="D879" s="30">
        <v>1</v>
      </c>
      <c r="E879" s="29" t="s">
        <v>2330</v>
      </c>
      <c r="F879" s="29" t="s">
        <v>1885</v>
      </c>
      <c r="G879" s="29" t="s">
        <v>901</v>
      </c>
      <c r="H879" s="29" t="s">
        <v>902</v>
      </c>
      <c r="I879" s="29" t="s">
        <v>656</v>
      </c>
      <c r="J879" s="29" t="s">
        <v>2336</v>
      </c>
    </row>
    <row r="880" spans="1:10" ht="19.5" customHeight="1" x14ac:dyDescent="0.35">
      <c r="A880" s="29" t="s">
        <v>896</v>
      </c>
      <c r="B880" s="29" t="s">
        <v>2337</v>
      </c>
      <c r="C880" s="29" t="s">
        <v>1009</v>
      </c>
      <c r="D880" s="30">
        <v>1</v>
      </c>
      <c r="E880" s="29" t="s">
        <v>2338</v>
      </c>
      <c r="F880" s="29" t="s">
        <v>1885</v>
      </c>
      <c r="G880" s="29" t="s">
        <v>901</v>
      </c>
      <c r="H880" s="29" t="s">
        <v>902</v>
      </c>
      <c r="I880" s="29" t="s">
        <v>656</v>
      </c>
      <c r="J880" s="29" t="s">
        <v>2339</v>
      </c>
    </row>
    <row r="881" spans="1:10" ht="19.5" customHeight="1" x14ac:dyDescent="0.35">
      <c r="A881" s="29" t="s">
        <v>896</v>
      </c>
      <c r="B881" s="29" t="s">
        <v>2340</v>
      </c>
      <c r="C881" s="29" t="s">
        <v>1077</v>
      </c>
      <c r="D881" s="30">
        <v>1</v>
      </c>
      <c r="E881" s="29" t="s">
        <v>2341</v>
      </c>
      <c r="F881" s="29" t="s">
        <v>1885</v>
      </c>
      <c r="G881" s="29" t="s">
        <v>901</v>
      </c>
      <c r="H881" s="29" t="s">
        <v>902</v>
      </c>
      <c r="I881" s="29" t="s">
        <v>656</v>
      </c>
      <c r="J881" s="29" t="s">
        <v>2342</v>
      </c>
    </row>
    <row r="882" spans="1:10" ht="19.5" customHeight="1" x14ac:dyDescent="0.35">
      <c r="A882" s="29" t="s">
        <v>896</v>
      </c>
      <c r="B882" s="29" t="s">
        <v>2343</v>
      </c>
      <c r="C882" s="29" t="s">
        <v>1077</v>
      </c>
      <c r="D882" s="30">
        <v>1</v>
      </c>
      <c r="E882" s="29" t="s">
        <v>2344</v>
      </c>
      <c r="F882" s="29" t="s">
        <v>1885</v>
      </c>
      <c r="G882" s="29" t="s">
        <v>901</v>
      </c>
      <c r="H882" s="29" t="s">
        <v>902</v>
      </c>
      <c r="I882" s="29" t="s">
        <v>656</v>
      </c>
      <c r="J882" s="29" t="s">
        <v>2345</v>
      </c>
    </row>
    <row r="883" spans="1:10" ht="19.5" customHeight="1" x14ac:dyDescent="0.35">
      <c r="A883" s="29" t="s">
        <v>896</v>
      </c>
      <c r="B883" s="29" t="s">
        <v>2346</v>
      </c>
      <c r="C883" s="29" t="s">
        <v>921</v>
      </c>
      <c r="D883" s="30">
        <v>1</v>
      </c>
      <c r="E883" s="29" t="s">
        <v>2347</v>
      </c>
      <c r="F883" s="29" t="s">
        <v>1885</v>
      </c>
      <c r="G883" s="29" t="s">
        <v>901</v>
      </c>
      <c r="H883" s="29" t="s">
        <v>902</v>
      </c>
      <c r="I883" s="29" t="s">
        <v>656</v>
      </c>
      <c r="J883" s="29" t="s">
        <v>2348</v>
      </c>
    </row>
    <row r="884" spans="1:10" ht="19.5" customHeight="1" x14ac:dyDescent="0.35">
      <c r="A884" s="29" t="s">
        <v>896</v>
      </c>
      <c r="B884" s="29" t="s">
        <v>2349</v>
      </c>
      <c r="C884" s="29" t="s">
        <v>963</v>
      </c>
      <c r="D884" s="30">
        <v>1</v>
      </c>
      <c r="E884" s="29" t="s">
        <v>2347</v>
      </c>
      <c r="F884" s="29" t="s">
        <v>1885</v>
      </c>
      <c r="G884" s="29" t="s">
        <v>901</v>
      </c>
      <c r="H884" s="29" t="s">
        <v>902</v>
      </c>
      <c r="I884" s="29" t="s">
        <v>656</v>
      </c>
      <c r="J884" s="29" t="s">
        <v>2350</v>
      </c>
    </row>
    <row r="885" spans="1:10" ht="19.5" customHeight="1" x14ac:dyDescent="0.35">
      <c r="A885" s="29" t="s">
        <v>896</v>
      </c>
      <c r="B885" s="29" t="s">
        <v>2351</v>
      </c>
      <c r="C885" s="29" t="s">
        <v>1077</v>
      </c>
      <c r="D885" s="30">
        <v>1</v>
      </c>
      <c r="E885" s="29" t="s">
        <v>2347</v>
      </c>
      <c r="F885" s="29" t="s">
        <v>1885</v>
      </c>
      <c r="G885" s="29" t="s">
        <v>901</v>
      </c>
      <c r="H885" s="29" t="s">
        <v>902</v>
      </c>
      <c r="I885" s="29" t="s">
        <v>656</v>
      </c>
      <c r="J885" s="29" t="s">
        <v>2352</v>
      </c>
    </row>
    <row r="886" spans="1:10" ht="19.5" customHeight="1" x14ac:dyDescent="0.35">
      <c r="A886" s="29" t="s">
        <v>896</v>
      </c>
      <c r="B886" s="29" t="s">
        <v>2353</v>
      </c>
      <c r="C886" s="29" t="s">
        <v>1122</v>
      </c>
      <c r="D886" s="30">
        <v>1</v>
      </c>
      <c r="E886" s="29" t="s">
        <v>2354</v>
      </c>
      <c r="F886" s="29" t="s">
        <v>1885</v>
      </c>
      <c r="G886" s="29" t="s">
        <v>901</v>
      </c>
      <c r="H886" s="29" t="s">
        <v>902</v>
      </c>
      <c r="I886" s="29" t="s">
        <v>656</v>
      </c>
      <c r="J886" s="29" t="s">
        <v>2355</v>
      </c>
    </row>
    <row r="887" spans="1:10" ht="19.5" customHeight="1" x14ac:dyDescent="0.35">
      <c r="A887" s="29" t="s">
        <v>896</v>
      </c>
      <c r="B887" s="29" t="s">
        <v>2356</v>
      </c>
      <c r="C887" s="29" t="s">
        <v>1118</v>
      </c>
      <c r="D887" s="30">
        <v>1</v>
      </c>
      <c r="E887" s="29" t="s">
        <v>2357</v>
      </c>
      <c r="F887" s="29" t="s">
        <v>1885</v>
      </c>
      <c r="G887" s="29" t="s">
        <v>901</v>
      </c>
      <c r="H887" s="29" t="s">
        <v>902</v>
      </c>
      <c r="I887" s="29" t="s">
        <v>656</v>
      </c>
      <c r="J887" s="29" t="s">
        <v>2358</v>
      </c>
    </row>
    <row r="888" spans="1:10" ht="19.5" customHeight="1" x14ac:dyDescent="0.35">
      <c r="A888" s="29" t="s">
        <v>896</v>
      </c>
      <c r="B888" s="29" t="s">
        <v>2359</v>
      </c>
      <c r="C888" s="29" t="s">
        <v>1070</v>
      </c>
      <c r="D888" s="30">
        <v>1</v>
      </c>
      <c r="E888" s="29" t="s">
        <v>2360</v>
      </c>
      <c r="F888" s="29" t="s">
        <v>1885</v>
      </c>
      <c r="G888" s="29" t="s">
        <v>901</v>
      </c>
      <c r="H888" s="29" t="s">
        <v>902</v>
      </c>
      <c r="I888" s="29" t="s">
        <v>656</v>
      </c>
      <c r="J888" s="29" t="s">
        <v>2361</v>
      </c>
    </row>
    <row r="889" spans="1:10" ht="19.5" customHeight="1" x14ac:dyDescent="0.35">
      <c r="A889" s="29" t="s">
        <v>896</v>
      </c>
      <c r="B889" s="29" t="s">
        <v>2362</v>
      </c>
      <c r="C889" s="29" t="s">
        <v>1817</v>
      </c>
      <c r="D889" s="30">
        <v>1</v>
      </c>
      <c r="E889" s="29" t="s">
        <v>2363</v>
      </c>
      <c r="F889" s="29" t="s">
        <v>1885</v>
      </c>
      <c r="G889" s="29" t="s">
        <v>901</v>
      </c>
      <c r="H889" s="29" t="s">
        <v>902</v>
      </c>
      <c r="I889" s="29" t="s">
        <v>656</v>
      </c>
      <c r="J889" s="29" t="s">
        <v>2364</v>
      </c>
    </row>
    <row r="890" spans="1:10" ht="19.5" customHeight="1" x14ac:dyDescent="0.35">
      <c r="A890" s="29" t="s">
        <v>896</v>
      </c>
      <c r="B890" s="29" t="s">
        <v>2365</v>
      </c>
      <c r="C890" s="29" t="s">
        <v>1070</v>
      </c>
      <c r="D890" s="30">
        <v>1</v>
      </c>
      <c r="E890" s="29" t="s">
        <v>2366</v>
      </c>
      <c r="F890" s="29" t="s">
        <v>1885</v>
      </c>
      <c r="G890" s="29" t="s">
        <v>901</v>
      </c>
      <c r="H890" s="29" t="s">
        <v>902</v>
      </c>
      <c r="I890" s="29" t="s">
        <v>656</v>
      </c>
      <c r="J890" s="29" t="s">
        <v>2367</v>
      </c>
    </row>
    <row r="891" spans="1:10" ht="19.5" customHeight="1" x14ac:dyDescent="0.35">
      <c r="A891" s="29" t="s">
        <v>896</v>
      </c>
      <c r="B891" s="29" t="s">
        <v>2368</v>
      </c>
      <c r="C891" s="29" t="s">
        <v>921</v>
      </c>
      <c r="D891" s="30">
        <v>1</v>
      </c>
      <c r="E891" s="29" t="s">
        <v>2369</v>
      </c>
      <c r="F891" s="29" t="s">
        <v>1885</v>
      </c>
      <c r="G891" s="29" t="s">
        <v>901</v>
      </c>
      <c r="H891" s="29" t="s">
        <v>902</v>
      </c>
      <c r="I891" s="29" t="s">
        <v>656</v>
      </c>
      <c r="J891" s="29" t="s">
        <v>2370</v>
      </c>
    </row>
    <row r="892" spans="1:10" ht="19.5" customHeight="1" x14ac:dyDescent="0.35">
      <c r="A892" s="29" t="s">
        <v>896</v>
      </c>
      <c r="B892" s="29" t="s">
        <v>2371</v>
      </c>
      <c r="C892" s="29" t="s">
        <v>1070</v>
      </c>
      <c r="D892" s="30">
        <v>1</v>
      </c>
      <c r="E892" s="29" t="s">
        <v>2372</v>
      </c>
      <c r="F892" s="29" t="s">
        <v>1885</v>
      </c>
      <c r="G892" s="29" t="s">
        <v>901</v>
      </c>
      <c r="H892" s="29" t="s">
        <v>902</v>
      </c>
      <c r="I892" s="29" t="s">
        <v>656</v>
      </c>
      <c r="J892" s="29" t="s">
        <v>2373</v>
      </c>
    </row>
    <row r="893" spans="1:10" ht="19.5" customHeight="1" x14ac:dyDescent="0.35">
      <c r="A893" s="29" t="s">
        <v>896</v>
      </c>
      <c r="B893" s="29" t="s">
        <v>2374</v>
      </c>
      <c r="C893" s="29" t="s">
        <v>921</v>
      </c>
      <c r="D893" s="30">
        <v>1</v>
      </c>
      <c r="E893" s="29" t="s">
        <v>2375</v>
      </c>
      <c r="F893" s="29" t="s">
        <v>1885</v>
      </c>
      <c r="G893" s="29" t="s">
        <v>901</v>
      </c>
      <c r="H893" s="29" t="s">
        <v>902</v>
      </c>
      <c r="I893" s="29" t="s">
        <v>656</v>
      </c>
      <c r="J893" s="29" t="s">
        <v>2376</v>
      </c>
    </row>
    <row r="894" spans="1:10" ht="19.5" customHeight="1" x14ac:dyDescent="0.35">
      <c r="A894" s="29" t="s">
        <v>896</v>
      </c>
      <c r="B894" s="29" t="s">
        <v>2377</v>
      </c>
      <c r="C894" s="29" t="s">
        <v>1009</v>
      </c>
      <c r="D894" s="30">
        <v>1</v>
      </c>
      <c r="E894" s="29" t="s">
        <v>2378</v>
      </c>
      <c r="F894" s="29" t="s">
        <v>1885</v>
      </c>
      <c r="G894" s="29" t="s">
        <v>901</v>
      </c>
      <c r="H894" s="29" t="s">
        <v>902</v>
      </c>
      <c r="I894" s="29" t="s">
        <v>656</v>
      </c>
      <c r="J894" s="29" t="s">
        <v>2379</v>
      </c>
    </row>
    <row r="895" spans="1:10" ht="19.5" customHeight="1" x14ac:dyDescent="0.35">
      <c r="A895" s="29" t="s">
        <v>896</v>
      </c>
      <c r="B895" s="29" t="s">
        <v>2380</v>
      </c>
      <c r="C895" s="29" t="s">
        <v>929</v>
      </c>
      <c r="D895" s="30">
        <v>1</v>
      </c>
      <c r="E895" s="29" t="s">
        <v>2381</v>
      </c>
      <c r="F895" s="29" t="s">
        <v>1885</v>
      </c>
      <c r="G895" s="29" t="s">
        <v>901</v>
      </c>
      <c r="H895" s="29" t="s">
        <v>902</v>
      </c>
      <c r="I895" s="29" t="s">
        <v>656</v>
      </c>
      <c r="J895" s="29" t="s">
        <v>2382</v>
      </c>
    </row>
    <row r="896" spans="1:10" ht="19.5" customHeight="1" x14ac:dyDescent="0.35">
      <c r="A896" s="29" t="s">
        <v>896</v>
      </c>
      <c r="B896" s="29" t="s">
        <v>2383</v>
      </c>
      <c r="C896" s="29" t="s">
        <v>989</v>
      </c>
      <c r="D896" s="30">
        <v>1</v>
      </c>
      <c r="E896" s="29" t="s">
        <v>2384</v>
      </c>
      <c r="F896" s="29" t="s">
        <v>1885</v>
      </c>
      <c r="G896" s="29" t="s">
        <v>901</v>
      </c>
      <c r="H896" s="29" t="s">
        <v>902</v>
      </c>
      <c r="I896" s="29" t="s">
        <v>656</v>
      </c>
      <c r="J896" s="29" t="s">
        <v>2385</v>
      </c>
    </row>
    <row r="897" spans="1:10" ht="19.5" customHeight="1" x14ac:dyDescent="0.35">
      <c r="A897" s="29" t="s">
        <v>896</v>
      </c>
      <c r="B897" s="29" t="s">
        <v>2386</v>
      </c>
      <c r="C897" s="29" t="s">
        <v>1136</v>
      </c>
      <c r="D897" s="30">
        <v>1</v>
      </c>
      <c r="E897" s="29" t="s">
        <v>2387</v>
      </c>
      <c r="F897" s="29" t="s">
        <v>1885</v>
      </c>
      <c r="G897" s="29" t="s">
        <v>901</v>
      </c>
      <c r="H897" s="29" t="s">
        <v>902</v>
      </c>
      <c r="I897" s="29" t="s">
        <v>656</v>
      </c>
      <c r="J897" s="29" t="s">
        <v>2388</v>
      </c>
    </row>
    <row r="898" spans="1:10" ht="19.5" customHeight="1" x14ac:dyDescent="0.35">
      <c r="A898" s="29" t="s">
        <v>896</v>
      </c>
      <c r="B898" s="29" t="s">
        <v>2389</v>
      </c>
      <c r="C898" s="29" t="s">
        <v>1118</v>
      </c>
      <c r="D898" s="30">
        <v>1</v>
      </c>
      <c r="E898" s="29" t="s">
        <v>2390</v>
      </c>
      <c r="F898" s="29" t="s">
        <v>1885</v>
      </c>
      <c r="G898" s="29" t="s">
        <v>901</v>
      </c>
      <c r="H898" s="29" t="s">
        <v>902</v>
      </c>
      <c r="I898" s="29" t="s">
        <v>656</v>
      </c>
      <c r="J898" s="29" t="s">
        <v>2391</v>
      </c>
    </row>
    <row r="899" spans="1:10" ht="19.5" customHeight="1" x14ac:dyDescent="0.35">
      <c r="A899" s="23" t="s">
        <v>896</v>
      </c>
      <c r="B899" s="23" t="s">
        <v>2392</v>
      </c>
      <c r="C899" s="23" t="s">
        <v>1136</v>
      </c>
      <c r="D899" s="24">
        <v>1</v>
      </c>
      <c r="E899" s="23" t="s">
        <v>2393</v>
      </c>
      <c r="F899" s="23" t="s">
        <v>1442</v>
      </c>
      <c r="G899" s="23" t="s">
        <v>901</v>
      </c>
      <c r="H899" s="23" t="s">
        <v>902</v>
      </c>
      <c r="I899" s="23" t="s">
        <v>656</v>
      </c>
      <c r="J899" s="23" t="s">
        <v>2394</v>
      </c>
    </row>
    <row r="900" spans="1:10" ht="19.5" customHeight="1" x14ac:dyDescent="0.35">
      <c r="A900" s="29" t="s">
        <v>896</v>
      </c>
      <c r="B900" s="29" t="s">
        <v>2395</v>
      </c>
      <c r="C900" s="29" t="s">
        <v>989</v>
      </c>
      <c r="D900" s="30">
        <v>1</v>
      </c>
      <c r="E900" s="29" t="s">
        <v>2396</v>
      </c>
      <c r="F900" s="29" t="s">
        <v>1885</v>
      </c>
      <c r="G900" s="29" t="s">
        <v>901</v>
      </c>
      <c r="H900" s="29" t="s">
        <v>902</v>
      </c>
      <c r="I900" s="29" t="s">
        <v>656</v>
      </c>
      <c r="J900" s="29" t="s">
        <v>2397</v>
      </c>
    </row>
    <row r="901" spans="1:10" ht="19.5" customHeight="1" x14ac:dyDescent="0.35">
      <c r="A901" s="29" t="s">
        <v>896</v>
      </c>
      <c r="B901" s="29" t="s">
        <v>2398</v>
      </c>
      <c r="C901" s="29" t="s">
        <v>1077</v>
      </c>
      <c r="D901" s="30">
        <v>1</v>
      </c>
      <c r="E901" s="29" t="s">
        <v>2399</v>
      </c>
      <c r="F901" s="29" t="s">
        <v>1885</v>
      </c>
      <c r="G901" s="29" t="s">
        <v>901</v>
      </c>
      <c r="H901" s="29" t="s">
        <v>902</v>
      </c>
      <c r="I901" s="29" t="s">
        <v>656</v>
      </c>
      <c r="J901" s="29" t="s">
        <v>2400</v>
      </c>
    </row>
    <row r="902" spans="1:10" ht="19.5" customHeight="1" x14ac:dyDescent="0.35">
      <c r="A902" s="29" t="s">
        <v>896</v>
      </c>
      <c r="B902" s="29" t="s">
        <v>2401</v>
      </c>
      <c r="C902" s="29" t="s">
        <v>921</v>
      </c>
      <c r="D902" s="30">
        <v>1</v>
      </c>
      <c r="E902" s="29" t="s">
        <v>2396</v>
      </c>
      <c r="F902" s="29" t="s">
        <v>1885</v>
      </c>
      <c r="G902" s="29" t="s">
        <v>901</v>
      </c>
      <c r="H902" s="29" t="s">
        <v>902</v>
      </c>
      <c r="I902" s="29" t="s">
        <v>656</v>
      </c>
      <c r="J902" s="29" t="s">
        <v>2402</v>
      </c>
    </row>
    <row r="903" spans="1:10" ht="19.5" customHeight="1" x14ac:dyDescent="0.35">
      <c r="A903" s="29" t="s">
        <v>896</v>
      </c>
      <c r="B903" s="29" t="s">
        <v>2403</v>
      </c>
      <c r="C903" s="29" t="s">
        <v>1817</v>
      </c>
      <c r="D903" s="30">
        <v>1</v>
      </c>
      <c r="E903" s="29" t="s">
        <v>2404</v>
      </c>
      <c r="F903" s="29" t="s">
        <v>1885</v>
      </c>
      <c r="G903" s="29" t="s">
        <v>901</v>
      </c>
      <c r="H903" s="29" t="s">
        <v>902</v>
      </c>
      <c r="I903" s="29" t="s">
        <v>656</v>
      </c>
      <c r="J903" s="29" t="s">
        <v>2405</v>
      </c>
    </row>
    <row r="904" spans="1:10" ht="19.5" customHeight="1" x14ac:dyDescent="0.35">
      <c r="A904" s="29" t="s">
        <v>896</v>
      </c>
      <c r="B904" s="29" t="s">
        <v>2406</v>
      </c>
      <c r="C904" s="29" t="s">
        <v>1118</v>
      </c>
      <c r="D904" s="30">
        <v>1</v>
      </c>
      <c r="E904" s="29" t="s">
        <v>2404</v>
      </c>
      <c r="F904" s="29" t="s">
        <v>1885</v>
      </c>
      <c r="G904" s="29" t="s">
        <v>901</v>
      </c>
      <c r="H904" s="29" t="s">
        <v>902</v>
      </c>
      <c r="I904" s="29" t="s">
        <v>656</v>
      </c>
      <c r="J904" s="29" t="s">
        <v>2407</v>
      </c>
    </row>
    <row r="905" spans="1:10" ht="19.5" customHeight="1" x14ac:dyDescent="0.35">
      <c r="A905" s="29" t="s">
        <v>896</v>
      </c>
      <c r="B905" s="29" t="s">
        <v>2408</v>
      </c>
      <c r="C905" s="29" t="s">
        <v>921</v>
      </c>
      <c r="D905" s="30">
        <v>1</v>
      </c>
      <c r="E905" s="29" t="s">
        <v>2409</v>
      </c>
      <c r="F905" s="29" t="s">
        <v>1885</v>
      </c>
      <c r="G905" s="29" t="s">
        <v>901</v>
      </c>
      <c r="H905" s="29" t="s">
        <v>902</v>
      </c>
      <c r="I905" s="29" t="s">
        <v>656</v>
      </c>
      <c r="J905" s="29" t="s">
        <v>2410</v>
      </c>
    </row>
    <row r="906" spans="1:10" ht="19.5" customHeight="1" x14ac:dyDescent="0.35">
      <c r="A906" s="29" t="s">
        <v>896</v>
      </c>
      <c r="B906" s="29" t="s">
        <v>2411</v>
      </c>
      <c r="C906" s="29" t="s">
        <v>1070</v>
      </c>
      <c r="D906" s="30">
        <v>1</v>
      </c>
      <c r="E906" s="29" t="s">
        <v>2412</v>
      </c>
      <c r="F906" s="29" t="s">
        <v>1885</v>
      </c>
      <c r="G906" s="29" t="s">
        <v>901</v>
      </c>
      <c r="H906" s="29" t="s">
        <v>902</v>
      </c>
      <c r="I906" s="29" t="s">
        <v>656</v>
      </c>
      <c r="J906" s="29" t="s">
        <v>2397</v>
      </c>
    </row>
    <row r="907" spans="1:10" ht="19.5" customHeight="1" x14ac:dyDescent="0.35">
      <c r="A907" s="29" t="s">
        <v>896</v>
      </c>
      <c r="B907" s="29" t="s">
        <v>2413</v>
      </c>
      <c r="C907" s="29" t="s">
        <v>1077</v>
      </c>
      <c r="D907" s="30">
        <v>1</v>
      </c>
      <c r="E907" s="29" t="s">
        <v>2414</v>
      </c>
      <c r="F907" s="29" t="s">
        <v>1885</v>
      </c>
      <c r="G907" s="29" t="s">
        <v>901</v>
      </c>
      <c r="H907" s="29" t="s">
        <v>902</v>
      </c>
      <c r="I907" s="29" t="s">
        <v>656</v>
      </c>
      <c r="J907" s="29" t="s">
        <v>2415</v>
      </c>
    </row>
    <row r="908" spans="1:10" ht="19.5" customHeight="1" x14ac:dyDescent="0.35">
      <c r="A908" s="29" t="s">
        <v>896</v>
      </c>
      <c r="B908" s="29" t="s">
        <v>2416</v>
      </c>
      <c r="C908" s="29" t="s">
        <v>1690</v>
      </c>
      <c r="D908" s="30">
        <v>1</v>
      </c>
      <c r="E908" s="29" t="s">
        <v>2417</v>
      </c>
      <c r="F908" s="29" t="s">
        <v>1885</v>
      </c>
      <c r="G908" s="29" t="s">
        <v>901</v>
      </c>
      <c r="H908" s="29" t="s">
        <v>902</v>
      </c>
      <c r="I908" s="29" t="s">
        <v>656</v>
      </c>
      <c r="J908" s="29" t="s">
        <v>2418</v>
      </c>
    </row>
    <row r="909" spans="1:10" ht="19.5" customHeight="1" x14ac:dyDescent="0.35">
      <c r="A909" s="29" t="s">
        <v>896</v>
      </c>
      <c r="B909" s="29" t="s">
        <v>2419</v>
      </c>
      <c r="C909" s="29" t="s">
        <v>1077</v>
      </c>
      <c r="D909" s="30">
        <v>1</v>
      </c>
      <c r="E909" s="29" t="s">
        <v>2420</v>
      </c>
      <c r="F909" s="29" t="s">
        <v>1885</v>
      </c>
      <c r="G909" s="29" t="s">
        <v>901</v>
      </c>
      <c r="H909" s="29" t="s">
        <v>902</v>
      </c>
      <c r="I909" s="29" t="s">
        <v>656</v>
      </c>
      <c r="J909" s="29" t="s">
        <v>2421</v>
      </c>
    </row>
    <row r="910" spans="1:10" ht="19.5" customHeight="1" x14ac:dyDescent="0.35">
      <c r="A910" s="29" t="s">
        <v>896</v>
      </c>
      <c r="B910" s="29" t="s">
        <v>2422</v>
      </c>
      <c r="C910" s="29" t="s">
        <v>898</v>
      </c>
      <c r="D910" s="30">
        <v>1</v>
      </c>
      <c r="E910" s="29" t="s">
        <v>2423</v>
      </c>
      <c r="F910" s="29" t="s">
        <v>1885</v>
      </c>
      <c r="G910" s="29" t="s">
        <v>901</v>
      </c>
      <c r="H910" s="29" t="s">
        <v>902</v>
      </c>
      <c r="I910" s="29" t="s">
        <v>656</v>
      </c>
      <c r="J910" s="29" t="s">
        <v>2424</v>
      </c>
    </row>
    <row r="911" spans="1:10" ht="19.5" customHeight="1" x14ac:dyDescent="0.35">
      <c r="A911" s="29" t="s">
        <v>896</v>
      </c>
      <c r="B911" s="29" t="s">
        <v>2425</v>
      </c>
      <c r="C911" s="29" t="s">
        <v>1659</v>
      </c>
      <c r="D911" s="30">
        <v>1</v>
      </c>
      <c r="E911" s="29" t="s">
        <v>2426</v>
      </c>
      <c r="F911" s="29" t="s">
        <v>1885</v>
      </c>
      <c r="G911" s="29" t="s">
        <v>901</v>
      </c>
      <c r="H911" s="29" t="s">
        <v>902</v>
      </c>
      <c r="I911" s="29" t="s">
        <v>656</v>
      </c>
      <c r="J911" s="29" t="s">
        <v>2427</v>
      </c>
    </row>
    <row r="912" spans="1:10" ht="19.5" customHeight="1" x14ac:dyDescent="0.35">
      <c r="A912" s="29" t="s">
        <v>896</v>
      </c>
      <c r="B912" s="29" t="s">
        <v>2428</v>
      </c>
      <c r="C912" s="29" t="s">
        <v>1101</v>
      </c>
      <c r="D912" s="30">
        <v>1</v>
      </c>
      <c r="E912" s="29" t="s">
        <v>2429</v>
      </c>
      <c r="F912" s="29" t="s">
        <v>1885</v>
      </c>
      <c r="G912" s="29" t="s">
        <v>901</v>
      </c>
      <c r="H912" s="29" t="s">
        <v>902</v>
      </c>
      <c r="I912" s="29" t="s">
        <v>656</v>
      </c>
      <c r="J912" s="29" t="s">
        <v>2430</v>
      </c>
    </row>
    <row r="913" spans="1:10" ht="19.5" customHeight="1" x14ac:dyDescent="0.35">
      <c r="A913" s="29" t="s">
        <v>896</v>
      </c>
      <c r="B913" s="29" t="s">
        <v>2431</v>
      </c>
      <c r="C913" s="29" t="s">
        <v>1157</v>
      </c>
      <c r="D913" s="30">
        <v>1</v>
      </c>
      <c r="E913" s="29" t="s">
        <v>2432</v>
      </c>
      <c r="F913" s="29" t="s">
        <v>1885</v>
      </c>
      <c r="G913" s="29" t="s">
        <v>901</v>
      </c>
      <c r="H913" s="29" t="s">
        <v>902</v>
      </c>
      <c r="I913" s="29" t="s">
        <v>656</v>
      </c>
      <c r="J913" s="29" t="s">
        <v>2433</v>
      </c>
    </row>
    <row r="914" spans="1:10" ht="19.5" customHeight="1" x14ac:dyDescent="0.35">
      <c r="A914" s="29" t="s">
        <v>896</v>
      </c>
      <c r="B914" s="29" t="s">
        <v>2434</v>
      </c>
      <c r="C914" s="29" t="s">
        <v>1077</v>
      </c>
      <c r="D914" s="30">
        <v>1</v>
      </c>
      <c r="E914" s="29" t="s">
        <v>2435</v>
      </c>
      <c r="F914" s="29" t="s">
        <v>1885</v>
      </c>
      <c r="G914" s="29" t="s">
        <v>901</v>
      </c>
      <c r="H914" s="29" t="s">
        <v>902</v>
      </c>
      <c r="I914" s="29" t="s">
        <v>656</v>
      </c>
      <c r="J914" s="29" t="s">
        <v>2436</v>
      </c>
    </row>
    <row r="915" spans="1:10" ht="19.5" customHeight="1" x14ac:dyDescent="0.35">
      <c r="A915" s="29" t="s">
        <v>896</v>
      </c>
      <c r="B915" s="29" t="s">
        <v>2437</v>
      </c>
      <c r="C915" s="29" t="s">
        <v>913</v>
      </c>
      <c r="D915" s="30">
        <v>1</v>
      </c>
      <c r="E915" s="29" t="s">
        <v>2438</v>
      </c>
      <c r="F915" s="29" t="s">
        <v>1885</v>
      </c>
      <c r="G915" s="29" t="s">
        <v>901</v>
      </c>
      <c r="H915" s="29" t="s">
        <v>902</v>
      </c>
      <c r="I915" s="29" t="s">
        <v>656</v>
      </c>
      <c r="J915" s="29" t="s">
        <v>2439</v>
      </c>
    </row>
    <row r="916" spans="1:10" ht="19.5" customHeight="1" x14ac:dyDescent="0.35">
      <c r="A916" s="29" t="s">
        <v>896</v>
      </c>
      <c r="B916" s="29" t="s">
        <v>2440</v>
      </c>
      <c r="C916" s="29" t="s">
        <v>909</v>
      </c>
      <c r="D916" s="30">
        <v>1</v>
      </c>
      <c r="E916" s="29" t="s">
        <v>2441</v>
      </c>
      <c r="F916" s="29" t="s">
        <v>1885</v>
      </c>
      <c r="G916" s="29" t="s">
        <v>901</v>
      </c>
      <c r="H916" s="29" t="s">
        <v>902</v>
      </c>
      <c r="I916" s="29" t="s">
        <v>656</v>
      </c>
      <c r="J916" s="29" t="s">
        <v>2222</v>
      </c>
    </row>
    <row r="917" spans="1:10" ht="19.5" customHeight="1" x14ac:dyDescent="0.35">
      <c r="A917" s="29" t="s">
        <v>896</v>
      </c>
      <c r="B917" s="29" t="s">
        <v>2442</v>
      </c>
      <c r="C917" s="29" t="s">
        <v>989</v>
      </c>
      <c r="D917" s="30">
        <v>1</v>
      </c>
      <c r="E917" s="29" t="s">
        <v>2441</v>
      </c>
      <c r="F917" s="29" t="s">
        <v>1885</v>
      </c>
      <c r="G917" s="29" t="s">
        <v>901</v>
      </c>
      <c r="H917" s="29" t="s">
        <v>902</v>
      </c>
      <c r="I917" s="29" t="s">
        <v>656</v>
      </c>
      <c r="J917" s="29" t="s">
        <v>2443</v>
      </c>
    </row>
    <row r="918" spans="1:10" ht="19.5" customHeight="1" x14ac:dyDescent="0.35">
      <c r="A918" s="29" t="s">
        <v>896</v>
      </c>
      <c r="B918" s="29" t="s">
        <v>2444</v>
      </c>
      <c r="C918" s="29" t="s">
        <v>1077</v>
      </c>
      <c r="D918" s="30">
        <v>1</v>
      </c>
      <c r="E918" s="29" t="s">
        <v>2445</v>
      </c>
      <c r="F918" s="29" t="s">
        <v>1885</v>
      </c>
      <c r="G918" s="29" t="s">
        <v>901</v>
      </c>
      <c r="H918" s="29" t="s">
        <v>902</v>
      </c>
      <c r="I918" s="29" t="s">
        <v>656</v>
      </c>
      <c r="J918" s="29" t="s">
        <v>2446</v>
      </c>
    </row>
    <row r="919" spans="1:10" ht="19.5" customHeight="1" x14ac:dyDescent="0.35">
      <c r="A919" s="29" t="s">
        <v>896</v>
      </c>
      <c r="B919" s="29" t="s">
        <v>2447</v>
      </c>
      <c r="C919" s="29" t="s">
        <v>1118</v>
      </c>
      <c r="D919" s="30">
        <v>1</v>
      </c>
      <c r="E919" s="29" t="s">
        <v>2448</v>
      </c>
      <c r="F919" s="29" t="s">
        <v>1885</v>
      </c>
      <c r="G919" s="29" t="s">
        <v>901</v>
      </c>
      <c r="H919" s="29" t="s">
        <v>902</v>
      </c>
      <c r="I919" s="29" t="s">
        <v>656</v>
      </c>
      <c r="J919" s="29" t="s">
        <v>2449</v>
      </c>
    </row>
    <row r="920" spans="1:10" ht="19.5" customHeight="1" x14ac:dyDescent="0.35">
      <c r="A920" s="29" t="s">
        <v>896</v>
      </c>
      <c r="B920" s="29" t="s">
        <v>2450</v>
      </c>
      <c r="C920" s="29" t="s">
        <v>1582</v>
      </c>
      <c r="D920" s="30">
        <v>1</v>
      </c>
      <c r="E920" s="29" t="s">
        <v>2451</v>
      </c>
      <c r="F920" s="29" t="s">
        <v>1885</v>
      </c>
      <c r="G920" s="29" t="s">
        <v>901</v>
      </c>
      <c r="H920" s="29" t="s">
        <v>902</v>
      </c>
      <c r="I920" s="29" t="s">
        <v>656</v>
      </c>
      <c r="J920" s="29" t="s">
        <v>2452</v>
      </c>
    </row>
    <row r="921" spans="1:10" ht="19.5" customHeight="1" x14ac:dyDescent="0.35">
      <c r="A921" s="29" t="s">
        <v>896</v>
      </c>
      <c r="B921" s="29" t="s">
        <v>2453</v>
      </c>
      <c r="C921" s="29" t="s">
        <v>1122</v>
      </c>
      <c r="D921" s="30">
        <v>1</v>
      </c>
      <c r="E921" s="29" t="s">
        <v>2454</v>
      </c>
      <c r="F921" s="29" t="s">
        <v>1885</v>
      </c>
      <c r="G921" s="29" t="s">
        <v>901</v>
      </c>
      <c r="H921" s="29" t="s">
        <v>902</v>
      </c>
      <c r="I921" s="29" t="s">
        <v>656</v>
      </c>
      <c r="J921" s="29" t="s">
        <v>2455</v>
      </c>
    </row>
    <row r="922" spans="1:10" ht="19.5" customHeight="1" x14ac:dyDescent="0.35">
      <c r="A922" s="29" t="s">
        <v>896</v>
      </c>
      <c r="B922" s="29" t="s">
        <v>2456</v>
      </c>
      <c r="C922" s="29" t="s">
        <v>1077</v>
      </c>
      <c r="D922" s="30">
        <v>1</v>
      </c>
      <c r="E922" s="29" t="s">
        <v>2457</v>
      </c>
      <c r="F922" s="29" t="s">
        <v>1885</v>
      </c>
      <c r="G922" s="29" t="s">
        <v>901</v>
      </c>
      <c r="H922" s="29" t="s">
        <v>902</v>
      </c>
      <c r="I922" s="29" t="s">
        <v>656</v>
      </c>
      <c r="J922" s="29" t="s">
        <v>2458</v>
      </c>
    </row>
    <row r="923" spans="1:10" ht="19.5" customHeight="1" x14ac:dyDescent="0.35">
      <c r="A923" s="29" t="s">
        <v>896</v>
      </c>
      <c r="B923" s="29" t="s">
        <v>2459</v>
      </c>
      <c r="C923" s="29" t="s">
        <v>921</v>
      </c>
      <c r="D923" s="30">
        <v>1</v>
      </c>
      <c r="E923" s="29" t="s">
        <v>2460</v>
      </c>
      <c r="F923" s="29" t="s">
        <v>1885</v>
      </c>
      <c r="G923" s="29" t="s">
        <v>901</v>
      </c>
      <c r="H923" s="29" t="s">
        <v>902</v>
      </c>
      <c r="I923" s="29" t="s">
        <v>656</v>
      </c>
      <c r="J923" s="29" t="s">
        <v>2461</v>
      </c>
    </row>
    <row r="924" spans="1:10" ht="19.5" customHeight="1" x14ac:dyDescent="0.35">
      <c r="A924" s="29" t="s">
        <v>896</v>
      </c>
      <c r="B924" s="29" t="s">
        <v>2462</v>
      </c>
      <c r="C924" s="29" t="s">
        <v>996</v>
      </c>
      <c r="D924" s="30">
        <v>1</v>
      </c>
      <c r="E924" s="29" t="s">
        <v>2463</v>
      </c>
      <c r="F924" s="29" t="s">
        <v>1885</v>
      </c>
      <c r="G924" s="29" t="s">
        <v>901</v>
      </c>
      <c r="H924" s="29" t="s">
        <v>902</v>
      </c>
      <c r="I924" s="29" t="s">
        <v>656</v>
      </c>
      <c r="J924" s="29" t="s">
        <v>2464</v>
      </c>
    </row>
    <row r="925" spans="1:10" ht="19.5" customHeight="1" x14ac:dyDescent="0.35">
      <c r="A925" s="29" t="s">
        <v>896</v>
      </c>
      <c r="B925" s="29" t="s">
        <v>2465</v>
      </c>
      <c r="C925" s="29" t="s">
        <v>921</v>
      </c>
      <c r="D925" s="30">
        <v>1</v>
      </c>
      <c r="E925" s="29" t="s">
        <v>2466</v>
      </c>
      <c r="F925" s="29" t="s">
        <v>1885</v>
      </c>
      <c r="G925" s="29" t="s">
        <v>901</v>
      </c>
      <c r="H925" s="29" t="s">
        <v>902</v>
      </c>
      <c r="I925" s="29" t="s">
        <v>656</v>
      </c>
      <c r="J925" s="29" t="s">
        <v>2467</v>
      </c>
    </row>
    <row r="926" spans="1:10" ht="19.5" customHeight="1" x14ac:dyDescent="0.35">
      <c r="A926" s="29" t="s">
        <v>896</v>
      </c>
      <c r="B926" s="29" t="s">
        <v>2468</v>
      </c>
      <c r="C926" s="29" t="s">
        <v>989</v>
      </c>
      <c r="D926" s="30">
        <v>1</v>
      </c>
      <c r="E926" s="29" t="s">
        <v>2466</v>
      </c>
      <c r="F926" s="29" t="s">
        <v>1885</v>
      </c>
      <c r="G926" s="29" t="s">
        <v>901</v>
      </c>
      <c r="H926" s="29" t="s">
        <v>902</v>
      </c>
      <c r="I926" s="29" t="s">
        <v>656</v>
      </c>
      <c r="J926" s="29" t="s">
        <v>2469</v>
      </c>
    </row>
    <row r="927" spans="1:10" ht="19.5" customHeight="1" x14ac:dyDescent="0.35">
      <c r="A927" s="29" t="s">
        <v>896</v>
      </c>
      <c r="B927" s="29" t="s">
        <v>2470</v>
      </c>
      <c r="C927" s="29" t="s">
        <v>921</v>
      </c>
      <c r="D927" s="30">
        <v>1</v>
      </c>
      <c r="E927" s="29" t="s">
        <v>2471</v>
      </c>
      <c r="F927" s="29" t="s">
        <v>1885</v>
      </c>
      <c r="G927" s="29" t="s">
        <v>901</v>
      </c>
      <c r="H927" s="29" t="s">
        <v>902</v>
      </c>
      <c r="I927" s="29" t="s">
        <v>656</v>
      </c>
      <c r="J927" s="29" t="s">
        <v>2472</v>
      </c>
    </row>
    <row r="928" spans="1:10" ht="19.5" customHeight="1" x14ac:dyDescent="0.35">
      <c r="A928" s="29" t="s">
        <v>896</v>
      </c>
      <c r="B928" s="29" t="s">
        <v>2473</v>
      </c>
      <c r="C928" s="29" t="s">
        <v>1659</v>
      </c>
      <c r="D928" s="30">
        <v>1</v>
      </c>
      <c r="E928" s="29" t="s">
        <v>2474</v>
      </c>
      <c r="F928" s="29" t="s">
        <v>1885</v>
      </c>
      <c r="G928" s="29" t="s">
        <v>901</v>
      </c>
      <c r="H928" s="29" t="s">
        <v>902</v>
      </c>
      <c r="I928" s="29" t="s">
        <v>656</v>
      </c>
      <c r="J928" s="29" t="s">
        <v>2475</v>
      </c>
    </row>
    <row r="929" spans="1:10" ht="19.5" customHeight="1" x14ac:dyDescent="0.35">
      <c r="A929" s="29" t="s">
        <v>896</v>
      </c>
      <c r="B929" s="29" t="s">
        <v>2476</v>
      </c>
      <c r="C929" s="29" t="s">
        <v>929</v>
      </c>
      <c r="D929" s="30">
        <v>1</v>
      </c>
      <c r="E929" s="29" t="s">
        <v>2477</v>
      </c>
      <c r="F929" s="29" t="s">
        <v>1885</v>
      </c>
      <c r="G929" s="29" t="s">
        <v>901</v>
      </c>
      <c r="H929" s="29" t="s">
        <v>902</v>
      </c>
      <c r="I929" s="29" t="s">
        <v>656</v>
      </c>
      <c r="J929" s="29" t="s">
        <v>2478</v>
      </c>
    </row>
    <row r="930" spans="1:10" ht="19.5" customHeight="1" x14ac:dyDescent="0.35">
      <c r="A930" s="29" t="s">
        <v>896</v>
      </c>
      <c r="B930" s="29" t="s">
        <v>2479</v>
      </c>
      <c r="C930" s="29" t="s">
        <v>905</v>
      </c>
      <c r="D930" s="30">
        <v>1</v>
      </c>
      <c r="E930" s="29" t="s">
        <v>2480</v>
      </c>
      <c r="F930" s="29" t="s">
        <v>1885</v>
      </c>
      <c r="G930" s="29" t="s">
        <v>901</v>
      </c>
      <c r="H930" s="29" t="s">
        <v>902</v>
      </c>
      <c r="I930" s="29" t="s">
        <v>656</v>
      </c>
      <c r="J930" s="29" t="s">
        <v>2481</v>
      </c>
    </row>
    <row r="931" spans="1:10" ht="19.5" customHeight="1" x14ac:dyDescent="0.35">
      <c r="A931" s="29" t="s">
        <v>896</v>
      </c>
      <c r="B931" s="29" t="s">
        <v>2482</v>
      </c>
      <c r="C931" s="29" t="s">
        <v>929</v>
      </c>
      <c r="D931" s="30">
        <v>1</v>
      </c>
      <c r="E931" s="29" t="s">
        <v>2483</v>
      </c>
      <c r="F931" s="29" t="s">
        <v>1885</v>
      </c>
      <c r="G931" s="29" t="s">
        <v>901</v>
      </c>
      <c r="H931" s="29" t="s">
        <v>902</v>
      </c>
      <c r="I931" s="29" t="s">
        <v>656</v>
      </c>
      <c r="J931" s="29" t="s">
        <v>2397</v>
      </c>
    </row>
    <row r="932" spans="1:10" ht="19.5" customHeight="1" x14ac:dyDescent="0.35">
      <c r="A932" s="29" t="s">
        <v>896</v>
      </c>
      <c r="B932" s="29" t="s">
        <v>2484</v>
      </c>
      <c r="C932" s="29" t="s">
        <v>1009</v>
      </c>
      <c r="D932" s="30">
        <v>1</v>
      </c>
      <c r="E932" s="29" t="s">
        <v>2485</v>
      </c>
      <c r="F932" s="29" t="s">
        <v>1885</v>
      </c>
      <c r="G932" s="29" t="s">
        <v>901</v>
      </c>
      <c r="H932" s="29" t="s">
        <v>902</v>
      </c>
      <c r="I932" s="29" t="s">
        <v>656</v>
      </c>
      <c r="J932" s="29" t="s">
        <v>2486</v>
      </c>
    </row>
    <row r="933" spans="1:10" ht="19.5" customHeight="1" x14ac:dyDescent="0.35">
      <c r="A933" s="29" t="s">
        <v>896</v>
      </c>
      <c r="B933" s="29" t="s">
        <v>2487</v>
      </c>
      <c r="C933" s="29" t="s">
        <v>921</v>
      </c>
      <c r="D933" s="30">
        <v>1</v>
      </c>
      <c r="E933" s="29" t="s">
        <v>2488</v>
      </c>
      <c r="F933" s="29" t="s">
        <v>1885</v>
      </c>
      <c r="G933" s="29" t="s">
        <v>901</v>
      </c>
      <c r="H933" s="29" t="s">
        <v>902</v>
      </c>
      <c r="I933" s="29" t="s">
        <v>656</v>
      </c>
      <c r="J933" s="29" t="s">
        <v>2489</v>
      </c>
    </row>
    <row r="934" spans="1:10" ht="19.5" customHeight="1" x14ac:dyDescent="0.35">
      <c r="A934" s="29" t="s">
        <v>896</v>
      </c>
      <c r="B934" s="29" t="s">
        <v>2490</v>
      </c>
      <c r="C934" s="29" t="s">
        <v>921</v>
      </c>
      <c r="D934" s="30">
        <v>1</v>
      </c>
      <c r="E934" s="29" t="s">
        <v>2491</v>
      </c>
      <c r="F934" s="29" t="s">
        <v>1885</v>
      </c>
      <c r="G934" s="29" t="s">
        <v>901</v>
      </c>
      <c r="H934" s="29" t="s">
        <v>902</v>
      </c>
      <c r="I934" s="29" t="s">
        <v>656</v>
      </c>
      <c r="J934" s="29" t="s">
        <v>2492</v>
      </c>
    </row>
    <row r="935" spans="1:10" ht="19.5" customHeight="1" x14ac:dyDescent="0.35">
      <c r="A935" s="29" t="s">
        <v>896</v>
      </c>
      <c r="B935" s="29" t="s">
        <v>2493</v>
      </c>
      <c r="C935" s="29" t="s">
        <v>942</v>
      </c>
      <c r="D935" s="30">
        <v>1</v>
      </c>
      <c r="E935" s="29" t="s">
        <v>2494</v>
      </c>
      <c r="F935" s="29" t="s">
        <v>1885</v>
      </c>
      <c r="G935" s="29" t="s">
        <v>901</v>
      </c>
      <c r="H935" s="29" t="s">
        <v>902</v>
      </c>
      <c r="I935" s="29" t="s">
        <v>656</v>
      </c>
      <c r="J935" s="29" t="s">
        <v>2495</v>
      </c>
    </row>
    <row r="936" spans="1:10" ht="19.5" customHeight="1" x14ac:dyDescent="0.35">
      <c r="A936" s="29" t="s">
        <v>896</v>
      </c>
      <c r="B936" s="29" t="s">
        <v>2496</v>
      </c>
      <c r="C936" s="29" t="s">
        <v>963</v>
      </c>
      <c r="D936" s="30">
        <v>1</v>
      </c>
      <c r="E936" s="29" t="s">
        <v>2497</v>
      </c>
      <c r="F936" s="29" t="s">
        <v>1885</v>
      </c>
      <c r="G936" s="29" t="s">
        <v>901</v>
      </c>
      <c r="H936" s="29" t="s">
        <v>902</v>
      </c>
      <c r="I936" s="29" t="s">
        <v>656</v>
      </c>
      <c r="J936" s="29" t="s">
        <v>2219</v>
      </c>
    </row>
    <row r="937" spans="1:10" ht="19.5" customHeight="1" x14ac:dyDescent="0.35">
      <c r="A937" s="29" t="s">
        <v>896</v>
      </c>
      <c r="B937" s="29" t="s">
        <v>2498</v>
      </c>
      <c r="C937" s="29" t="s">
        <v>1118</v>
      </c>
      <c r="D937" s="30">
        <v>1</v>
      </c>
      <c r="E937" s="29" t="s">
        <v>2499</v>
      </c>
      <c r="F937" s="29" t="s">
        <v>1885</v>
      </c>
      <c r="G937" s="29" t="s">
        <v>901</v>
      </c>
      <c r="H937" s="29" t="s">
        <v>902</v>
      </c>
      <c r="I937" s="29" t="s">
        <v>656</v>
      </c>
      <c r="J937" s="29" t="s">
        <v>2500</v>
      </c>
    </row>
    <row r="938" spans="1:10" ht="19.5" customHeight="1" x14ac:dyDescent="0.35">
      <c r="A938" s="29" t="s">
        <v>896</v>
      </c>
      <c r="B938" s="29" t="s">
        <v>2501</v>
      </c>
      <c r="C938" s="29" t="s">
        <v>1009</v>
      </c>
      <c r="D938" s="30">
        <v>1</v>
      </c>
      <c r="E938" s="29" t="s">
        <v>2502</v>
      </c>
      <c r="F938" s="29" t="s">
        <v>1885</v>
      </c>
      <c r="G938" s="29" t="s">
        <v>901</v>
      </c>
      <c r="H938" s="29" t="s">
        <v>902</v>
      </c>
      <c r="I938" s="29" t="s">
        <v>656</v>
      </c>
      <c r="J938" s="29" t="s">
        <v>2503</v>
      </c>
    </row>
    <row r="939" spans="1:10" ht="19.5" customHeight="1" x14ac:dyDescent="0.35">
      <c r="A939" s="29" t="s">
        <v>896</v>
      </c>
      <c r="B939" s="29" t="s">
        <v>2504</v>
      </c>
      <c r="C939" s="29" t="s">
        <v>1136</v>
      </c>
      <c r="D939" s="30">
        <v>1</v>
      </c>
      <c r="E939" s="29" t="s">
        <v>2505</v>
      </c>
      <c r="F939" s="29" t="s">
        <v>1885</v>
      </c>
      <c r="G939" s="29" t="s">
        <v>901</v>
      </c>
      <c r="H939" s="29" t="s">
        <v>902</v>
      </c>
      <c r="I939" s="29" t="s">
        <v>656</v>
      </c>
      <c r="J939" s="29" t="s">
        <v>2506</v>
      </c>
    </row>
    <row r="940" spans="1:10" ht="19.5" customHeight="1" x14ac:dyDescent="0.35">
      <c r="A940" s="29" t="s">
        <v>896</v>
      </c>
      <c r="B940" s="29" t="s">
        <v>2507</v>
      </c>
      <c r="C940" s="29" t="s">
        <v>1122</v>
      </c>
      <c r="D940" s="30">
        <v>1</v>
      </c>
      <c r="E940" s="29" t="s">
        <v>2508</v>
      </c>
      <c r="F940" s="29" t="s">
        <v>1885</v>
      </c>
      <c r="G940" s="29" t="s">
        <v>901</v>
      </c>
      <c r="H940" s="29" t="s">
        <v>902</v>
      </c>
      <c r="I940" s="29" t="s">
        <v>656</v>
      </c>
      <c r="J940" s="29" t="s">
        <v>2509</v>
      </c>
    </row>
    <row r="941" spans="1:10" ht="19.5" customHeight="1" x14ac:dyDescent="0.35">
      <c r="A941" s="29" t="s">
        <v>896</v>
      </c>
      <c r="B941" s="29" t="s">
        <v>2510</v>
      </c>
      <c r="C941" s="29" t="s">
        <v>996</v>
      </c>
      <c r="D941" s="30">
        <v>1</v>
      </c>
      <c r="E941" s="29" t="s">
        <v>2511</v>
      </c>
      <c r="F941" s="29" t="s">
        <v>1885</v>
      </c>
      <c r="G941" s="29" t="s">
        <v>901</v>
      </c>
      <c r="H941" s="29" t="s">
        <v>902</v>
      </c>
      <c r="I941" s="29" t="s">
        <v>656</v>
      </c>
      <c r="J941" s="29" t="s">
        <v>2512</v>
      </c>
    </row>
    <row r="942" spans="1:10" ht="19.5" customHeight="1" x14ac:dyDescent="0.35">
      <c r="A942" s="29" t="s">
        <v>896</v>
      </c>
      <c r="B942" s="29" t="s">
        <v>2513</v>
      </c>
      <c r="C942" s="29" t="s">
        <v>1690</v>
      </c>
      <c r="D942" s="30">
        <v>1</v>
      </c>
      <c r="E942" s="29" t="s">
        <v>2514</v>
      </c>
      <c r="F942" s="29" t="s">
        <v>1885</v>
      </c>
      <c r="G942" s="29" t="s">
        <v>901</v>
      </c>
      <c r="H942" s="29" t="s">
        <v>902</v>
      </c>
      <c r="I942" s="29" t="s">
        <v>656</v>
      </c>
      <c r="J942" s="29" t="s">
        <v>2515</v>
      </c>
    </row>
    <row r="943" spans="1:10" ht="19.5" customHeight="1" x14ac:dyDescent="0.35">
      <c r="A943" s="29" t="s">
        <v>896</v>
      </c>
      <c r="B943" s="29" t="s">
        <v>2516</v>
      </c>
      <c r="C943" s="29" t="s">
        <v>1077</v>
      </c>
      <c r="D943" s="30">
        <v>1</v>
      </c>
      <c r="E943" s="29" t="s">
        <v>2517</v>
      </c>
      <c r="F943" s="29" t="s">
        <v>1885</v>
      </c>
      <c r="G943" s="29" t="s">
        <v>901</v>
      </c>
      <c r="H943" s="29" t="s">
        <v>902</v>
      </c>
      <c r="I943" s="29" t="s">
        <v>656</v>
      </c>
      <c r="J943" s="29" t="s">
        <v>2518</v>
      </c>
    </row>
    <row r="944" spans="1:10" ht="19.5" customHeight="1" x14ac:dyDescent="0.35">
      <c r="A944" s="29" t="s">
        <v>896</v>
      </c>
      <c r="B944" s="29" t="s">
        <v>2519</v>
      </c>
      <c r="C944" s="29" t="s">
        <v>1070</v>
      </c>
      <c r="D944" s="30">
        <v>1</v>
      </c>
      <c r="E944" s="29" t="s">
        <v>2520</v>
      </c>
      <c r="F944" s="29" t="s">
        <v>1885</v>
      </c>
      <c r="G944" s="29" t="s">
        <v>901</v>
      </c>
      <c r="H944" s="29" t="s">
        <v>902</v>
      </c>
      <c r="I944" s="29" t="s">
        <v>656</v>
      </c>
      <c r="J944" s="29" t="s">
        <v>2521</v>
      </c>
    </row>
    <row r="945" spans="1:10" ht="19.5" customHeight="1" x14ac:dyDescent="0.35">
      <c r="A945" s="29" t="s">
        <v>896</v>
      </c>
      <c r="B945" s="29" t="s">
        <v>2522</v>
      </c>
      <c r="C945" s="29" t="s">
        <v>1070</v>
      </c>
      <c r="D945" s="30">
        <v>1</v>
      </c>
      <c r="E945" s="29" t="s">
        <v>2523</v>
      </c>
      <c r="F945" s="29" t="s">
        <v>1885</v>
      </c>
      <c r="G945" s="29" t="s">
        <v>901</v>
      </c>
      <c r="H945" s="29" t="s">
        <v>902</v>
      </c>
      <c r="I945" s="29" t="s">
        <v>656</v>
      </c>
      <c r="J945" s="29" t="s">
        <v>2210</v>
      </c>
    </row>
    <row r="946" spans="1:10" ht="19.5" customHeight="1" x14ac:dyDescent="0.35">
      <c r="A946" s="29" t="s">
        <v>896</v>
      </c>
      <c r="B946" s="29" t="s">
        <v>2524</v>
      </c>
      <c r="C946" s="29" t="s">
        <v>1731</v>
      </c>
      <c r="D946" s="30">
        <v>1</v>
      </c>
      <c r="E946" s="29" t="s">
        <v>2525</v>
      </c>
      <c r="F946" s="29" t="s">
        <v>1885</v>
      </c>
      <c r="G946" s="29" t="s">
        <v>901</v>
      </c>
      <c r="H946" s="29" t="s">
        <v>902</v>
      </c>
      <c r="I946" s="29" t="s">
        <v>656</v>
      </c>
      <c r="J946" s="29" t="s">
        <v>2526</v>
      </c>
    </row>
    <row r="947" spans="1:10" ht="19.5" customHeight="1" x14ac:dyDescent="0.35">
      <c r="A947" s="29" t="s">
        <v>896</v>
      </c>
      <c r="B947" s="29" t="s">
        <v>2527</v>
      </c>
      <c r="C947" s="29" t="s">
        <v>913</v>
      </c>
      <c r="D947" s="30">
        <v>1</v>
      </c>
      <c r="E947" s="29" t="s">
        <v>2528</v>
      </c>
      <c r="F947" s="29" t="s">
        <v>1885</v>
      </c>
      <c r="G947" s="29" t="s">
        <v>901</v>
      </c>
      <c r="H947" s="29" t="s">
        <v>902</v>
      </c>
      <c r="I947" s="29" t="s">
        <v>656</v>
      </c>
      <c r="J947" s="29" t="s">
        <v>2529</v>
      </c>
    </row>
    <row r="948" spans="1:10" ht="19.5" customHeight="1" x14ac:dyDescent="0.35">
      <c r="A948" s="29" t="s">
        <v>896</v>
      </c>
      <c r="B948" s="29" t="s">
        <v>2530</v>
      </c>
      <c r="C948" s="29" t="s">
        <v>913</v>
      </c>
      <c r="D948" s="30">
        <v>1</v>
      </c>
      <c r="E948" s="29" t="s">
        <v>2531</v>
      </c>
      <c r="F948" s="29" t="s">
        <v>1885</v>
      </c>
      <c r="G948" s="29" t="s">
        <v>901</v>
      </c>
      <c r="H948" s="29" t="s">
        <v>902</v>
      </c>
      <c r="I948" s="29" t="s">
        <v>656</v>
      </c>
      <c r="J948" s="29" t="s">
        <v>2532</v>
      </c>
    </row>
    <row r="949" spans="1:10" ht="19.5" customHeight="1" x14ac:dyDescent="0.35">
      <c r="A949" s="29" t="s">
        <v>896</v>
      </c>
      <c r="B949" s="29" t="s">
        <v>2533</v>
      </c>
      <c r="C949" s="29" t="s">
        <v>921</v>
      </c>
      <c r="D949" s="30">
        <v>1</v>
      </c>
      <c r="E949" s="29" t="s">
        <v>2534</v>
      </c>
      <c r="F949" s="29" t="s">
        <v>1885</v>
      </c>
      <c r="G949" s="29" t="s">
        <v>901</v>
      </c>
      <c r="H949" s="29" t="s">
        <v>902</v>
      </c>
      <c r="I949" s="29" t="s">
        <v>656</v>
      </c>
      <c r="J949" s="29" t="s">
        <v>2535</v>
      </c>
    </row>
    <row r="950" spans="1:10" ht="19.5" customHeight="1" x14ac:dyDescent="0.35">
      <c r="A950" s="29" t="s">
        <v>896</v>
      </c>
      <c r="B950" s="29" t="s">
        <v>2536</v>
      </c>
      <c r="C950" s="29" t="s">
        <v>1646</v>
      </c>
      <c r="D950" s="30">
        <v>1</v>
      </c>
      <c r="E950" s="29" t="s">
        <v>2537</v>
      </c>
      <c r="F950" s="29" t="s">
        <v>1885</v>
      </c>
      <c r="G950" s="29" t="s">
        <v>901</v>
      </c>
      <c r="H950" s="29" t="s">
        <v>902</v>
      </c>
      <c r="I950" s="29" t="s">
        <v>656</v>
      </c>
      <c r="J950" s="29" t="s">
        <v>2222</v>
      </c>
    </row>
    <row r="951" spans="1:10" ht="19.5" customHeight="1" x14ac:dyDescent="0.35">
      <c r="A951" s="29" t="s">
        <v>896</v>
      </c>
      <c r="B951" s="29" t="s">
        <v>2538</v>
      </c>
      <c r="C951" s="29" t="s">
        <v>1646</v>
      </c>
      <c r="D951" s="30">
        <v>1</v>
      </c>
      <c r="E951" s="29" t="s">
        <v>2539</v>
      </c>
      <c r="F951" s="29" t="s">
        <v>1885</v>
      </c>
      <c r="G951" s="29" t="s">
        <v>901</v>
      </c>
      <c r="H951" s="29" t="s">
        <v>902</v>
      </c>
      <c r="I951" s="29" t="s">
        <v>656</v>
      </c>
      <c r="J951" s="29" t="s">
        <v>2540</v>
      </c>
    </row>
    <row r="952" spans="1:10" ht="19.5" customHeight="1" x14ac:dyDescent="0.35">
      <c r="A952" s="29" t="s">
        <v>896</v>
      </c>
      <c r="B952" s="29" t="s">
        <v>2541</v>
      </c>
      <c r="C952" s="29" t="s">
        <v>989</v>
      </c>
      <c r="D952" s="30">
        <v>1</v>
      </c>
      <c r="E952" s="29" t="s">
        <v>2542</v>
      </c>
      <c r="F952" s="29" t="s">
        <v>1885</v>
      </c>
      <c r="G952" s="29" t="s">
        <v>901</v>
      </c>
      <c r="H952" s="29" t="s">
        <v>902</v>
      </c>
      <c r="I952" s="29" t="s">
        <v>656</v>
      </c>
      <c r="J952" s="29" t="s">
        <v>2543</v>
      </c>
    </row>
    <row r="953" spans="1:10" ht="19.5" customHeight="1" x14ac:dyDescent="0.35">
      <c r="A953" s="29" t="s">
        <v>896</v>
      </c>
      <c r="B953" s="29" t="s">
        <v>2544</v>
      </c>
      <c r="C953" s="29" t="s">
        <v>1009</v>
      </c>
      <c r="D953" s="30">
        <v>1</v>
      </c>
      <c r="E953" s="29" t="s">
        <v>2545</v>
      </c>
      <c r="F953" s="29" t="s">
        <v>1885</v>
      </c>
      <c r="G953" s="29" t="s">
        <v>901</v>
      </c>
      <c r="H953" s="29" t="s">
        <v>902</v>
      </c>
      <c r="I953" s="29" t="s">
        <v>656</v>
      </c>
      <c r="J953" s="29" t="s">
        <v>2546</v>
      </c>
    </row>
    <row r="954" spans="1:10" ht="19.5" customHeight="1" x14ac:dyDescent="0.35">
      <c r="A954" s="29" t="s">
        <v>896</v>
      </c>
      <c r="B954" s="29" t="s">
        <v>2547</v>
      </c>
      <c r="C954" s="29" t="s">
        <v>1101</v>
      </c>
      <c r="D954" s="30">
        <v>1</v>
      </c>
      <c r="E954" s="29" t="s">
        <v>2548</v>
      </c>
      <c r="F954" s="29" t="s">
        <v>1885</v>
      </c>
      <c r="G954" s="29" t="s">
        <v>901</v>
      </c>
      <c r="H954" s="29" t="s">
        <v>902</v>
      </c>
      <c r="I954" s="29" t="s">
        <v>656</v>
      </c>
      <c r="J954" s="29" t="s">
        <v>2549</v>
      </c>
    </row>
    <row r="955" spans="1:10" ht="19.5" customHeight="1" x14ac:dyDescent="0.35">
      <c r="A955" s="29" t="s">
        <v>896</v>
      </c>
      <c r="B955" s="29" t="s">
        <v>2550</v>
      </c>
      <c r="C955" s="29" t="s">
        <v>996</v>
      </c>
      <c r="D955" s="30">
        <v>1</v>
      </c>
      <c r="E955" s="29" t="s">
        <v>2551</v>
      </c>
      <c r="F955" s="29" t="s">
        <v>1885</v>
      </c>
      <c r="G955" s="29" t="s">
        <v>901</v>
      </c>
      <c r="H955" s="29" t="s">
        <v>902</v>
      </c>
      <c r="I955" s="29" t="s">
        <v>656</v>
      </c>
      <c r="J955" s="29" t="s">
        <v>2552</v>
      </c>
    </row>
    <row r="956" spans="1:10" ht="19.5" customHeight="1" x14ac:dyDescent="0.35">
      <c r="A956" s="29" t="s">
        <v>896</v>
      </c>
      <c r="B956" s="29" t="s">
        <v>2553</v>
      </c>
      <c r="C956" s="29" t="s">
        <v>929</v>
      </c>
      <c r="D956" s="30">
        <v>1</v>
      </c>
      <c r="E956" s="29" t="s">
        <v>2554</v>
      </c>
      <c r="F956" s="29" t="s">
        <v>1885</v>
      </c>
      <c r="G956" s="29" t="s">
        <v>901</v>
      </c>
      <c r="H956" s="29" t="s">
        <v>902</v>
      </c>
      <c r="I956" s="29" t="s">
        <v>656</v>
      </c>
      <c r="J956" s="29" t="s">
        <v>2555</v>
      </c>
    </row>
    <row r="957" spans="1:10" ht="19.5" customHeight="1" x14ac:dyDescent="0.35">
      <c r="A957" s="29" t="s">
        <v>896</v>
      </c>
      <c r="B957" s="29" t="s">
        <v>2556</v>
      </c>
      <c r="C957" s="29" t="s">
        <v>1240</v>
      </c>
      <c r="D957" s="30">
        <v>1</v>
      </c>
      <c r="E957" s="29" t="s">
        <v>2557</v>
      </c>
      <c r="F957" s="29" t="s">
        <v>1885</v>
      </c>
      <c r="G957" s="29" t="s">
        <v>901</v>
      </c>
      <c r="H957" s="29" t="s">
        <v>902</v>
      </c>
      <c r="I957" s="29" t="s">
        <v>656</v>
      </c>
      <c r="J957" s="29" t="s">
        <v>2168</v>
      </c>
    </row>
    <row r="958" spans="1:10" ht="19.5" customHeight="1" x14ac:dyDescent="0.35">
      <c r="A958" s="29" t="s">
        <v>896</v>
      </c>
      <c r="B958" s="29" t="s">
        <v>2558</v>
      </c>
      <c r="C958" s="29" t="s">
        <v>1817</v>
      </c>
      <c r="D958" s="30">
        <v>1</v>
      </c>
      <c r="E958" s="29" t="s">
        <v>2559</v>
      </c>
      <c r="F958" s="29" t="s">
        <v>1885</v>
      </c>
      <c r="G958" s="29" t="s">
        <v>901</v>
      </c>
      <c r="H958" s="29" t="s">
        <v>902</v>
      </c>
      <c r="I958" s="29" t="s">
        <v>656</v>
      </c>
      <c r="J958" s="29" t="s">
        <v>2560</v>
      </c>
    </row>
    <row r="959" spans="1:10" ht="19.5" customHeight="1" x14ac:dyDescent="0.35">
      <c r="A959" s="29" t="s">
        <v>896</v>
      </c>
      <c r="B959" s="29" t="s">
        <v>2561</v>
      </c>
      <c r="C959" s="29" t="s">
        <v>1299</v>
      </c>
      <c r="D959" s="30">
        <v>1</v>
      </c>
      <c r="E959" s="29" t="s">
        <v>2562</v>
      </c>
      <c r="F959" s="29" t="s">
        <v>1885</v>
      </c>
      <c r="G959" s="29" t="s">
        <v>901</v>
      </c>
      <c r="H959" s="29" t="s">
        <v>902</v>
      </c>
      <c r="I959" s="29" t="s">
        <v>656</v>
      </c>
      <c r="J959" s="29" t="s">
        <v>2563</v>
      </c>
    </row>
    <row r="960" spans="1:10" ht="19.5" customHeight="1" x14ac:dyDescent="0.35">
      <c r="A960" s="29" t="s">
        <v>896</v>
      </c>
      <c r="B960" s="29" t="s">
        <v>2564</v>
      </c>
      <c r="C960" s="29" t="s">
        <v>909</v>
      </c>
      <c r="D960" s="30">
        <v>1</v>
      </c>
      <c r="E960" s="29" t="s">
        <v>2565</v>
      </c>
      <c r="F960" s="29" t="s">
        <v>1885</v>
      </c>
      <c r="G960" s="29" t="s">
        <v>901</v>
      </c>
      <c r="H960" s="29" t="s">
        <v>902</v>
      </c>
      <c r="I960" s="29" t="s">
        <v>656</v>
      </c>
      <c r="J960" s="29" t="s">
        <v>2566</v>
      </c>
    </row>
    <row r="961" spans="1:10" ht="19.5" customHeight="1" x14ac:dyDescent="0.35">
      <c r="A961" s="29" t="s">
        <v>896</v>
      </c>
      <c r="B961" s="29" t="s">
        <v>2567</v>
      </c>
      <c r="C961" s="29" t="s">
        <v>1084</v>
      </c>
      <c r="D961" s="30">
        <v>1</v>
      </c>
      <c r="E961" s="29" t="s">
        <v>2568</v>
      </c>
      <c r="F961" s="29" t="s">
        <v>1885</v>
      </c>
      <c r="G961" s="29" t="s">
        <v>901</v>
      </c>
      <c r="H961" s="29" t="s">
        <v>902</v>
      </c>
      <c r="I961" s="29" t="s">
        <v>656</v>
      </c>
      <c r="J961" s="29" t="s">
        <v>2569</v>
      </c>
    </row>
    <row r="962" spans="1:10" ht="19.5" customHeight="1" x14ac:dyDescent="0.35">
      <c r="A962" s="29" t="s">
        <v>896</v>
      </c>
      <c r="B962" s="29" t="s">
        <v>2570</v>
      </c>
      <c r="C962" s="29" t="s">
        <v>913</v>
      </c>
      <c r="D962" s="30">
        <v>1</v>
      </c>
      <c r="E962" s="29" t="s">
        <v>2571</v>
      </c>
      <c r="F962" s="29" t="s">
        <v>1885</v>
      </c>
      <c r="G962" s="29" t="s">
        <v>901</v>
      </c>
      <c r="H962" s="29" t="s">
        <v>902</v>
      </c>
      <c r="I962" s="29" t="s">
        <v>656</v>
      </c>
      <c r="J962" s="29" t="s">
        <v>2572</v>
      </c>
    </row>
    <row r="963" spans="1:10" ht="19.5" customHeight="1" x14ac:dyDescent="0.35">
      <c r="A963" s="29" t="s">
        <v>896</v>
      </c>
      <c r="B963" s="29" t="s">
        <v>2573</v>
      </c>
      <c r="C963" s="29" t="s">
        <v>921</v>
      </c>
      <c r="D963" s="30">
        <v>1</v>
      </c>
      <c r="E963" s="29" t="s">
        <v>2568</v>
      </c>
      <c r="F963" s="29" t="s">
        <v>1885</v>
      </c>
      <c r="G963" s="29" t="s">
        <v>901</v>
      </c>
      <c r="H963" s="29" t="s">
        <v>902</v>
      </c>
      <c r="I963" s="29" t="s">
        <v>656</v>
      </c>
      <c r="J963" s="29" t="s">
        <v>2574</v>
      </c>
    </row>
    <row r="964" spans="1:10" ht="19.5" customHeight="1" x14ac:dyDescent="0.35">
      <c r="A964" s="29" t="s">
        <v>896</v>
      </c>
      <c r="B964" s="29" t="s">
        <v>2575</v>
      </c>
      <c r="C964" s="29" t="s">
        <v>1077</v>
      </c>
      <c r="D964" s="30">
        <v>1</v>
      </c>
      <c r="E964" s="29" t="s">
        <v>2576</v>
      </c>
      <c r="F964" s="29" t="s">
        <v>1885</v>
      </c>
      <c r="G964" s="29" t="s">
        <v>901</v>
      </c>
      <c r="H964" s="29" t="s">
        <v>902</v>
      </c>
      <c r="I964" s="29" t="s">
        <v>656</v>
      </c>
      <c r="J964" s="29" t="s">
        <v>2577</v>
      </c>
    </row>
    <row r="965" spans="1:10" ht="19.5" customHeight="1" x14ac:dyDescent="0.35">
      <c r="A965" s="29" t="s">
        <v>896</v>
      </c>
      <c r="B965" s="29" t="s">
        <v>2578</v>
      </c>
      <c r="C965" s="29" t="s">
        <v>1118</v>
      </c>
      <c r="D965" s="30">
        <v>1</v>
      </c>
      <c r="E965" s="29" t="s">
        <v>2579</v>
      </c>
      <c r="F965" s="29" t="s">
        <v>1885</v>
      </c>
      <c r="G965" s="29" t="s">
        <v>901</v>
      </c>
      <c r="H965" s="29" t="s">
        <v>902</v>
      </c>
      <c r="I965" s="29" t="s">
        <v>656</v>
      </c>
      <c r="J965" s="29" t="s">
        <v>2580</v>
      </c>
    </row>
    <row r="966" spans="1:10" ht="19.5" customHeight="1" x14ac:dyDescent="0.35">
      <c r="A966" s="29" t="s">
        <v>896</v>
      </c>
      <c r="B966" s="29" t="s">
        <v>2581</v>
      </c>
      <c r="C966" s="29" t="s">
        <v>1077</v>
      </c>
      <c r="D966" s="30">
        <v>1</v>
      </c>
      <c r="E966" s="29" t="s">
        <v>2582</v>
      </c>
      <c r="F966" s="29" t="s">
        <v>1885</v>
      </c>
      <c r="G966" s="29" t="s">
        <v>901</v>
      </c>
      <c r="H966" s="29" t="s">
        <v>902</v>
      </c>
      <c r="I966" s="29" t="s">
        <v>656</v>
      </c>
      <c r="J966" s="29" t="s">
        <v>2583</v>
      </c>
    </row>
    <row r="967" spans="1:10" ht="19.5" customHeight="1" x14ac:dyDescent="0.35">
      <c r="A967" s="29" t="s">
        <v>896</v>
      </c>
      <c r="B967" s="29" t="s">
        <v>2584</v>
      </c>
      <c r="C967" s="29" t="s">
        <v>921</v>
      </c>
      <c r="D967" s="30">
        <v>1</v>
      </c>
      <c r="E967" s="29" t="s">
        <v>2585</v>
      </c>
      <c r="F967" s="29" t="s">
        <v>1885</v>
      </c>
      <c r="G967" s="29" t="s">
        <v>901</v>
      </c>
      <c r="H967" s="29" t="s">
        <v>902</v>
      </c>
      <c r="I967" s="29" t="s">
        <v>656</v>
      </c>
      <c r="J967" s="29" t="s">
        <v>2586</v>
      </c>
    </row>
    <row r="968" spans="1:10" ht="19.5" customHeight="1" x14ac:dyDescent="0.35">
      <c r="A968" s="29" t="s">
        <v>896</v>
      </c>
      <c r="B968" s="29" t="s">
        <v>2587</v>
      </c>
      <c r="C968" s="29" t="s">
        <v>921</v>
      </c>
      <c r="D968" s="30">
        <v>1</v>
      </c>
      <c r="E968" s="29" t="s">
        <v>2588</v>
      </c>
      <c r="F968" s="29" t="s">
        <v>1885</v>
      </c>
      <c r="G968" s="29" t="s">
        <v>901</v>
      </c>
      <c r="H968" s="29" t="s">
        <v>902</v>
      </c>
      <c r="I968" s="29" t="s">
        <v>656</v>
      </c>
      <c r="J968" s="29" t="s">
        <v>1492</v>
      </c>
    </row>
    <row r="969" spans="1:10" ht="19.5" customHeight="1" x14ac:dyDescent="0.35">
      <c r="A969" s="29" t="s">
        <v>896</v>
      </c>
      <c r="B969" s="29" t="s">
        <v>2589</v>
      </c>
      <c r="C969" s="29" t="s">
        <v>1646</v>
      </c>
      <c r="D969" s="30">
        <v>1</v>
      </c>
      <c r="E969" s="29" t="s">
        <v>2590</v>
      </c>
      <c r="F969" s="29" t="s">
        <v>1885</v>
      </c>
      <c r="G969" s="29" t="s">
        <v>901</v>
      </c>
      <c r="H969" s="29" t="s">
        <v>902</v>
      </c>
      <c r="I969" s="29" t="s">
        <v>656</v>
      </c>
      <c r="J969" s="29" t="s">
        <v>2591</v>
      </c>
    </row>
    <row r="970" spans="1:10" ht="19.5" customHeight="1" x14ac:dyDescent="0.35">
      <c r="A970" s="29" t="s">
        <v>896</v>
      </c>
      <c r="B970" s="29" t="s">
        <v>2592</v>
      </c>
      <c r="C970" s="29" t="s">
        <v>1697</v>
      </c>
      <c r="D970" s="30">
        <v>1</v>
      </c>
      <c r="E970" s="29" t="s">
        <v>2590</v>
      </c>
      <c r="F970" s="29" t="s">
        <v>1885</v>
      </c>
      <c r="G970" s="29" t="s">
        <v>901</v>
      </c>
      <c r="H970" s="29" t="s">
        <v>902</v>
      </c>
      <c r="I970" s="29" t="s">
        <v>656</v>
      </c>
      <c r="J970" s="29" t="s">
        <v>2593</v>
      </c>
    </row>
    <row r="971" spans="1:10" ht="19.5" customHeight="1" x14ac:dyDescent="0.35">
      <c r="A971" s="29" t="s">
        <v>896</v>
      </c>
      <c r="B971" s="29" t="s">
        <v>2594</v>
      </c>
      <c r="C971" s="29" t="s">
        <v>1690</v>
      </c>
      <c r="D971" s="30">
        <v>1</v>
      </c>
      <c r="E971" s="29" t="s">
        <v>2595</v>
      </c>
      <c r="F971" s="29" t="s">
        <v>1885</v>
      </c>
      <c r="G971" s="29" t="s">
        <v>901</v>
      </c>
      <c r="H971" s="29" t="s">
        <v>902</v>
      </c>
      <c r="I971" s="29" t="s">
        <v>656</v>
      </c>
      <c r="J971" s="29" t="s">
        <v>2596</v>
      </c>
    </row>
    <row r="972" spans="1:10" ht="19.5" customHeight="1" x14ac:dyDescent="0.35">
      <c r="A972" s="29" t="s">
        <v>896</v>
      </c>
      <c r="B972" s="29" t="s">
        <v>2597</v>
      </c>
      <c r="C972" s="29" t="s">
        <v>2598</v>
      </c>
      <c r="D972" s="30">
        <v>1</v>
      </c>
      <c r="E972" s="29" t="s">
        <v>2599</v>
      </c>
      <c r="F972" s="29" t="s">
        <v>1885</v>
      </c>
      <c r="G972" s="29" t="s">
        <v>901</v>
      </c>
      <c r="H972" s="29" t="s">
        <v>902</v>
      </c>
      <c r="I972" s="29" t="s">
        <v>656</v>
      </c>
      <c r="J972" s="29" t="s">
        <v>2600</v>
      </c>
    </row>
    <row r="973" spans="1:10" ht="19.5" customHeight="1" x14ac:dyDescent="0.35">
      <c r="A973" s="29" t="s">
        <v>896</v>
      </c>
      <c r="B973" s="29" t="s">
        <v>2601</v>
      </c>
      <c r="C973" s="29" t="s">
        <v>2602</v>
      </c>
      <c r="D973" s="30">
        <v>1</v>
      </c>
      <c r="E973" s="29" t="s">
        <v>2603</v>
      </c>
      <c r="F973" s="29" t="s">
        <v>1885</v>
      </c>
      <c r="G973" s="29" t="s">
        <v>901</v>
      </c>
      <c r="H973" s="29" t="s">
        <v>902</v>
      </c>
      <c r="I973" s="29" t="s">
        <v>656</v>
      </c>
      <c r="J973" s="29" t="s">
        <v>2222</v>
      </c>
    </row>
    <row r="974" spans="1:10" ht="19.5" customHeight="1" x14ac:dyDescent="0.35">
      <c r="A974" s="29" t="s">
        <v>896</v>
      </c>
      <c r="B974" s="29" t="s">
        <v>2604</v>
      </c>
      <c r="C974" s="29" t="s">
        <v>1077</v>
      </c>
      <c r="D974" s="30">
        <v>1</v>
      </c>
      <c r="E974" s="29" t="s">
        <v>2603</v>
      </c>
      <c r="F974" s="29" t="s">
        <v>1885</v>
      </c>
      <c r="G974" s="29" t="s">
        <v>901</v>
      </c>
      <c r="H974" s="29" t="s">
        <v>902</v>
      </c>
      <c r="I974" s="29" t="s">
        <v>656</v>
      </c>
      <c r="J974" s="29" t="s">
        <v>2222</v>
      </c>
    </row>
    <row r="975" spans="1:10" ht="19.5" customHeight="1" x14ac:dyDescent="0.35">
      <c r="A975" s="29" t="s">
        <v>896</v>
      </c>
      <c r="B975" s="29" t="s">
        <v>2605</v>
      </c>
      <c r="C975" s="29" t="s">
        <v>1070</v>
      </c>
      <c r="D975" s="30">
        <v>1</v>
      </c>
      <c r="E975" s="29" t="s">
        <v>2606</v>
      </c>
      <c r="F975" s="29" t="s">
        <v>1885</v>
      </c>
      <c r="G975" s="29" t="s">
        <v>901</v>
      </c>
      <c r="H975" s="29" t="s">
        <v>902</v>
      </c>
      <c r="I975" s="29" t="s">
        <v>656</v>
      </c>
      <c r="J975" s="29" t="s">
        <v>2607</v>
      </c>
    </row>
    <row r="976" spans="1:10" ht="19.5" customHeight="1" x14ac:dyDescent="0.35">
      <c r="A976" s="29" t="s">
        <v>896</v>
      </c>
      <c r="B976" s="29" t="s">
        <v>2608</v>
      </c>
      <c r="C976" s="29" t="s">
        <v>963</v>
      </c>
      <c r="D976" s="30">
        <v>1</v>
      </c>
      <c r="E976" s="29" t="s">
        <v>2609</v>
      </c>
      <c r="F976" s="29" t="s">
        <v>1885</v>
      </c>
      <c r="G976" s="29" t="s">
        <v>901</v>
      </c>
      <c r="H976" s="29" t="s">
        <v>902</v>
      </c>
      <c r="I976" s="29" t="s">
        <v>656</v>
      </c>
      <c r="J976" s="29" t="s">
        <v>1898</v>
      </c>
    </row>
    <row r="977" spans="1:10" ht="19.5" customHeight="1" x14ac:dyDescent="0.35">
      <c r="A977" s="29" t="s">
        <v>896</v>
      </c>
      <c r="B977" s="29" t="s">
        <v>2610</v>
      </c>
      <c r="C977" s="29" t="s">
        <v>1143</v>
      </c>
      <c r="D977" s="30">
        <v>1</v>
      </c>
      <c r="E977" s="29" t="s">
        <v>2611</v>
      </c>
      <c r="F977" s="29" t="s">
        <v>1885</v>
      </c>
      <c r="G977" s="29" t="s">
        <v>901</v>
      </c>
      <c r="H977" s="29" t="s">
        <v>902</v>
      </c>
      <c r="I977" s="29" t="s">
        <v>656</v>
      </c>
      <c r="J977" s="29" t="s">
        <v>2612</v>
      </c>
    </row>
    <row r="978" spans="1:10" ht="19.5" customHeight="1" x14ac:dyDescent="0.35">
      <c r="A978" s="29" t="s">
        <v>896</v>
      </c>
      <c r="B978" s="29" t="s">
        <v>2613</v>
      </c>
      <c r="C978" s="29" t="s">
        <v>921</v>
      </c>
      <c r="D978" s="30">
        <v>1</v>
      </c>
      <c r="E978" s="29" t="s">
        <v>2614</v>
      </c>
      <c r="F978" s="29" t="s">
        <v>1885</v>
      </c>
      <c r="G978" s="29" t="s">
        <v>901</v>
      </c>
      <c r="H978" s="29" t="s">
        <v>902</v>
      </c>
      <c r="I978" s="29" t="s">
        <v>656</v>
      </c>
      <c r="J978" s="29" t="s">
        <v>2615</v>
      </c>
    </row>
    <row r="979" spans="1:10" ht="19.5" customHeight="1" x14ac:dyDescent="0.35">
      <c r="A979" s="29" t="s">
        <v>896</v>
      </c>
      <c r="B979" s="29" t="s">
        <v>2616</v>
      </c>
      <c r="C979" s="29" t="s">
        <v>1659</v>
      </c>
      <c r="D979" s="30">
        <v>1</v>
      </c>
      <c r="E979" s="29" t="s">
        <v>2617</v>
      </c>
      <c r="F979" s="29" t="s">
        <v>1885</v>
      </c>
      <c r="G979" s="29" t="s">
        <v>901</v>
      </c>
      <c r="H979" s="29" t="s">
        <v>902</v>
      </c>
      <c r="I979" s="29" t="s">
        <v>656</v>
      </c>
      <c r="J979" s="29" t="s">
        <v>2618</v>
      </c>
    </row>
    <row r="980" spans="1:10" ht="19.5" customHeight="1" x14ac:dyDescent="0.35">
      <c r="A980" s="29" t="s">
        <v>896</v>
      </c>
      <c r="B980" s="29" t="s">
        <v>2619</v>
      </c>
      <c r="C980" s="29" t="s">
        <v>1077</v>
      </c>
      <c r="D980" s="30">
        <v>1</v>
      </c>
      <c r="E980" s="29" t="s">
        <v>2620</v>
      </c>
      <c r="F980" s="29" t="s">
        <v>1885</v>
      </c>
      <c r="G980" s="29" t="s">
        <v>901</v>
      </c>
      <c r="H980" s="29" t="s">
        <v>902</v>
      </c>
      <c r="I980" s="29" t="s">
        <v>656</v>
      </c>
      <c r="J980" s="29" t="s">
        <v>2621</v>
      </c>
    </row>
    <row r="981" spans="1:10" ht="19.5" customHeight="1" x14ac:dyDescent="0.35">
      <c r="A981" s="29" t="s">
        <v>896</v>
      </c>
      <c r="B981" s="29" t="s">
        <v>2622</v>
      </c>
      <c r="C981" s="29" t="s">
        <v>1077</v>
      </c>
      <c r="D981" s="30">
        <v>1</v>
      </c>
      <c r="E981" s="29" t="s">
        <v>2623</v>
      </c>
      <c r="F981" s="29" t="s">
        <v>1885</v>
      </c>
      <c r="G981" s="29" t="s">
        <v>901</v>
      </c>
      <c r="H981" s="29" t="s">
        <v>902</v>
      </c>
      <c r="I981" s="29" t="s">
        <v>656</v>
      </c>
      <c r="J981" s="29" t="s">
        <v>2624</v>
      </c>
    </row>
    <row r="982" spans="1:10" ht="19.5" customHeight="1" x14ac:dyDescent="0.35">
      <c r="A982" s="29" t="s">
        <v>896</v>
      </c>
      <c r="B982" s="29" t="s">
        <v>2625</v>
      </c>
      <c r="C982" s="29" t="s">
        <v>921</v>
      </c>
      <c r="D982" s="30">
        <v>1</v>
      </c>
      <c r="E982" s="29" t="s">
        <v>2626</v>
      </c>
      <c r="F982" s="29" t="s">
        <v>1885</v>
      </c>
      <c r="G982" s="29" t="s">
        <v>901</v>
      </c>
      <c r="H982" s="29" t="s">
        <v>902</v>
      </c>
      <c r="I982" s="29" t="s">
        <v>656</v>
      </c>
      <c r="J982" s="29" t="s">
        <v>2627</v>
      </c>
    </row>
    <row r="983" spans="1:10" ht="19.5" customHeight="1" x14ac:dyDescent="0.35">
      <c r="A983" s="29" t="s">
        <v>896</v>
      </c>
      <c r="B983" s="29" t="s">
        <v>2628</v>
      </c>
      <c r="C983" s="29" t="s">
        <v>1118</v>
      </c>
      <c r="D983" s="30">
        <v>1</v>
      </c>
      <c r="E983" s="29" t="s">
        <v>2629</v>
      </c>
      <c r="F983" s="29" t="s">
        <v>1885</v>
      </c>
      <c r="G983" s="29" t="s">
        <v>901</v>
      </c>
      <c r="H983" s="29" t="s">
        <v>902</v>
      </c>
      <c r="I983" s="29" t="s">
        <v>656</v>
      </c>
      <c r="J983" s="29" t="s">
        <v>2630</v>
      </c>
    </row>
    <row r="984" spans="1:10" ht="19.5" customHeight="1" x14ac:dyDescent="0.35">
      <c r="A984" s="29" t="s">
        <v>896</v>
      </c>
      <c r="B984" s="29" t="s">
        <v>2631</v>
      </c>
      <c r="C984" s="29" t="s">
        <v>989</v>
      </c>
      <c r="D984" s="30">
        <v>1</v>
      </c>
      <c r="E984" s="29" t="s">
        <v>2632</v>
      </c>
      <c r="F984" s="29" t="s">
        <v>1885</v>
      </c>
      <c r="G984" s="29" t="s">
        <v>901</v>
      </c>
      <c r="H984" s="29" t="s">
        <v>902</v>
      </c>
      <c r="I984" s="29" t="s">
        <v>656</v>
      </c>
      <c r="J984" s="29" t="s">
        <v>2633</v>
      </c>
    </row>
    <row r="985" spans="1:10" ht="19.5" customHeight="1" x14ac:dyDescent="0.35">
      <c r="A985" s="29" t="s">
        <v>896</v>
      </c>
      <c r="B985" s="29" t="s">
        <v>2634</v>
      </c>
      <c r="C985" s="29" t="s">
        <v>1768</v>
      </c>
      <c r="D985" s="30">
        <v>1</v>
      </c>
      <c r="E985" s="29" t="s">
        <v>2635</v>
      </c>
      <c r="F985" s="29" t="s">
        <v>1885</v>
      </c>
      <c r="G985" s="29" t="s">
        <v>901</v>
      </c>
      <c r="H985" s="29" t="s">
        <v>902</v>
      </c>
      <c r="I985" s="29" t="s">
        <v>656</v>
      </c>
      <c r="J985" s="29" t="s">
        <v>2636</v>
      </c>
    </row>
    <row r="986" spans="1:10" ht="19.5" customHeight="1" x14ac:dyDescent="0.35">
      <c r="A986" s="29" t="s">
        <v>896</v>
      </c>
      <c r="B986" s="29" t="s">
        <v>2637</v>
      </c>
      <c r="C986" s="29" t="s">
        <v>1077</v>
      </c>
      <c r="D986" s="30">
        <v>1</v>
      </c>
      <c r="E986" s="29" t="s">
        <v>2635</v>
      </c>
      <c r="F986" s="29" t="s">
        <v>1885</v>
      </c>
      <c r="G986" s="29" t="s">
        <v>901</v>
      </c>
      <c r="H986" s="29" t="s">
        <v>902</v>
      </c>
      <c r="I986" s="29" t="s">
        <v>656</v>
      </c>
      <c r="J986" s="29" t="s">
        <v>2638</v>
      </c>
    </row>
    <row r="987" spans="1:10" ht="19.5" customHeight="1" x14ac:dyDescent="0.35">
      <c r="A987" s="29" t="s">
        <v>896</v>
      </c>
      <c r="B987" s="29" t="s">
        <v>2639</v>
      </c>
      <c r="C987" s="29" t="s">
        <v>929</v>
      </c>
      <c r="D987" s="30">
        <v>1</v>
      </c>
      <c r="E987" s="29" t="s">
        <v>2640</v>
      </c>
      <c r="F987" s="29" t="s">
        <v>1885</v>
      </c>
      <c r="G987" s="29" t="s">
        <v>901</v>
      </c>
      <c r="H987" s="29" t="s">
        <v>902</v>
      </c>
      <c r="I987" s="29" t="s">
        <v>656</v>
      </c>
      <c r="J987" s="29" t="s">
        <v>2641</v>
      </c>
    </row>
    <row r="988" spans="1:10" ht="19.5" customHeight="1" x14ac:dyDescent="0.35">
      <c r="A988" s="29" t="s">
        <v>896</v>
      </c>
      <c r="B988" s="29" t="s">
        <v>2642</v>
      </c>
      <c r="C988" s="29" t="s">
        <v>1817</v>
      </c>
      <c r="D988" s="30">
        <v>1</v>
      </c>
      <c r="E988" s="29" t="s">
        <v>2643</v>
      </c>
      <c r="F988" s="29" t="s">
        <v>1885</v>
      </c>
      <c r="G988" s="29" t="s">
        <v>901</v>
      </c>
      <c r="H988" s="29" t="s">
        <v>902</v>
      </c>
      <c r="I988" s="29" t="s">
        <v>656</v>
      </c>
      <c r="J988" s="29" t="s">
        <v>2364</v>
      </c>
    </row>
    <row r="989" spans="1:10" ht="19.5" customHeight="1" x14ac:dyDescent="0.35">
      <c r="A989" s="29" t="s">
        <v>896</v>
      </c>
      <c r="B989" s="29" t="s">
        <v>2644</v>
      </c>
      <c r="C989" s="29" t="s">
        <v>905</v>
      </c>
      <c r="D989" s="30">
        <v>1</v>
      </c>
      <c r="E989" s="29" t="s">
        <v>2643</v>
      </c>
      <c r="F989" s="29" t="s">
        <v>1885</v>
      </c>
      <c r="G989" s="29" t="s">
        <v>901</v>
      </c>
      <c r="H989" s="29" t="s">
        <v>902</v>
      </c>
      <c r="I989" s="29" t="s">
        <v>656</v>
      </c>
      <c r="J989" s="29" t="s">
        <v>2645</v>
      </c>
    </row>
    <row r="990" spans="1:10" ht="19.5" customHeight="1" x14ac:dyDescent="0.35">
      <c r="A990" s="29" t="s">
        <v>896</v>
      </c>
      <c r="B990" s="29" t="s">
        <v>2646</v>
      </c>
      <c r="C990" s="29" t="s">
        <v>1817</v>
      </c>
      <c r="D990" s="30">
        <v>1</v>
      </c>
      <c r="E990" s="29" t="s">
        <v>2647</v>
      </c>
      <c r="F990" s="29" t="s">
        <v>1885</v>
      </c>
      <c r="G990" s="29" t="s">
        <v>901</v>
      </c>
      <c r="H990" s="29" t="s">
        <v>902</v>
      </c>
      <c r="I990" s="29" t="s">
        <v>656</v>
      </c>
      <c r="J990" s="29" t="s">
        <v>2443</v>
      </c>
    </row>
    <row r="991" spans="1:10" ht="19.5" customHeight="1" x14ac:dyDescent="0.35">
      <c r="A991" s="29" t="s">
        <v>896</v>
      </c>
      <c r="B991" s="29" t="s">
        <v>2648</v>
      </c>
      <c r="C991" s="29" t="s">
        <v>1212</v>
      </c>
      <c r="D991" s="30">
        <v>1</v>
      </c>
      <c r="E991" s="29" t="s">
        <v>2647</v>
      </c>
      <c r="F991" s="29" t="s">
        <v>1885</v>
      </c>
      <c r="G991" s="29" t="s">
        <v>901</v>
      </c>
      <c r="H991" s="29" t="s">
        <v>902</v>
      </c>
      <c r="I991" s="29" t="s">
        <v>656</v>
      </c>
      <c r="J991" s="29" t="s">
        <v>2649</v>
      </c>
    </row>
    <row r="992" spans="1:10" ht="19.5" customHeight="1" x14ac:dyDescent="0.35">
      <c r="A992" s="29" t="s">
        <v>896</v>
      </c>
      <c r="B992" s="29" t="s">
        <v>2650</v>
      </c>
      <c r="C992" s="29" t="s">
        <v>989</v>
      </c>
      <c r="D992" s="30">
        <v>1</v>
      </c>
      <c r="E992" s="29" t="s">
        <v>2651</v>
      </c>
      <c r="F992" s="29" t="s">
        <v>1885</v>
      </c>
      <c r="G992" s="29" t="s">
        <v>901</v>
      </c>
      <c r="H992" s="29" t="s">
        <v>902</v>
      </c>
      <c r="I992" s="29" t="s">
        <v>656</v>
      </c>
      <c r="J992" s="29" t="s">
        <v>2652</v>
      </c>
    </row>
    <row r="993" spans="1:10" ht="19.5" customHeight="1" x14ac:dyDescent="0.35">
      <c r="A993" s="29" t="s">
        <v>896</v>
      </c>
      <c r="B993" s="29" t="s">
        <v>2653</v>
      </c>
      <c r="C993" s="29" t="s">
        <v>1050</v>
      </c>
      <c r="D993" s="30">
        <v>1</v>
      </c>
      <c r="E993" s="29" t="s">
        <v>2654</v>
      </c>
      <c r="F993" s="29" t="s">
        <v>1885</v>
      </c>
      <c r="G993" s="29" t="s">
        <v>901</v>
      </c>
      <c r="H993" s="29" t="s">
        <v>902</v>
      </c>
      <c r="I993" s="29" t="s">
        <v>656</v>
      </c>
      <c r="J993" s="29" t="s">
        <v>2655</v>
      </c>
    </row>
    <row r="994" spans="1:10" ht="19.5" customHeight="1" x14ac:dyDescent="0.35">
      <c r="A994" s="29" t="s">
        <v>896</v>
      </c>
      <c r="B994" s="29" t="s">
        <v>2656</v>
      </c>
      <c r="C994" s="29" t="s">
        <v>913</v>
      </c>
      <c r="D994" s="30">
        <v>1</v>
      </c>
      <c r="E994" s="29" t="s">
        <v>2657</v>
      </c>
      <c r="F994" s="29" t="s">
        <v>1885</v>
      </c>
      <c r="G994" s="29" t="s">
        <v>901</v>
      </c>
      <c r="H994" s="29" t="s">
        <v>902</v>
      </c>
      <c r="I994" s="29" t="s">
        <v>656</v>
      </c>
      <c r="J994" s="29" t="s">
        <v>2658</v>
      </c>
    </row>
    <row r="995" spans="1:10" ht="19.5" customHeight="1" x14ac:dyDescent="0.35">
      <c r="A995" s="29" t="s">
        <v>896</v>
      </c>
      <c r="B995" s="29" t="s">
        <v>2659</v>
      </c>
      <c r="C995" s="29" t="s">
        <v>1077</v>
      </c>
      <c r="D995" s="30">
        <v>1</v>
      </c>
      <c r="E995" s="29" t="s">
        <v>2660</v>
      </c>
      <c r="F995" s="29" t="s">
        <v>1885</v>
      </c>
      <c r="G995" s="29" t="s">
        <v>901</v>
      </c>
      <c r="H995" s="29" t="s">
        <v>902</v>
      </c>
      <c r="I995" s="29" t="s">
        <v>656</v>
      </c>
      <c r="J995" s="29" t="s">
        <v>2661</v>
      </c>
    </row>
    <row r="996" spans="1:10" ht="19.5" customHeight="1" x14ac:dyDescent="0.35">
      <c r="A996" s="29" t="s">
        <v>896</v>
      </c>
      <c r="B996" s="29" t="s">
        <v>2662</v>
      </c>
      <c r="C996" s="29" t="s">
        <v>959</v>
      </c>
      <c r="D996" s="30">
        <v>1</v>
      </c>
      <c r="E996" s="29" t="s">
        <v>2663</v>
      </c>
      <c r="F996" s="29" t="s">
        <v>1885</v>
      </c>
      <c r="G996" s="29" t="s">
        <v>901</v>
      </c>
      <c r="H996" s="29" t="s">
        <v>902</v>
      </c>
      <c r="I996" s="29" t="s">
        <v>656</v>
      </c>
      <c r="J996" s="29" t="s">
        <v>2664</v>
      </c>
    </row>
    <row r="997" spans="1:10" ht="19.5" customHeight="1" x14ac:dyDescent="0.35">
      <c r="A997" s="29" t="s">
        <v>896</v>
      </c>
      <c r="B997" s="29" t="s">
        <v>2665</v>
      </c>
      <c r="C997" s="29" t="s">
        <v>1118</v>
      </c>
      <c r="D997" s="30">
        <v>1</v>
      </c>
      <c r="E997" s="29" t="s">
        <v>2666</v>
      </c>
      <c r="F997" s="29" t="s">
        <v>1885</v>
      </c>
      <c r="G997" s="29" t="s">
        <v>901</v>
      </c>
      <c r="H997" s="29" t="s">
        <v>902</v>
      </c>
      <c r="I997" s="29" t="s">
        <v>656</v>
      </c>
      <c r="J997" s="29" t="s">
        <v>2667</v>
      </c>
    </row>
    <row r="998" spans="1:10" ht="19.5" customHeight="1" x14ac:dyDescent="0.35">
      <c r="A998" s="29" t="s">
        <v>896</v>
      </c>
      <c r="B998" s="29" t="s">
        <v>2668</v>
      </c>
      <c r="C998" s="29" t="s">
        <v>1122</v>
      </c>
      <c r="D998" s="30">
        <v>1</v>
      </c>
      <c r="E998" s="29" t="s">
        <v>2669</v>
      </c>
      <c r="F998" s="29" t="s">
        <v>1885</v>
      </c>
      <c r="G998" s="29" t="s">
        <v>901</v>
      </c>
      <c r="H998" s="29" t="s">
        <v>902</v>
      </c>
      <c r="I998" s="29" t="s">
        <v>656</v>
      </c>
      <c r="J998" s="29" t="s">
        <v>2670</v>
      </c>
    </row>
    <row r="999" spans="1:10" ht="19.5" customHeight="1" x14ac:dyDescent="0.35">
      <c r="A999" s="29" t="s">
        <v>896</v>
      </c>
      <c r="B999" s="29" t="s">
        <v>2671</v>
      </c>
      <c r="C999" s="29" t="s">
        <v>1077</v>
      </c>
      <c r="D999" s="30">
        <v>1</v>
      </c>
      <c r="E999" s="29" t="s">
        <v>2669</v>
      </c>
      <c r="F999" s="29" t="s">
        <v>1885</v>
      </c>
      <c r="G999" s="29" t="s">
        <v>901</v>
      </c>
      <c r="H999" s="29" t="s">
        <v>902</v>
      </c>
      <c r="I999" s="29" t="s">
        <v>656</v>
      </c>
      <c r="J999" s="29" t="s">
        <v>2146</v>
      </c>
    </row>
    <row r="1000" spans="1:10" ht="19.5" customHeight="1" x14ac:dyDescent="0.35">
      <c r="A1000" s="29" t="s">
        <v>896</v>
      </c>
      <c r="B1000" s="29" t="s">
        <v>2672</v>
      </c>
      <c r="C1000" s="29" t="s">
        <v>921</v>
      </c>
      <c r="D1000" s="30">
        <v>1</v>
      </c>
      <c r="E1000" s="29" t="s">
        <v>2673</v>
      </c>
      <c r="F1000" s="29" t="s">
        <v>1885</v>
      </c>
      <c r="G1000" s="29" t="s">
        <v>901</v>
      </c>
      <c r="H1000" s="29" t="s">
        <v>902</v>
      </c>
      <c r="I1000" s="29" t="s">
        <v>656</v>
      </c>
      <c r="J1000" s="29" t="s">
        <v>2674</v>
      </c>
    </row>
    <row r="1001" spans="1:10" ht="19.5" customHeight="1" x14ac:dyDescent="0.35">
      <c r="A1001" s="29" t="s">
        <v>896</v>
      </c>
      <c r="B1001" s="29" t="s">
        <v>2675</v>
      </c>
      <c r="C1001" s="29" t="s">
        <v>1070</v>
      </c>
      <c r="D1001" s="30">
        <v>1</v>
      </c>
      <c r="E1001" s="29" t="s">
        <v>2673</v>
      </c>
      <c r="F1001" s="29" t="s">
        <v>1885</v>
      </c>
      <c r="G1001" s="29" t="s">
        <v>901</v>
      </c>
      <c r="H1001" s="29" t="s">
        <v>902</v>
      </c>
      <c r="I1001" s="29" t="s">
        <v>656</v>
      </c>
      <c r="J1001" s="29" t="s">
        <v>2676</v>
      </c>
    </row>
    <row r="1002" spans="1:10" ht="19.5" customHeight="1" x14ac:dyDescent="0.35">
      <c r="A1002" s="29" t="s">
        <v>896</v>
      </c>
      <c r="B1002" s="29" t="s">
        <v>2677</v>
      </c>
      <c r="C1002" s="29" t="s">
        <v>2598</v>
      </c>
      <c r="D1002" s="30">
        <v>1</v>
      </c>
      <c r="E1002" s="29" t="s">
        <v>2678</v>
      </c>
      <c r="F1002" s="29" t="s">
        <v>1885</v>
      </c>
      <c r="G1002" s="29" t="s">
        <v>901</v>
      </c>
      <c r="H1002" s="29" t="s">
        <v>902</v>
      </c>
      <c r="I1002" s="29" t="s">
        <v>656</v>
      </c>
      <c r="J1002" s="29" t="s">
        <v>2679</v>
      </c>
    </row>
    <row r="1003" spans="1:10" ht="19.5" customHeight="1" x14ac:dyDescent="0.35">
      <c r="A1003" s="29" t="s">
        <v>896</v>
      </c>
      <c r="B1003" s="29" t="s">
        <v>2680</v>
      </c>
      <c r="C1003" s="29" t="s">
        <v>921</v>
      </c>
      <c r="D1003" s="30">
        <v>1</v>
      </c>
      <c r="E1003" s="29" t="s">
        <v>2678</v>
      </c>
      <c r="F1003" s="29" t="s">
        <v>1885</v>
      </c>
      <c r="G1003" s="29" t="s">
        <v>901</v>
      </c>
      <c r="H1003" s="29" t="s">
        <v>902</v>
      </c>
      <c r="I1003" s="29" t="s">
        <v>656</v>
      </c>
      <c r="J1003" s="29" t="s">
        <v>2681</v>
      </c>
    </row>
    <row r="1004" spans="1:10" ht="19.5" customHeight="1" x14ac:dyDescent="0.35">
      <c r="A1004" s="29" t="s">
        <v>896</v>
      </c>
      <c r="B1004" s="29" t="s">
        <v>2682</v>
      </c>
      <c r="C1004" s="29" t="s">
        <v>1490</v>
      </c>
      <c r="D1004" s="30">
        <v>1</v>
      </c>
      <c r="E1004" s="29" t="s">
        <v>2683</v>
      </c>
      <c r="F1004" s="29" t="s">
        <v>1885</v>
      </c>
      <c r="G1004" s="29" t="s">
        <v>901</v>
      </c>
      <c r="H1004" s="29" t="s">
        <v>902</v>
      </c>
      <c r="I1004" s="29" t="s">
        <v>656</v>
      </c>
      <c r="J1004" s="29" t="s">
        <v>2580</v>
      </c>
    </row>
    <row r="1005" spans="1:10" ht="19.5" customHeight="1" x14ac:dyDescent="0.35">
      <c r="A1005" s="29" t="s">
        <v>896</v>
      </c>
      <c r="B1005" s="29" t="s">
        <v>2684</v>
      </c>
      <c r="C1005" s="29" t="s">
        <v>1077</v>
      </c>
      <c r="D1005" s="30">
        <v>1</v>
      </c>
      <c r="E1005" s="29" t="s">
        <v>2683</v>
      </c>
      <c r="F1005" s="29" t="s">
        <v>1885</v>
      </c>
      <c r="G1005" s="29" t="s">
        <v>901</v>
      </c>
      <c r="H1005" s="29" t="s">
        <v>902</v>
      </c>
      <c r="I1005" s="29" t="s">
        <v>656</v>
      </c>
      <c r="J1005" s="29" t="s">
        <v>2526</v>
      </c>
    </row>
    <row r="1006" spans="1:10" ht="19.5" customHeight="1" x14ac:dyDescent="0.35">
      <c r="A1006" s="29" t="s">
        <v>896</v>
      </c>
      <c r="B1006" s="29" t="s">
        <v>2685</v>
      </c>
      <c r="C1006" s="29" t="s">
        <v>1212</v>
      </c>
      <c r="D1006" s="30">
        <v>1</v>
      </c>
      <c r="E1006" s="29" t="s">
        <v>2683</v>
      </c>
      <c r="F1006" s="29" t="s">
        <v>1885</v>
      </c>
      <c r="G1006" s="29" t="s">
        <v>901</v>
      </c>
      <c r="H1006" s="29" t="s">
        <v>902</v>
      </c>
      <c r="I1006" s="29" t="s">
        <v>656</v>
      </c>
      <c r="J1006" s="29" t="s">
        <v>2686</v>
      </c>
    </row>
    <row r="1007" spans="1:10" ht="19.5" customHeight="1" x14ac:dyDescent="0.35">
      <c r="A1007" s="29" t="s">
        <v>896</v>
      </c>
      <c r="B1007" s="29" t="s">
        <v>2687</v>
      </c>
      <c r="C1007" s="29" t="s">
        <v>989</v>
      </c>
      <c r="D1007" s="30">
        <v>1</v>
      </c>
      <c r="E1007" s="29" t="s">
        <v>2688</v>
      </c>
      <c r="F1007" s="29" t="s">
        <v>1885</v>
      </c>
      <c r="G1007" s="29" t="s">
        <v>901</v>
      </c>
      <c r="H1007" s="29" t="s">
        <v>902</v>
      </c>
      <c r="I1007" s="29" t="s">
        <v>656</v>
      </c>
      <c r="J1007" s="29" t="s">
        <v>2689</v>
      </c>
    </row>
    <row r="1008" spans="1:10" ht="19.5" customHeight="1" x14ac:dyDescent="0.35">
      <c r="A1008" s="29" t="s">
        <v>896</v>
      </c>
      <c r="B1008" s="29" t="s">
        <v>2690</v>
      </c>
      <c r="C1008" s="29" t="s">
        <v>913</v>
      </c>
      <c r="D1008" s="30">
        <v>1</v>
      </c>
      <c r="E1008" s="29" t="s">
        <v>2691</v>
      </c>
      <c r="F1008" s="29" t="s">
        <v>1885</v>
      </c>
      <c r="G1008" s="29" t="s">
        <v>901</v>
      </c>
      <c r="H1008" s="29" t="s">
        <v>902</v>
      </c>
      <c r="I1008" s="29" t="s">
        <v>656</v>
      </c>
      <c r="J1008" s="29" t="s">
        <v>2692</v>
      </c>
    </row>
    <row r="1009" spans="1:10" ht="19.5" customHeight="1" x14ac:dyDescent="0.35">
      <c r="A1009" s="29" t="s">
        <v>896</v>
      </c>
      <c r="B1009" s="29" t="s">
        <v>2693</v>
      </c>
      <c r="C1009" s="29" t="s">
        <v>1111</v>
      </c>
      <c r="D1009" s="30">
        <v>1</v>
      </c>
      <c r="E1009" s="29" t="s">
        <v>2694</v>
      </c>
      <c r="F1009" s="29" t="s">
        <v>1885</v>
      </c>
      <c r="G1009" s="29" t="s">
        <v>901</v>
      </c>
      <c r="H1009" s="29" t="s">
        <v>902</v>
      </c>
      <c r="I1009" s="29" t="s">
        <v>656</v>
      </c>
      <c r="J1009" s="29" t="s">
        <v>2695</v>
      </c>
    </row>
    <row r="1010" spans="1:10" ht="19.5" customHeight="1" x14ac:dyDescent="0.35">
      <c r="A1010" s="29" t="s">
        <v>896</v>
      </c>
      <c r="B1010" s="29" t="s">
        <v>2696</v>
      </c>
      <c r="C1010" s="29" t="s">
        <v>1731</v>
      </c>
      <c r="D1010" s="30">
        <v>1</v>
      </c>
      <c r="E1010" s="29" t="s">
        <v>2697</v>
      </c>
      <c r="F1010" s="29" t="s">
        <v>1885</v>
      </c>
      <c r="G1010" s="29" t="s">
        <v>901</v>
      </c>
      <c r="H1010" s="29" t="s">
        <v>902</v>
      </c>
      <c r="I1010" s="29" t="s">
        <v>656</v>
      </c>
      <c r="J1010" s="29" t="s">
        <v>2698</v>
      </c>
    </row>
    <row r="1011" spans="1:10" ht="19.5" customHeight="1" x14ac:dyDescent="0.35">
      <c r="A1011" s="29" t="s">
        <v>896</v>
      </c>
      <c r="B1011" s="29" t="s">
        <v>2699</v>
      </c>
      <c r="C1011" s="29" t="s">
        <v>1136</v>
      </c>
      <c r="D1011" s="30">
        <v>1</v>
      </c>
      <c r="E1011" s="29" t="s">
        <v>2700</v>
      </c>
      <c r="F1011" s="29" t="s">
        <v>1885</v>
      </c>
      <c r="G1011" s="29" t="s">
        <v>901</v>
      </c>
      <c r="H1011" s="29" t="s">
        <v>902</v>
      </c>
      <c r="I1011" s="29" t="s">
        <v>656</v>
      </c>
      <c r="J1011" s="29" t="s">
        <v>2701</v>
      </c>
    </row>
    <row r="1012" spans="1:10" ht="19.5" customHeight="1" x14ac:dyDescent="0.35">
      <c r="A1012" s="29" t="s">
        <v>896</v>
      </c>
      <c r="B1012" s="29" t="s">
        <v>2702</v>
      </c>
      <c r="C1012" s="29" t="s">
        <v>913</v>
      </c>
      <c r="D1012" s="30">
        <v>1</v>
      </c>
      <c r="E1012" s="29" t="s">
        <v>2703</v>
      </c>
      <c r="F1012" s="29" t="s">
        <v>1885</v>
      </c>
      <c r="G1012" s="29" t="s">
        <v>901</v>
      </c>
      <c r="H1012" s="29" t="s">
        <v>902</v>
      </c>
      <c r="I1012" s="29" t="s">
        <v>656</v>
      </c>
      <c r="J1012" s="29" t="s">
        <v>2704</v>
      </c>
    </row>
    <row r="1013" spans="1:10" ht="19.5" customHeight="1" x14ac:dyDescent="0.35">
      <c r="A1013" s="29" t="s">
        <v>896</v>
      </c>
      <c r="B1013" s="29" t="s">
        <v>2705</v>
      </c>
      <c r="C1013" s="29" t="s">
        <v>1077</v>
      </c>
      <c r="D1013" s="30">
        <v>1</v>
      </c>
      <c r="E1013" s="29" t="s">
        <v>2706</v>
      </c>
      <c r="F1013" s="29" t="s">
        <v>1885</v>
      </c>
      <c r="G1013" s="29" t="s">
        <v>901</v>
      </c>
      <c r="H1013" s="29" t="s">
        <v>902</v>
      </c>
      <c r="I1013" s="29" t="s">
        <v>656</v>
      </c>
      <c r="J1013" s="29" t="s">
        <v>2707</v>
      </c>
    </row>
    <row r="1014" spans="1:10" ht="19.5" customHeight="1" x14ac:dyDescent="0.35">
      <c r="A1014" s="29" t="s">
        <v>896</v>
      </c>
      <c r="B1014" s="29" t="s">
        <v>2708</v>
      </c>
      <c r="C1014" s="29" t="s">
        <v>1009</v>
      </c>
      <c r="D1014" s="30">
        <v>1</v>
      </c>
      <c r="E1014" s="29" t="s">
        <v>2709</v>
      </c>
      <c r="F1014" s="29" t="s">
        <v>1885</v>
      </c>
      <c r="G1014" s="29" t="s">
        <v>901</v>
      </c>
      <c r="H1014" s="29" t="s">
        <v>902</v>
      </c>
      <c r="I1014" s="29" t="s">
        <v>656</v>
      </c>
      <c r="J1014" s="29" t="s">
        <v>2710</v>
      </c>
    </row>
    <row r="1015" spans="1:10" ht="19.5" customHeight="1" x14ac:dyDescent="0.35">
      <c r="A1015" s="29" t="s">
        <v>896</v>
      </c>
      <c r="B1015" s="29" t="s">
        <v>2711</v>
      </c>
      <c r="C1015" s="29" t="s">
        <v>959</v>
      </c>
      <c r="D1015" s="30">
        <v>1</v>
      </c>
      <c r="E1015" s="29" t="s">
        <v>2712</v>
      </c>
      <c r="F1015" s="29" t="s">
        <v>1885</v>
      </c>
      <c r="G1015" s="29" t="s">
        <v>901</v>
      </c>
      <c r="H1015" s="29" t="s">
        <v>902</v>
      </c>
      <c r="I1015" s="29" t="s">
        <v>656</v>
      </c>
      <c r="J1015" s="29" t="s">
        <v>2713</v>
      </c>
    </row>
    <row r="1016" spans="1:10" ht="19.5" customHeight="1" x14ac:dyDescent="0.35">
      <c r="A1016" s="29" t="s">
        <v>896</v>
      </c>
      <c r="B1016" s="29" t="s">
        <v>2714</v>
      </c>
      <c r="C1016" s="29" t="s">
        <v>1136</v>
      </c>
      <c r="D1016" s="30">
        <v>1</v>
      </c>
      <c r="E1016" s="29" t="s">
        <v>2715</v>
      </c>
      <c r="F1016" s="29" t="s">
        <v>1885</v>
      </c>
      <c r="G1016" s="29" t="s">
        <v>901</v>
      </c>
      <c r="H1016" s="29" t="s">
        <v>902</v>
      </c>
      <c r="I1016" s="29" t="s">
        <v>656</v>
      </c>
      <c r="J1016" s="29" t="s">
        <v>2701</v>
      </c>
    </row>
    <row r="1017" spans="1:10" ht="19.5" customHeight="1" x14ac:dyDescent="0.35">
      <c r="A1017" s="29" t="s">
        <v>896</v>
      </c>
      <c r="B1017" s="29" t="s">
        <v>2716</v>
      </c>
      <c r="C1017" s="29" t="s">
        <v>921</v>
      </c>
      <c r="D1017" s="30">
        <v>1</v>
      </c>
      <c r="E1017" s="29" t="s">
        <v>2717</v>
      </c>
      <c r="F1017" s="29" t="s">
        <v>1885</v>
      </c>
      <c r="G1017" s="29" t="s">
        <v>901</v>
      </c>
      <c r="H1017" s="29" t="s">
        <v>902</v>
      </c>
      <c r="I1017" s="29" t="s">
        <v>656</v>
      </c>
      <c r="J1017" s="29" t="s">
        <v>2636</v>
      </c>
    </row>
    <row r="1018" spans="1:10" ht="19.5" customHeight="1" x14ac:dyDescent="0.35">
      <c r="A1018" s="29" t="s">
        <v>896</v>
      </c>
      <c r="B1018" s="29" t="s">
        <v>2718</v>
      </c>
      <c r="C1018" s="29" t="s">
        <v>921</v>
      </c>
      <c r="D1018" s="30">
        <v>1</v>
      </c>
      <c r="E1018" s="29" t="s">
        <v>2719</v>
      </c>
      <c r="F1018" s="29" t="s">
        <v>1885</v>
      </c>
      <c r="G1018" s="29" t="s">
        <v>901</v>
      </c>
      <c r="H1018" s="29" t="s">
        <v>902</v>
      </c>
      <c r="I1018" s="29" t="s">
        <v>656</v>
      </c>
      <c r="J1018" s="29" t="s">
        <v>2720</v>
      </c>
    </row>
    <row r="1019" spans="1:10" ht="19.5" customHeight="1" x14ac:dyDescent="0.35">
      <c r="A1019" s="29" t="s">
        <v>896</v>
      </c>
      <c r="B1019" s="29" t="s">
        <v>2721</v>
      </c>
      <c r="C1019" s="29" t="s">
        <v>1084</v>
      </c>
      <c r="D1019" s="30">
        <v>1</v>
      </c>
      <c r="E1019" s="29" t="s">
        <v>2719</v>
      </c>
      <c r="F1019" s="29" t="s">
        <v>1885</v>
      </c>
      <c r="G1019" s="29" t="s">
        <v>901</v>
      </c>
      <c r="H1019" s="29" t="s">
        <v>902</v>
      </c>
      <c r="I1019" s="29" t="s">
        <v>656</v>
      </c>
      <c r="J1019" s="29" t="s">
        <v>2722</v>
      </c>
    </row>
    <row r="1020" spans="1:10" ht="19.5" customHeight="1" x14ac:dyDescent="0.35">
      <c r="A1020" s="29" t="s">
        <v>896</v>
      </c>
      <c r="B1020" s="29" t="s">
        <v>2723</v>
      </c>
      <c r="C1020" s="29" t="s">
        <v>1659</v>
      </c>
      <c r="D1020" s="30">
        <v>1</v>
      </c>
      <c r="E1020" s="29" t="s">
        <v>2724</v>
      </c>
      <c r="F1020" s="29" t="s">
        <v>1885</v>
      </c>
      <c r="G1020" s="29" t="s">
        <v>901</v>
      </c>
      <c r="H1020" s="29" t="s">
        <v>902</v>
      </c>
      <c r="I1020" s="29" t="s">
        <v>656</v>
      </c>
      <c r="J1020" s="29" t="s">
        <v>2725</v>
      </c>
    </row>
    <row r="1021" spans="1:10" ht="19.5" customHeight="1" x14ac:dyDescent="0.35">
      <c r="A1021" s="29" t="s">
        <v>896</v>
      </c>
      <c r="B1021" s="29" t="s">
        <v>2726</v>
      </c>
      <c r="C1021" s="29" t="s">
        <v>921</v>
      </c>
      <c r="D1021" s="30">
        <v>1</v>
      </c>
      <c r="E1021" s="29" t="s">
        <v>2727</v>
      </c>
      <c r="F1021" s="29" t="s">
        <v>1885</v>
      </c>
      <c r="G1021" s="29" t="s">
        <v>901</v>
      </c>
      <c r="H1021" s="29" t="s">
        <v>902</v>
      </c>
      <c r="I1021" s="29" t="s">
        <v>656</v>
      </c>
      <c r="J1021" s="29" t="s">
        <v>2728</v>
      </c>
    </row>
    <row r="1022" spans="1:10" ht="19.5" customHeight="1" x14ac:dyDescent="0.35">
      <c r="A1022" s="29" t="s">
        <v>896</v>
      </c>
      <c r="B1022" s="29" t="s">
        <v>2729</v>
      </c>
      <c r="C1022" s="29" t="s">
        <v>1490</v>
      </c>
      <c r="D1022" s="30">
        <v>1</v>
      </c>
      <c r="E1022" s="29" t="s">
        <v>2730</v>
      </c>
      <c r="F1022" s="29" t="s">
        <v>1885</v>
      </c>
      <c r="G1022" s="29" t="s">
        <v>901</v>
      </c>
      <c r="H1022" s="29" t="s">
        <v>902</v>
      </c>
      <c r="I1022" s="29" t="s">
        <v>656</v>
      </c>
      <c r="J1022" s="29" t="s">
        <v>2731</v>
      </c>
    </row>
    <row r="1023" spans="1:10" ht="19.5" customHeight="1" x14ac:dyDescent="0.35">
      <c r="A1023" s="29" t="s">
        <v>896</v>
      </c>
      <c r="B1023" s="29" t="s">
        <v>2732</v>
      </c>
      <c r="C1023" s="29" t="s">
        <v>989</v>
      </c>
      <c r="D1023" s="30">
        <v>1</v>
      </c>
      <c r="E1023" s="29" t="s">
        <v>2733</v>
      </c>
      <c r="F1023" s="29" t="s">
        <v>1885</v>
      </c>
      <c r="G1023" s="29" t="s">
        <v>901</v>
      </c>
      <c r="H1023" s="29" t="s">
        <v>902</v>
      </c>
      <c r="I1023" s="29" t="s">
        <v>656</v>
      </c>
      <c r="J1023" s="29" t="s">
        <v>2734</v>
      </c>
    </row>
    <row r="1024" spans="1:10" ht="19.5" customHeight="1" x14ac:dyDescent="0.35">
      <c r="A1024" s="29" t="s">
        <v>896</v>
      </c>
      <c r="B1024" s="29" t="s">
        <v>2735</v>
      </c>
      <c r="C1024" s="29" t="s">
        <v>929</v>
      </c>
      <c r="D1024" s="30">
        <v>1</v>
      </c>
      <c r="E1024" s="29" t="s">
        <v>2736</v>
      </c>
      <c r="F1024" s="29" t="s">
        <v>1885</v>
      </c>
      <c r="G1024" s="29" t="s">
        <v>901</v>
      </c>
      <c r="H1024" s="29" t="s">
        <v>902</v>
      </c>
      <c r="I1024" s="29" t="s">
        <v>656</v>
      </c>
      <c r="J1024" s="29" t="s">
        <v>2222</v>
      </c>
    </row>
    <row r="1025" spans="1:10" ht="19.5" customHeight="1" x14ac:dyDescent="0.35">
      <c r="A1025" s="29" t="s">
        <v>896</v>
      </c>
      <c r="B1025" s="29" t="s">
        <v>2737</v>
      </c>
      <c r="C1025" s="29" t="s">
        <v>1136</v>
      </c>
      <c r="D1025" s="30">
        <v>1</v>
      </c>
      <c r="E1025" s="29" t="s">
        <v>2738</v>
      </c>
      <c r="F1025" s="29" t="s">
        <v>1885</v>
      </c>
      <c r="G1025" s="29" t="s">
        <v>901</v>
      </c>
      <c r="H1025" s="29" t="s">
        <v>902</v>
      </c>
      <c r="I1025" s="29" t="s">
        <v>656</v>
      </c>
      <c r="J1025" s="29" t="s">
        <v>2146</v>
      </c>
    </row>
    <row r="1026" spans="1:10" ht="19.5" customHeight="1" x14ac:dyDescent="0.35">
      <c r="A1026" s="29" t="s">
        <v>896</v>
      </c>
      <c r="B1026" s="29" t="s">
        <v>2739</v>
      </c>
      <c r="C1026" s="29" t="s">
        <v>913</v>
      </c>
      <c r="D1026" s="30">
        <v>1</v>
      </c>
      <c r="E1026" s="29" t="s">
        <v>2740</v>
      </c>
      <c r="F1026" s="29" t="s">
        <v>1885</v>
      </c>
      <c r="G1026" s="29" t="s">
        <v>901</v>
      </c>
      <c r="H1026" s="29" t="s">
        <v>902</v>
      </c>
      <c r="I1026" s="29" t="s">
        <v>656</v>
      </c>
      <c r="J1026" s="29" t="s">
        <v>2741</v>
      </c>
    </row>
    <row r="1027" spans="1:10" ht="19.5" customHeight="1" x14ac:dyDescent="0.35">
      <c r="A1027" s="29" t="s">
        <v>896</v>
      </c>
      <c r="B1027" s="29" t="s">
        <v>2742</v>
      </c>
      <c r="C1027" s="29" t="s">
        <v>1050</v>
      </c>
      <c r="D1027" s="30">
        <v>1</v>
      </c>
      <c r="E1027" s="29" t="s">
        <v>2743</v>
      </c>
      <c r="F1027" s="29" t="s">
        <v>1885</v>
      </c>
      <c r="G1027" s="29" t="s">
        <v>901</v>
      </c>
      <c r="H1027" s="29" t="s">
        <v>902</v>
      </c>
      <c r="I1027" s="29" t="s">
        <v>656</v>
      </c>
      <c r="J1027" s="29" t="s">
        <v>2734</v>
      </c>
    </row>
    <row r="1028" spans="1:10" ht="19.5" customHeight="1" x14ac:dyDescent="0.35">
      <c r="A1028" s="29" t="s">
        <v>896</v>
      </c>
      <c r="B1028" s="29" t="s">
        <v>2744</v>
      </c>
      <c r="C1028" s="29" t="s">
        <v>1646</v>
      </c>
      <c r="D1028" s="30">
        <v>1</v>
      </c>
      <c r="E1028" s="29" t="s">
        <v>2745</v>
      </c>
      <c r="F1028" s="29" t="s">
        <v>1885</v>
      </c>
      <c r="G1028" s="29" t="s">
        <v>901</v>
      </c>
      <c r="H1028" s="29" t="s">
        <v>902</v>
      </c>
      <c r="I1028" s="29" t="s">
        <v>656</v>
      </c>
      <c r="J1028" s="29" t="s">
        <v>2746</v>
      </c>
    </row>
    <row r="1029" spans="1:10" ht="19.5" customHeight="1" x14ac:dyDescent="0.35">
      <c r="A1029" s="29" t="s">
        <v>896</v>
      </c>
      <c r="B1029" s="29" t="s">
        <v>2747</v>
      </c>
      <c r="C1029" s="29" t="s">
        <v>1136</v>
      </c>
      <c r="D1029" s="30">
        <v>1</v>
      </c>
      <c r="E1029" s="29" t="s">
        <v>2748</v>
      </c>
      <c r="F1029" s="29" t="s">
        <v>1885</v>
      </c>
      <c r="G1029" s="29" t="s">
        <v>901</v>
      </c>
      <c r="H1029" s="29" t="s">
        <v>902</v>
      </c>
      <c r="I1029" s="29" t="s">
        <v>656</v>
      </c>
      <c r="J1029" s="29" t="s">
        <v>2521</v>
      </c>
    </row>
    <row r="1030" spans="1:10" ht="19.5" customHeight="1" x14ac:dyDescent="0.35">
      <c r="A1030" s="29" t="s">
        <v>896</v>
      </c>
      <c r="B1030" s="29" t="s">
        <v>2749</v>
      </c>
      <c r="C1030" s="29" t="s">
        <v>1009</v>
      </c>
      <c r="D1030" s="30">
        <v>1</v>
      </c>
      <c r="E1030" s="29" t="s">
        <v>2750</v>
      </c>
      <c r="F1030" s="29" t="s">
        <v>1885</v>
      </c>
      <c r="G1030" s="29" t="s">
        <v>901</v>
      </c>
      <c r="H1030" s="29" t="s">
        <v>902</v>
      </c>
      <c r="I1030" s="29" t="s">
        <v>656</v>
      </c>
      <c r="J1030" s="29" t="s">
        <v>2751</v>
      </c>
    </row>
    <row r="1031" spans="1:10" ht="19.5" customHeight="1" x14ac:dyDescent="0.35">
      <c r="A1031" s="29" t="s">
        <v>896</v>
      </c>
      <c r="B1031" s="29" t="s">
        <v>2752</v>
      </c>
      <c r="C1031" s="29" t="s">
        <v>1077</v>
      </c>
      <c r="D1031" s="30">
        <v>1</v>
      </c>
      <c r="E1031" s="29" t="s">
        <v>2753</v>
      </c>
      <c r="F1031" s="29" t="s">
        <v>1885</v>
      </c>
      <c r="G1031" s="29" t="s">
        <v>901</v>
      </c>
      <c r="H1031" s="29" t="s">
        <v>902</v>
      </c>
      <c r="I1031" s="29" t="s">
        <v>656</v>
      </c>
      <c r="J1031" s="29" t="s">
        <v>2754</v>
      </c>
    </row>
    <row r="1032" spans="1:10" ht="19.5" customHeight="1" x14ac:dyDescent="0.35">
      <c r="A1032" s="29" t="s">
        <v>896</v>
      </c>
      <c r="B1032" s="29" t="s">
        <v>2755</v>
      </c>
      <c r="C1032" s="29" t="s">
        <v>1077</v>
      </c>
      <c r="D1032" s="30">
        <v>1</v>
      </c>
      <c r="E1032" s="29" t="s">
        <v>2756</v>
      </c>
      <c r="F1032" s="29" t="s">
        <v>1885</v>
      </c>
      <c r="G1032" s="29" t="s">
        <v>901</v>
      </c>
      <c r="H1032" s="29" t="s">
        <v>902</v>
      </c>
      <c r="I1032" s="29" t="s">
        <v>656</v>
      </c>
      <c r="J1032" s="29" t="s">
        <v>2757</v>
      </c>
    </row>
    <row r="1033" spans="1:10" ht="19.5" customHeight="1" x14ac:dyDescent="0.35">
      <c r="A1033" s="29" t="s">
        <v>896</v>
      </c>
      <c r="B1033" s="29" t="s">
        <v>2758</v>
      </c>
      <c r="C1033" s="29" t="s">
        <v>917</v>
      </c>
      <c r="D1033" s="30">
        <v>1</v>
      </c>
      <c r="E1033" s="29" t="s">
        <v>2759</v>
      </c>
      <c r="F1033" s="29" t="s">
        <v>1885</v>
      </c>
      <c r="G1033" s="29" t="s">
        <v>901</v>
      </c>
      <c r="H1033" s="29" t="s">
        <v>902</v>
      </c>
      <c r="I1033" s="29" t="s">
        <v>656</v>
      </c>
      <c r="J1033" s="29" t="s">
        <v>2760</v>
      </c>
    </row>
    <row r="1034" spans="1:10" ht="19.5" customHeight="1" x14ac:dyDescent="0.35">
      <c r="A1034" s="29" t="s">
        <v>896</v>
      </c>
      <c r="B1034" s="29" t="s">
        <v>2761</v>
      </c>
      <c r="C1034" s="29" t="s">
        <v>946</v>
      </c>
      <c r="D1034" s="30">
        <v>1</v>
      </c>
      <c r="E1034" s="29" t="s">
        <v>2762</v>
      </c>
      <c r="F1034" s="29" t="s">
        <v>1885</v>
      </c>
      <c r="G1034" s="29" t="s">
        <v>901</v>
      </c>
      <c r="H1034" s="29" t="s">
        <v>902</v>
      </c>
      <c r="I1034" s="29" t="s">
        <v>656</v>
      </c>
      <c r="J1034" s="29" t="s">
        <v>2763</v>
      </c>
    </row>
    <row r="1035" spans="1:10" ht="19.5" customHeight="1" x14ac:dyDescent="0.35">
      <c r="A1035" s="29" t="s">
        <v>896</v>
      </c>
      <c r="B1035" s="29" t="s">
        <v>2764</v>
      </c>
      <c r="C1035" s="29" t="s">
        <v>1077</v>
      </c>
      <c r="D1035" s="30">
        <v>1</v>
      </c>
      <c r="E1035" s="29" t="s">
        <v>2748</v>
      </c>
      <c r="F1035" s="29" t="s">
        <v>1885</v>
      </c>
      <c r="G1035" s="29" t="s">
        <v>901</v>
      </c>
      <c r="H1035" s="29" t="s">
        <v>902</v>
      </c>
      <c r="I1035" s="29" t="s">
        <v>656</v>
      </c>
      <c r="J1035" s="29" t="s">
        <v>2765</v>
      </c>
    </row>
    <row r="1036" spans="1:10" ht="19.5" customHeight="1" x14ac:dyDescent="0.35">
      <c r="A1036" s="29" t="s">
        <v>896</v>
      </c>
      <c r="B1036" s="29" t="s">
        <v>2766</v>
      </c>
      <c r="C1036" s="29" t="s">
        <v>1077</v>
      </c>
      <c r="D1036" s="30">
        <v>1</v>
      </c>
      <c r="E1036" s="29" t="s">
        <v>2767</v>
      </c>
      <c r="F1036" s="29" t="s">
        <v>1885</v>
      </c>
      <c r="G1036" s="29" t="s">
        <v>901</v>
      </c>
      <c r="H1036" s="29" t="s">
        <v>902</v>
      </c>
      <c r="I1036" s="29" t="s">
        <v>656</v>
      </c>
      <c r="J1036" s="29" t="s">
        <v>2768</v>
      </c>
    </row>
    <row r="1037" spans="1:10" ht="19.5" customHeight="1" x14ac:dyDescent="0.35">
      <c r="A1037" s="29" t="s">
        <v>896</v>
      </c>
      <c r="B1037" s="29" t="s">
        <v>2769</v>
      </c>
      <c r="C1037" s="29" t="s">
        <v>1122</v>
      </c>
      <c r="D1037" s="30">
        <v>1</v>
      </c>
      <c r="E1037" s="29" t="s">
        <v>2745</v>
      </c>
      <c r="F1037" s="29" t="s">
        <v>1885</v>
      </c>
      <c r="G1037" s="29" t="s">
        <v>901</v>
      </c>
      <c r="H1037" s="29" t="s">
        <v>902</v>
      </c>
      <c r="I1037" s="29" t="s">
        <v>656</v>
      </c>
      <c r="J1037" s="29" t="s">
        <v>2770</v>
      </c>
    </row>
    <row r="1038" spans="1:10" ht="19.5" customHeight="1" x14ac:dyDescent="0.35">
      <c r="A1038" s="29" t="s">
        <v>896</v>
      </c>
      <c r="B1038" s="29" t="s">
        <v>2771</v>
      </c>
      <c r="C1038" s="29" t="s">
        <v>1143</v>
      </c>
      <c r="D1038" s="30">
        <v>1</v>
      </c>
      <c r="E1038" s="29" t="s">
        <v>2772</v>
      </c>
      <c r="F1038" s="29" t="s">
        <v>1885</v>
      </c>
      <c r="G1038" s="29" t="s">
        <v>901</v>
      </c>
      <c r="H1038" s="29" t="s">
        <v>902</v>
      </c>
      <c r="I1038" s="29" t="s">
        <v>656</v>
      </c>
      <c r="J1038" s="29" t="s">
        <v>2773</v>
      </c>
    </row>
    <row r="1039" spans="1:10" ht="19.5" customHeight="1" x14ac:dyDescent="0.35">
      <c r="A1039" s="29" t="s">
        <v>896</v>
      </c>
      <c r="B1039" s="29" t="s">
        <v>2774</v>
      </c>
      <c r="C1039" s="29" t="s">
        <v>1009</v>
      </c>
      <c r="D1039" s="30">
        <v>1</v>
      </c>
      <c r="E1039" s="29" t="s">
        <v>2772</v>
      </c>
      <c r="F1039" s="29" t="s">
        <v>1885</v>
      </c>
      <c r="G1039" s="29" t="s">
        <v>901</v>
      </c>
      <c r="H1039" s="29" t="s">
        <v>902</v>
      </c>
      <c r="I1039" s="29" t="s">
        <v>656</v>
      </c>
      <c r="J1039" s="29" t="s">
        <v>2560</v>
      </c>
    </row>
    <row r="1040" spans="1:10" ht="19.5" customHeight="1" x14ac:dyDescent="0.35">
      <c r="A1040" s="29" t="s">
        <v>896</v>
      </c>
      <c r="B1040" s="29" t="s">
        <v>2775</v>
      </c>
      <c r="C1040" s="29" t="s">
        <v>1077</v>
      </c>
      <c r="D1040" s="30">
        <v>1</v>
      </c>
      <c r="E1040" s="29" t="s">
        <v>2772</v>
      </c>
      <c r="F1040" s="29" t="s">
        <v>1885</v>
      </c>
      <c r="G1040" s="29" t="s">
        <v>901</v>
      </c>
      <c r="H1040" s="29" t="s">
        <v>902</v>
      </c>
      <c r="I1040" s="29" t="s">
        <v>656</v>
      </c>
      <c r="J1040" s="29" t="s">
        <v>2776</v>
      </c>
    </row>
    <row r="1041" spans="1:10" ht="19.5" customHeight="1" x14ac:dyDescent="0.35">
      <c r="A1041" s="29" t="s">
        <v>896</v>
      </c>
      <c r="B1041" s="29" t="s">
        <v>2777</v>
      </c>
      <c r="C1041" s="29" t="s">
        <v>1659</v>
      </c>
      <c r="D1041" s="30">
        <v>1</v>
      </c>
      <c r="E1041" s="29" t="s">
        <v>2778</v>
      </c>
      <c r="F1041" s="29" t="s">
        <v>1885</v>
      </c>
      <c r="G1041" s="29" t="s">
        <v>901</v>
      </c>
      <c r="H1041" s="29" t="s">
        <v>902</v>
      </c>
      <c r="I1041" s="29" t="s">
        <v>656</v>
      </c>
      <c r="J1041" s="29" t="s">
        <v>2779</v>
      </c>
    </row>
    <row r="1042" spans="1:10" ht="19.5" customHeight="1" x14ac:dyDescent="0.35">
      <c r="A1042" s="29" t="s">
        <v>896</v>
      </c>
      <c r="B1042" s="29" t="s">
        <v>2780</v>
      </c>
      <c r="C1042" s="29" t="s">
        <v>1490</v>
      </c>
      <c r="D1042" s="30">
        <v>1</v>
      </c>
      <c r="E1042" s="29" t="s">
        <v>2778</v>
      </c>
      <c r="F1042" s="29" t="s">
        <v>1885</v>
      </c>
      <c r="G1042" s="29" t="s">
        <v>901</v>
      </c>
      <c r="H1042" s="29" t="s">
        <v>902</v>
      </c>
      <c r="I1042" s="29" t="s">
        <v>656</v>
      </c>
      <c r="J1042" s="29" t="s">
        <v>2781</v>
      </c>
    </row>
    <row r="1043" spans="1:10" ht="19.5" customHeight="1" x14ac:dyDescent="0.35">
      <c r="A1043" s="29" t="s">
        <v>896</v>
      </c>
      <c r="B1043" s="29" t="s">
        <v>2782</v>
      </c>
      <c r="C1043" s="29" t="s">
        <v>1582</v>
      </c>
      <c r="D1043" s="30">
        <v>1</v>
      </c>
      <c r="E1043" s="29" t="s">
        <v>2778</v>
      </c>
      <c r="F1043" s="29" t="s">
        <v>1885</v>
      </c>
      <c r="G1043" s="29" t="s">
        <v>901</v>
      </c>
      <c r="H1043" s="29" t="s">
        <v>902</v>
      </c>
      <c r="I1043" s="29" t="s">
        <v>656</v>
      </c>
      <c r="J1043" s="29" t="s">
        <v>2439</v>
      </c>
    </row>
    <row r="1044" spans="1:10" ht="19.5" customHeight="1" x14ac:dyDescent="0.35">
      <c r="A1044" s="29" t="s">
        <v>896</v>
      </c>
      <c r="B1044" s="29" t="s">
        <v>2783</v>
      </c>
      <c r="C1044" s="29" t="s">
        <v>1136</v>
      </c>
      <c r="D1044" s="30">
        <v>1</v>
      </c>
      <c r="E1044" s="29" t="s">
        <v>2784</v>
      </c>
      <c r="F1044" s="29" t="s">
        <v>1885</v>
      </c>
      <c r="G1044" s="29" t="s">
        <v>901</v>
      </c>
      <c r="H1044" s="29" t="s">
        <v>902</v>
      </c>
      <c r="I1044" s="29" t="s">
        <v>656</v>
      </c>
      <c r="J1044" s="29" t="s">
        <v>2785</v>
      </c>
    </row>
    <row r="1045" spans="1:10" ht="19.5" customHeight="1" x14ac:dyDescent="0.35">
      <c r="A1045" s="29" t="s">
        <v>896</v>
      </c>
      <c r="B1045" s="29" t="s">
        <v>2786</v>
      </c>
      <c r="C1045" s="29" t="s">
        <v>1009</v>
      </c>
      <c r="D1045" s="30">
        <v>1</v>
      </c>
      <c r="E1045" s="29" t="s">
        <v>2784</v>
      </c>
      <c r="F1045" s="29" t="s">
        <v>1885</v>
      </c>
      <c r="G1045" s="29" t="s">
        <v>901</v>
      </c>
      <c r="H1045" s="29" t="s">
        <v>902</v>
      </c>
      <c r="I1045" s="29" t="s">
        <v>656</v>
      </c>
      <c r="J1045" s="29" t="s">
        <v>2787</v>
      </c>
    </row>
    <row r="1046" spans="1:10" ht="19.5" customHeight="1" x14ac:dyDescent="0.35">
      <c r="A1046" s="29" t="s">
        <v>896</v>
      </c>
      <c r="B1046" s="29" t="s">
        <v>2788</v>
      </c>
      <c r="C1046" s="29" t="s">
        <v>1490</v>
      </c>
      <c r="D1046" s="30">
        <v>1</v>
      </c>
      <c r="E1046" s="29" t="s">
        <v>2784</v>
      </c>
      <c r="F1046" s="29" t="s">
        <v>1885</v>
      </c>
      <c r="G1046" s="29" t="s">
        <v>901</v>
      </c>
      <c r="H1046" s="29" t="s">
        <v>902</v>
      </c>
      <c r="I1046" s="29" t="s">
        <v>656</v>
      </c>
      <c r="J1046" s="29" t="s">
        <v>2720</v>
      </c>
    </row>
    <row r="1047" spans="1:10" ht="19.5" customHeight="1" x14ac:dyDescent="0.35">
      <c r="A1047" s="29" t="s">
        <v>896</v>
      </c>
      <c r="B1047" s="29" t="s">
        <v>2789</v>
      </c>
      <c r="C1047" s="29" t="s">
        <v>921</v>
      </c>
      <c r="D1047" s="30">
        <v>1</v>
      </c>
      <c r="E1047" s="29" t="s">
        <v>2784</v>
      </c>
      <c r="F1047" s="29" t="s">
        <v>1885</v>
      </c>
      <c r="G1047" s="29" t="s">
        <v>901</v>
      </c>
      <c r="H1047" s="29" t="s">
        <v>902</v>
      </c>
      <c r="I1047" s="29" t="s">
        <v>656</v>
      </c>
      <c r="J1047" s="29" t="s">
        <v>2790</v>
      </c>
    </row>
    <row r="1048" spans="1:10" ht="19.5" customHeight="1" x14ac:dyDescent="0.35">
      <c r="A1048" s="29" t="s">
        <v>896</v>
      </c>
      <c r="B1048" s="29" t="s">
        <v>2791</v>
      </c>
      <c r="C1048" s="29" t="s">
        <v>2792</v>
      </c>
      <c r="D1048" s="30">
        <v>1</v>
      </c>
      <c r="E1048" s="29" t="s">
        <v>2793</v>
      </c>
      <c r="F1048" s="29" t="s">
        <v>1885</v>
      </c>
      <c r="G1048" s="29" t="s">
        <v>901</v>
      </c>
      <c r="H1048" s="29" t="s">
        <v>902</v>
      </c>
      <c r="I1048" s="29" t="s">
        <v>656</v>
      </c>
      <c r="J1048" s="29" t="s">
        <v>2794</v>
      </c>
    </row>
    <row r="1049" spans="1:10" ht="19.5" customHeight="1" x14ac:dyDescent="0.35">
      <c r="A1049" s="29" t="s">
        <v>896</v>
      </c>
      <c r="B1049" s="29" t="s">
        <v>2795</v>
      </c>
      <c r="C1049" s="29" t="s">
        <v>1050</v>
      </c>
      <c r="D1049" s="30">
        <v>1</v>
      </c>
      <c r="E1049" s="29" t="s">
        <v>2793</v>
      </c>
      <c r="F1049" s="29" t="s">
        <v>1885</v>
      </c>
      <c r="G1049" s="29" t="s">
        <v>901</v>
      </c>
      <c r="H1049" s="29" t="s">
        <v>902</v>
      </c>
      <c r="I1049" s="29" t="s">
        <v>656</v>
      </c>
      <c r="J1049" s="29" t="s">
        <v>2734</v>
      </c>
    </row>
    <row r="1050" spans="1:10" ht="19.5" customHeight="1" x14ac:dyDescent="0.35">
      <c r="A1050" s="29" t="s">
        <v>896</v>
      </c>
      <c r="B1050" s="29" t="s">
        <v>2796</v>
      </c>
      <c r="C1050" s="29" t="s">
        <v>1077</v>
      </c>
      <c r="D1050" s="30">
        <v>1</v>
      </c>
      <c r="E1050" s="29" t="s">
        <v>2793</v>
      </c>
      <c r="F1050" s="29" t="s">
        <v>1885</v>
      </c>
      <c r="G1050" s="29" t="s">
        <v>901</v>
      </c>
      <c r="H1050" s="29" t="s">
        <v>902</v>
      </c>
      <c r="I1050" s="29" t="s">
        <v>656</v>
      </c>
      <c r="J1050" s="29" t="s">
        <v>2621</v>
      </c>
    </row>
    <row r="1051" spans="1:10" ht="19.5" customHeight="1" x14ac:dyDescent="0.35">
      <c r="A1051" s="29" t="s">
        <v>896</v>
      </c>
      <c r="B1051" s="29" t="s">
        <v>2797</v>
      </c>
      <c r="C1051" s="29" t="s">
        <v>1077</v>
      </c>
      <c r="D1051" s="30">
        <v>1</v>
      </c>
      <c r="E1051" s="29" t="s">
        <v>2793</v>
      </c>
      <c r="F1051" s="29" t="s">
        <v>1885</v>
      </c>
      <c r="G1051" s="29" t="s">
        <v>901</v>
      </c>
      <c r="H1051" s="29" t="s">
        <v>902</v>
      </c>
      <c r="I1051" s="29" t="s">
        <v>656</v>
      </c>
      <c r="J1051" s="29" t="s">
        <v>2798</v>
      </c>
    </row>
    <row r="1052" spans="1:10" ht="19.5" customHeight="1" x14ac:dyDescent="0.35">
      <c r="A1052" s="29" t="s">
        <v>896</v>
      </c>
      <c r="B1052" s="29" t="s">
        <v>2799</v>
      </c>
      <c r="C1052" s="29" t="s">
        <v>1768</v>
      </c>
      <c r="D1052" s="30">
        <v>1</v>
      </c>
      <c r="E1052" s="29" t="s">
        <v>2793</v>
      </c>
      <c r="F1052" s="29" t="s">
        <v>1885</v>
      </c>
      <c r="G1052" s="29" t="s">
        <v>901</v>
      </c>
      <c r="H1052" s="29" t="s">
        <v>902</v>
      </c>
      <c r="I1052" s="29" t="s">
        <v>656</v>
      </c>
      <c r="J1052" s="29" t="s">
        <v>2800</v>
      </c>
    </row>
    <row r="1053" spans="1:10" ht="19.5" customHeight="1" x14ac:dyDescent="0.35">
      <c r="A1053" s="29" t="s">
        <v>896</v>
      </c>
      <c r="B1053" s="29" t="s">
        <v>2801</v>
      </c>
      <c r="C1053" s="29" t="s">
        <v>963</v>
      </c>
      <c r="D1053" s="30">
        <v>1</v>
      </c>
      <c r="E1053" s="29" t="s">
        <v>2802</v>
      </c>
      <c r="F1053" s="29" t="s">
        <v>1885</v>
      </c>
      <c r="G1053" s="29" t="s">
        <v>901</v>
      </c>
      <c r="H1053" s="29" t="s">
        <v>902</v>
      </c>
      <c r="I1053" s="29" t="s">
        <v>656</v>
      </c>
      <c r="J1053" s="29" t="s">
        <v>2803</v>
      </c>
    </row>
    <row r="1054" spans="1:10" ht="19.5" customHeight="1" x14ac:dyDescent="0.35">
      <c r="A1054" s="29" t="s">
        <v>896</v>
      </c>
      <c r="B1054" s="29" t="s">
        <v>2804</v>
      </c>
      <c r="C1054" s="29" t="s">
        <v>1143</v>
      </c>
      <c r="D1054" s="30">
        <v>1</v>
      </c>
      <c r="E1054" s="29" t="s">
        <v>2802</v>
      </c>
      <c r="F1054" s="29" t="s">
        <v>1885</v>
      </c>
      <c r="G1054" s="29" t="s">
        <v>901</v>
      </c>
      <c r="H1054" s="29" t="s">
        <v>902</v>
      </c>
      <c r="I1054" s="29" t="s">
        <v>656</v>
      </c>
      <c r="J1054" s="29" t="s">
        <v>2222</v>
      </c>
    </row>
    <row r="1055" spans="1:10" ht="19.5" customHeight="1" x14ac:dyDescent="0.35">
      <c r="A1055" s="29" t="s">
        <v>896</v>
      </c>
      <c r="B1055" s="29" t="s">
        <v>2805</v>
      </c>
      <c r="C1055" s="29" t="s">
        <v>963</v>
      </c>
      <c r="D1055" s="30">
        <v>1</v>
      </c>
      <c r="E1055" s="29" t="s">
        <v>2806</v>
      </c>
      <c r="F1055" s="29" t="s">
        <v>1885</v>
      </c>
      <c r="G1055" s="29" t="s">
        <v>901</v>
      </c>
      <c r="H1055" s="29" t="s">
        <v>902</v>
      </c>
      <c r="I1055" s="29" t="s">
        <v>656</v>
      </c>
      <c r="J1055" s="29" t="s">
        <v>1898</v>
      </c>
    </row>
    <row r="1056" spans="1:10" ht="19.5" customHeight="1" x14ac:dyDescent="0.35">
      <c r="A1056" s="29" t="s">
        <v>896</v>
      </c>
      <c r="B1056" s="29" t="s">
        <v>2807</v>
      </c>
      <c r="C1056" s="29" t="s">
        <v>1050</v>
      </c>
      <c r="D1056" s="30">
        <v>1</v>
      </c>
      <c r="E1056" s="29" t="s">
        <v>2806</v>
      </c>
      <c r="F1056" s="29" t="s">
        <v>1885</v>
      </c>
      <c r="G1056" s="29" t="s">
        <v>901</v>
      </c>
      <c r="H1056" s="29" t="s">
        <v>902</v>
      </c>
      <c r="I1056" s="29" t="s">
        <v>656</v>
      </c>
      <c r="J1056" s="29" t="s">
        <v>2808</v>
      </c>
    </row>
    <row r="1057" spans="1:10" ht="19.5" customHeight="1" x14ac:dyDescent="0.35">
      <c r="A1057" s="29" t="s">
        <v>896</v>
      </c>
      <c r="B1057" s="29" t="s">
        <v>2809</v>
      </c>
      <c r="C1057" s="29" t="s">
        <v>1659</v>
      </c>
      <c r="D1057" s="30">
        <v>1</v>
      </c>
      <c r="E1057" s="29" t="s">
        <v>2810</v>
      </c>
      <c r="F1057" s="29" t="s">
        <v>1885</v>
      </c>
      <c r="G1057" s="29" t="s">
        <v>901</v>
      </c>
      <c r="H1057" s="29" t="s">
        <v>902</v>
      </c>
      <c r="I1057" s="29" t="s">
        <v>656</v>
      </c>
      <c r="J1057" s="29" t="s">
        <v>2811</v>
      </c>
    </row>
    <row r="1058" spans="1:10" ht="19.5" customHeight="1" x14ac:dyDescent="0.35">
      <c r="A1058" s="29" t="s">
        <v>896</v>
      </c>
      <c r="B1058" s="29" t="s">
        <v>2812</v>
      </c>
      <c r="C1058" s="29" t="s">
        <v>989</v>
      </c>
      <c r="D1058" s="30">
        <v>1</v>
      </c>
      <c r="E1058" s="29" t="s">
        <v>2813</v>
      </c>
      <c r="F1058" s="29" t="s">
        <v>1885</v>
      </c>
      <c r="G1058" s="29" t="s">
        <v>901</v>
      </c>
      <c r="H1058" s="29" t="s">
        <v>902</v>
      </c>
      <c r="I1058" s="29" t="s">
        <v>656</v>
      </c>
      <c r="J1058" s="29" t="s">
        <v>2814</v>
      </c>
    </row>
    <row r="1059" spans="1:10" ht="19.5" customHeight="1" x14ac:dyDescent="0.35">
      <c r="A1059" s="29" t="s">
        <v>896</v>
      </c>
      <c r="B1059" s="29" t="s">
        <v>2815</v>
      </c>
      <c r="C1059" s="29" t="s">
        <v>921</v>
      </c>
      <c r="D1059" s="30">
        <v>1</v>
      </c>
      <c r="E1059" s="29" t="s">
        <v>2816</v>
      </c>
      <c r="F1059" s="29" t="s">
        <v>1885</v>
      </c>
      <c r="G1059" s="29" t="s">
        <v>901</v>
      </c>
      <c r="H1059" s="29" t="s">
        <v>902</v>
      </c>
      <c r="I1059" s="29" t="s">
        <v>656</v>
      </c>
      <c r="J1059" s="29" t="s">
        <v>2817</v>
      </c>
    </row>
    <row r="1060" spans="1:10" ht="19.5" customHeight="1" x14ac:dyDescent="0.35">
      <c r="A1060" s="29" t="s">
        <v>896</v>
      </c>
      <c r="B1060" s="29" t="s">
        <v>2818</v>
      </c>
      <c r="C1060" s="29" t="s">
        <v>1077</v>
      </c>
      <c r="D1060" s="30">
        <v>1</v>
      </c>
      <c r="E1060" s="29" t="s">
        <v>2819</v>
      </c>
      <c r="F1060" s="29" t="s">
        <v>1885</v>
      </c>
      <c r="G1060" s="29" t="s">
        <v>901</v>
      </c>
      <c r="H1060" s="29" t="s">
        <v>902</v>
      </c>
      <c r="I1060" s="29" t="s">
        <v>656</v>
      </c>
      <c r="J1060" s="29" t="s">
        <v>2820</v>
      </c>
    </row>
    <row r="1061" spans="1:10" ht="19.5" customHeight="1" x14ac:dyDescent="0.35">
      <c r="A1061" s="29" t="s">
        <v>896</v>
      </c>
      <c r="B1061" s="29" t="s">
        <v>2821</v>
      </c>
      <c r="C1061" s="29" t="s">
        <v>1768</v>
      </c>
      <c r="D1061" s="30">
        <v>1</v>
      </c>
      <c r="E1061" s="29" t="s">
        <v>2822</v>
      </c>
      <c r="F1061" s="29" t="s">
        <v>1885</v>
      </c>
      <c r="G1061" s="29" t="s">
        <v>901</v>
      </c>
      <c r="H1061" s="29" t="s">
        <v>902</v>
      </c>
      <c r="I1061" s="29" t="s">
        <v>656</v>
      </c>
      <c r="J1061" s="29" t="s">
        <v>2655</v>
      </c>
    </row>
    <row r="1062" spans="1:10" ht="19.5" customHeight="1" x14ac:dyDescent="0.35">
      <c r="A1062" s="29" t="s">
        <v>896</v>
      </c>
      <c r="B1062" s="29" t="s">
        <v>2823</v>
      </c>
      <c r="C1062" s="29" t="s">
        <v>1101</v>
      </c>
      <c r="D1062" s="30">
        <v>1</v>
      </c>
      <c r="E1062" s="29" t="s">
        <v>2824</v>
      </c>
      <c r="F1062" s="29" t="s">
        <v>1885</v>
      </c>
      <c r="G1062" s="29" t="s">
        <v>901</v>
      </c>
      <c r="H1062" s="29" t="s">
        <v>902</v>
      </c>
      <c r="I1062" s="29" t="s">
        <v>656</v>
      </c>
      <c r="J1062" s="29" t="s">
        <v>2825</v>
      </c>
    </row>
    <row r="1063" spans="1:10" ht="19.5" customHeight="1" x14ac:dyDescent="0.35">
      <c r="A1063" s="29" t="s">
        <v>896</v>
      </c>
      <c r="B1063" s="29" t="s">
        <v>2826</v>
      </c>
      <c r="C1063" s="29" t="s">
        <v>989</v>
      </c>
      <c r="D1063" s="30">
        <v>1</v>
      </c>
      <c r="E1063" s="29" t="s">
        <v>2827</v>
      </c>
      <c r="F1063" s="29" t="s">
        <v>1885</v>
      </c>
      <c r="G1063" s="29" t="s">
        <v>901</v>
      </c>
      <c r="H1063" s="29" t="s">
        <v>902</v>
      </c>
      <c r="I1063" s="29" t="s">
        <v>656</v>
      </c>
      <c r="J1063" s="29" t="s">
        <v>2692</v>
      </c>
    </row>
    <row r="1064" spans="1:10" ht="19.5" customHeight="1" x14ac:dyDescent="0.35">
      <c r="A1064" s="29" t="s">
        <v>896</v>
      </c>
      <c r="B1064" s="29" t="s">
        <v>2828</v>
      </c>
      <c r="C1064" s="29" t="s">
        <v>1731</v>
      </c>
      <c r="D1064" s="30">
        <v>1</v>
      </c>
      <c r="E1064" s="29" t="s">
        <v>2827</v>
      </c>
      <c r="F1064" s="29" t="s">
        <v>1885</v>
      </c>
      <c r="G1064" s="29" t="s">
        <v>901</v>
      </c>
      <c r="H1064" s="29" t="s">
        <v>902</v>
      </c>
      <c r="I1064" s="29" t="s">
        <v>656</v>
      </c>
      <c r="J1064" s="29" t="s">
        <v>2829</v>
      </c>
    </row>
    <row r="1065" spans="1:10" ht="19.5" customHeight="1" x14ac:dyDescent="0.35">
      <c r="A1065" s="29" t="s">
        <v>896</v>
      </c>
      <c r="B1065" s="29" t="s">
        <v>2830</v>
      </c>
      <c r="C1065" s="29" t="s">
        <v>1136</v>
      </c>
      <c r="D1065" s="30">
        <v>1</v>
      </c>
      <c r="E1065" s="29" t="s">
        <v>2831</v>
      </c>
      <c r="F1065" s="29" t="s">
        <v>1885</v>
      </c>
      <c r="G1065" s="29" t="s">
        <v>901</v>
      </c>
      <c r="H1065" s="29" t="s">
        <v>902</v>
      </c>
      <c r="I1065" s="29" t="s">
        <v>656</v>
      </c>
      <c r="J1065" s="29" t="s">
        <v>2252</v>
      </c>
    </row>
    <row r="1066" spans="1:10" ht="19.5" customHeight="1" x14ac:dyDescent="0.35">
      <c r="A1066" s="29" t="s">
        <v>896</v>
      </c>
      <c r="B1066" s="29" t="s">
        <v>2832</v>
      </c>
      <c r="C1066" s="29" t="s">
        <v>1299</v>
      </c>
      <c r="D1066" s="30">
        <v>1</v>
      </c>
      <c r="E1066" s="29" t="s">
        <v>2833</v>
      </c>
      <c r="F1066" s="29" t="s">
        <v>1885</v>
      </c>
      <c r="G1066" s="29" t="s">
        <v>901</v>
      </c>
      <c r="H1066" s="29" t="s">
        <v>902</v>
      </c>
      <c r="I1066" s="29" t="s">
        <v>656</v>
      </c>
      <c r="J1066" s="29" t="s">
        <v>2834</v>
      </c>
    </row>
    <row r="1067" spans="1:10" ht="19.5" customHeight="1" x14ac:dyDescent="0.35">
      <c r="A1067" s="29" t="s">
        <v>896</v>
      </c>
      <c r="B1067" s="29" t="s">
        <v>2835</v>
      </c>
      <c r="C1067" s="29" t="s">
        <v>921</v>
      </c>
      <c r="D1067" s="30">
        <v>1</v>
      </c>
      <c r="E1067" s="29" t="s">
        <v>2836</v>
      </c>
      <c r="F1067" s="29" t="s">
        <v>1885</v>
      </c>
      <c r="G1067" s="29" t="s">
        <v>901</v>
      </c>
      <c r="H1067" s="29" t="s">
        <v>902</v>
      </c>
      <c r="I1067" s="29" t="s">
        <v>656</v>
      </c>
      <c r="J1067" s="29" t="s">
        <v>2837</v>
      </c>
    </row>
    <row r="1068" spans="1:10" ht="19.5" customHeight="1" x14ac:dyDescent="0.35">
      <c r="A1068" s="29" t="s">
        <v>896</v>
      </c>
      <c r="B1068" s="29" t="s">
        <v>2838</v>
      </c>
      <c r="C1068" s="29" t="s">
        <v>909</v>
      </c>
      <c r="D1068" s="30">
        <v>1</v>
      </c>
      <c r="E1068" s="29" t="s">
        <v>2839</v>
      </c>
      <c r="F1068" s="29" t="s">
        <v>1885</v>
      </c>
      <c r="G1068" s="29" t="s">
        <v>901</v>
      </c>
      <c r="H1068" s="29" t="s">
        <v>902</v>
      </c>
      <c r="I1068" s="29" t="s">
        <v>656</v>
      </c>
      <c r="J1068" s="29" t="s">
        <v>2840</v>
      </c>
    </row>
    <row r="1069" spans="1:10" ht="19.5" customHeight="1" x14ac:dyDescent="0.35">
      <c r="A1069" s="29" t="s">
        <v>896</v>
      </c>
      <c r="B1069" s="29" t="s">
        <v>2841</v>
      </c>
      <c r="C1069" s="29" t="s">
        <v>989</v>
      </c>
      <c r="D1069" s="30">
        <v>1</v>
      </c>
      <c r="E1069" s="29" t="s">
        <v>2839</v>
      </c>
      <c r="F1069" s="29" t="s">
        <v>1885</v>
      </c>
      <c r="G1069" s="29" t="s">
        <v>901</v>
      </c>
      <c r="H1069" s="29" t="s">
        <v>902</v>
      </c>
      <c r="I1069" s="29" t="s">
        <v>656</v>
      </c>
      <c r="J1069" s="29" t="s">
        <v>2842</v>
      </c>
    </row>
    <row r="1070" spans="1:10" ht="19.5" customHeight="1" x14ac:dyDescent="0.35">
      <c r="A1070" s="29" t="s">
        <v>896</v>
      </c>
      <c r="B1070" s="29" t="s">
        <v>2843</v>
      </c>
      <c r="C1070" s="29" t="s">
        <v>989</v>
      </c>
      <c r="D1070" s="30">
        <v>1</v>
      </c>
      <c r="E1070" s="29" t="s">
        <v>2844</v>
      </c>
      <c r="F1070" s="29" t="s">
        <v>1885</v>
      </c>
      <c r="G1070" s="29" t="s">
        <v>901</v>
      </c>
      <c r="H1070" s="29" t="s">
        <v>902</v>
      </c>
      <c r="I1070" s="29" t="s">
        <v>656</v>
      </c>
      <c r="J1070" s="29" t="s">
        <v>2512</v>
      </c>
    </row>
    <row r="1071" spans="1:10" ht="19.5" customHeight="1" x14ac:dyDescent="0.35">
      <c r="A1071" s="29" t="s">
        <v>896</v>
      </c>
      <c r="B1071" s="29" t="s">
        <v>2845</v>
      </c>
      <c r="C1071" s="29" t="s">
        <v>1101</v>
      </c>
      <c r="D1071" s="30">
        <v>1</v>
      </c>
      <c r="E1071" s="29" t="s">
        <v>2846</v>
      </c>
      <c r="F1071" s="29" t="s">
        <v>1885</v>
      </c>
      <c r="G1071" s="29" t="s">
        <v>901</v>
      </c>
      <c r="H1071" s="29" t="s">
        <v>902</v>
      </c>
      <c r="I1071" s="29" t="s">
        <v>656</v>
      </c>
      <c r="J1071" s="29" t="s">
        <v>2095</v>
      </c>
    </row>
    <row r="1072" spans="1:10" ht="19.5" customHeight="1" x14ac:dyDescent="0.35">
      <c r="A1072" s="29" t="s">
        <v>896</v>
      </c>
      <c r="B1072" s="29" t="s">
        <v>2847</v>
      </c>
      <c r="C1072" s="29" t="s">
        <v>909</v>
      </c>
      <c r="D1072" s="30">
        <v>1</v>
      </c>
      <c r="E1072" s="29" t="s">
        <v>2846</v>
      </c>
      <c r="F1072" s="29" t="s">
        <v>1885</v>
      </c>
      <c r="G1072" s="29" t="s">
        <v>901</v>
      </c>
      <c r="H1072" s="29" t="s">
        <v>902</v>
      </c>
      <c r="I1072" s="29" t="s">
        <v>656</v>
      </c>
      <c r="J1072" s="29" t="s">
        <v>2649</v>
      </c>
    </row>
    <row r="1073" spans="1:10" ht="19.5" customHeight="1" x14ac:dyDescent="0.35">
      <c r="A1073" s="29" t="s">
        <v>896</v>
      </c>
      <c r="B1073" s="29" t="s">
        <v>2848</v>
      </c>
      <c r="C1073" s="29" t="s">
        <v>946</v>
      </c>
      <c r="D1073" s="30">
        <v>1</v>
      </c>
      <c r="E1073" s="29" t="s">
        <v>2849</v>
      </c>
      <c r="F1073" s="29" t="s">
        <v>1885</v>
      </c>
      <c r="G1073" s="29" t="s">
        <v>901</v>
      </c>
      <c r="H1073" s="29" t="s">
        <v>902</v>
      </c>
      <c r="I1073" s="29" t="s">
        <v>656</v>
      </c>
      <c r="J1073" s="29" t="s">
        <v>2850</v>
      </c>
    </row>
    <row r="1074" spans="1:10" ht="19.5" customHeight="1" x14ac:dyDescent="0.35">
      <c r="A1074" s="29" t="s">
        <v>896</v>
      </c>
      <c r="B1074" s="29" t="s">
        <v>2851</v>
      </c>
      <c r="C1074" s="29" t="s">
        <v>1136</v>
      </c>
      <c r="D1074" s="30">
        <v>1</v>
      </c>
      <c r="E1074" s="29" t="s">
        <v>2852</v>
      </c>
      <c r="F1074" s="29" t="s">
        <v>1885</v>
      </c>
      <c r="G1074" s="29" t="s">
        <v>901</v>
      </c>
      <c r="H1074" s="29" t="s">
        <v>902</v>
      </c>
      <c r="I1074" s="29" t="s">
        <v>656</v>
      </c>
      <c r="J1074" s="29" t="s">
        <v>2670</v>
      </c>
    </row>
    <row r="1075" spans="1:10" ht="19.5" customHeight="1" x14ac:dyDescent="0.35">
      <c r="A1075" s="29" t="s">
        <v>896</v>
      </c>
      <c r="B1075" s="29" t="s">
        <v>2853</v>
      </c>
      <c r="C1075" s="29" t="s">
        <v>1122</v>
      </c>
      <c r="D1075" s="30">
        <v>1</v>
      </c>
      <c r="E1075" s="29" t="s">
        <v>2854</v>
      </c>
      <c r="F1075" s="29" t="s">
        <v>1885</v>
      </c>
      <c r="G1075" s="29" t="s">
        <v>901</v>
      </c>
      <c r="H1075" s="29" t="s">
        <v>902</v>
      </c>
      <c r="I1075" s="29" t="s">
        <v>656</v>
      </c>
      <c r="J1075" s="29" t="s">
        <v>2855</v>
      </c>
    </row>
    <row r="1076" spans="1:10" ht="19.5" customHeight="1" x14ac:dyDescent="0.35">
      <c r="A1076" s="29" t="s">
        <v>896</v>
      </c>
      <c r="B1076" s="29" t="s">
        <v>2856</v>
      </c>
      <c r="C1076" s="29" t="s">
        <v>946</v>
      </c>
      <c r="D1076" s="30">
        <v>1</v>
      </c>
      <c r="E1076" s="29" t="s">
        <v>2857</v>
      </c>
      <c r="F1076" s="29" t="s">
        <v>1885</v>
      </c>
      <c r="G1076" s="29" t="s">
        <v>901</v>
      </c>
      <c r="H1076" s="29" t="s">
        <v>902</v>
      </c>
      <c r="I1076" s="29" t="s">
        <v>656</v>
      </c>
      <c r="J1076" s="29" t="s">
        <v>2222</v>
      </c>
    </row>
    <row r="1077" spans="1:10" ht="19.5" customHeight="1" x14ac:dyDescent="0.35">
      <c r="A1077" s="29" t="s">
        <v>896</v>
      </c>
      <c r="B1077" s="29" t="s">
        <v>2858</v>
      </c>
      <c r="C1077" s="29" t="s">
        <v>959</v>
      </c>
      <c r="D1077" s="30">
        <v>1</v>
      </c>
      <c r="E1077" s="29" t="s">
        <v>2859</v>
      </c>
      <c r="F1077" s="29" t="s">
        <v>1885</v>
      </c>
      <c r="G1077" s="29" t="s">
        <v>901</v>
      </c>
      <c r="H1077" s="29" t="s">
        <v>902</v>
      </c>
      <c r="I1077" s="29" t="s">
        <v>656</v>
      </c>
      <c r="J1077" s="29" t="s">
        <v>2860</v>
      </c>
    </row>
    <row r="1078" spans="1:10" ht="19.5" customHeight="1" x14ac:dyDescent="0.35">
      <c r="A1078" s="29" t="s">
        <v>896</v>
      </c>
      <c r="B1078" s="29" t="s">
        <v>2861</v>
      </c>
      <c r="C1078" s="29" t="s">
        <v>1070</v>
      </c>
      <c r="D1078" s="30">
        <v>1</v>
      </c>
      <c r="E1078" s="29" t="s">
        <v>2862</v>
      </c>
      <c r="F1078" s="29" t="s">
        <v>1885</v>
      </c>
      <c r="G1078" s="29" t="s">
        <v>901</v>
      </c>
      <c r="H1078" s="29" t="s">
        <v>902</v>
      </c>
      <c r="I1078" s="29" t="s">
        <v>656</v>
      </c>
      <c r="J1078" s="29" t="s">
        <v>2863</v>
      </c>
    </row>
    <row r="1079" spans="1:10" ht="19.5" customHeight="1" x14ac:dyDescent="0.35">
      <c r="A1079" s="29" t="s">
        <v>896</v>
      </c>
      <c r="B1079" s="29" t="s">
        <v>2864</v>
      </c>
      <c r="C1079" s="29" t="s">
        <v>989</v>
      </c>
      <c r="D1079" s="30">
        <v>1</v>
      </c>
      <c r="E1079" s="29" t="s">
        <v>2865</v>
      </c>
      <c r="F1079" s="29" t="s">
        <v>1885</v>
      </c>
      <c r="G1079" s="29" t="s">
        <v>901</v>
      </c>
      <c r="H1079" s="29" t="s">
        <v>902</v>
      </c>
      <c r="I1079" s="29" t="s">
        <v>656</v>
      </c>
      <c r="J1079" s="29" t="s">
        <v>2866</v>
      </c>
    </row>
    <row r="1080" spans="1:10" ht="19.5" customHeight="1" x14ac:dyDescent="0.35">
      <c r="A1080" s="29" t="s">
        <v>896</v>
      </c>
      <c r="B1080" s="29" t="s">
        <v>2867</v>
      </c>
      <c r="C1080" s="29" t="s">
        <v>959</v>
      </c>
      <c r="D1080" s="30">
        <v>1</v>
      </c>
      <c r="E1080" s="29" t="s">
        <v>2868</v>
      </c>
      <c r="F1080" s="29" t="s">
        <v>1885</v>
      </c>
      <c r="G1080" s="29" t="s">
        <v>901</v>
      </c>
      <c r="H1080" s="29" t="s">
        <v>902</v>
      </c>
      <c r="I1080" s="29" t="s">
        <v>656</v>
      </c>
      <c r="J1080" s="29" t="s">
        <v>2869</v>
      </c>
    </row>
    <row r="1081" spans="1:10" ht="19.5" customHeight="1" x14ac:dyDescent="0.35">
      <c r="A1081" s="29" t="s">
        <v>896</v>
      </c>
      <c r="B1081" s="29" t="s">
        <v>2870</v>
      </c>
      <c r="C1081" s="29" t="s">
        <v>1646</v>
      </c>
      <c r="D1081" s="30">
        <v>1</v>
      </c>
      <c r="E1081" s="29" t="s">
        <v>2871</v>
      </c>
      <c r="F1081" s="29" t="s">
        <v>1885</v>
      </c>
      <c r="G1081" s="29" t="s">
        <v>901</v>
      </c>
      <c r="H1081" s="29" t="s">
        <v>902</v>
      </c>
      <c r="I1081" s="29" t="s">
        <v>656</v>
      </c>
      <c r="J1081" s="29" t="s">
        <v>2872</v>
      </c>
    </row>
    <row r="1082" spans="1:10" ht="19.5" customHeight="1" x14ac:dyDescent="0.35">
      <c r="A1082" s="29" t="s">
        <v>896</v>
      </c>
      <c r="B1082" s="29" t="s">
        <v>2873</v>
      </c>
      <c r="C1082" s="29" t="s">
        <v>1077</v>
      </c>
      <c r="D1082" s="30">
        <v>1</v>
      </c>
      <c r="E1082" s="29" t="s">
        <v>2874</v>
      </c>
      <c r="F1082" s="29" t="s">
        <v>1885</v>
      </c>
      <c r="G1082" s="29" t="s">
        <v>901</v>
      </c>
      <c r="H1082" s="29" t="s">
        <v>902</v>
      </c>
      <c r="I1082" s="29" t="s">
        <v>656</v>
      </c>
      <c r="J1082" s="29" t="s">
        <v>2875</v>
      </c>
    </row>
    <row r="1083" spans="1:10" ht="19.5" customHeight="1" x14ac:dyDescent="0.35">
      <c r="A1083" s="29" t="s">
        <v>896</v>
      </c>
      <c r="B1083" s="29" t="s">
        <v>2876</v>
      </c>
      <c r="C1083" s="29" t="s">
        <v>989</v>
      </c>
      <c r="D1083" s="30">
        <v>1</v>
      </c>
      <c r="E1083" s="29" t="s">
        <v>2877</v>
      </c>
      <c r="F1083" s="29" t="s">
        <v>1885</v>
      </c>
      <c r="G1083" s="29" t="s">
        <v>901</v>
      </c>
      <c r="H1083" s="29" t="s">
        <v>902</v>
      </c>
      <c r="I1083" s="29" t="s">
        <v>656</v>
      </c>
      <c r="J1083" s="29" t="s">
        <v>2878</v>
      </c>
    </row>
    <row r="1084" spans="1:10" ht="19.5" customHeight="1" x14ac:dyDescent="0.35">
      <c r="A1084" s="29" t="s">
        <v>896</v>
      </c>
      <c r="B1084" s="29" t="s">
        <v>2879</v>
      </c>
      <c r="C1084" s="29" t="s">
        <v>909</v>
      </c>
      <c r="D1084" s="30">
        <v>1</v>
      </c>
      <c r="E1084" s="29" t="s">
        <v>2880</v>
      </c>
      <c r="F1084" s="29" t="s">
        <v>1885</v>
      </c>
      <c r="G1084" s="29" t="s">
        <v>901</v>
      </c>
      <c r="H1084" s="29" t="s">
        <v>902</v>
      </c>
      <c r="I1084" s="29" t="s">
        <v>656</v>
      </c>
      <c r="J1084" s="29" t="s">
        <v>2443</v>
      </c>
    </row>
    <row r="1085" spans="1:10" ht="19.5" customHeight="1" x14ac:dyDescent="0.35">
      <c r="A1085" s="29" t="s">
        <v>896</v>
      </c>
      <c r="B1085" s="29" t="s">
        <v>2881</v>
      </c>
      <c r="C1085" s="29" t="s">
        <v>1143</v>
      </c>
      <c r="D1085" s="30">
        <v>1</v>
      </c>
      <c r="E1085" s="29" t="s">
        <v>2882</v>
      </c>
      <c r="F1085" s="29" t="s">
        <v>1885</v>
      </c>
      <c r="G1085" s="29" t="s">
        <v>901</v>
      </c>
      <c r="H1085" s="29" t="s">
        <v>902</v>
      </c>
      <c r="I1085" s="29" t="s">
        <v>656</v>
      </c>
      <c r="J1085" s="29" t="s">
        <v>2883</v>
      </c>
    </row>
    <row r="1086" spans="1:10" ht="19.5" customHeight="1" x14ac:dyDescent="0.35">
      <c r="A1086" s="29" t="s">
        <v>896</v>
      </c>
      <c r="B1086" s="29" t="s">
        <v>2884</v>
      </c>
      <c r="C1086" s="29" t="s">
        <v>989</v>
      </c>
      <c r="D1086" s="30">
        <v>1</v>
      </c>
      <c r="E1086" s="29" t="s">
        <v>2885</v>
      </c>
      <c r="F1086" s="29" t="s">
        <v>1885</v>
      </c>
      <c r="G1086" s="29" t="s">
        <v>901</v>
      </c>
      <c r="H1086" s="29" t="s">
        <v>902</v>
      </c>
      <c r="I1086" s="29" t="s">
        <v>656</v>
      </c>
      <c r="J1086" s="29" t="s">
        <v>2886</v>
      </c>
    </row>
    <row r="1087" spans="1:10" ht="19.5" customHeight="1" x14ac:dyDescent="0.35">
      <c r="A1087" s="29" t="s">
        <v>896</v>
      </c>
      <c r="B1087" s="29" t="s">
        <v>2887</v>
      </c>
      <c r="C1087" s="29" t="s">
        <v>917</v>
      </c>
      <c r="D1087" s="30">
        <v>1</v>
      </c>
      <c r="E1087" s="29" t="s">
        <v>2888</v>
      </c>
      <c r="F1087" s="29" t="s">
        <v>1885</v>
      </c>
      <c r="G1087" s="29" t="s">
        <v>901</v>
      </c>
      <c r="H1087" s="29" t="s">
        <v>902</v>
      </c>
      <c r="I1087" s="29" t="s">
        <v>656</v>
      </c>
      <c r="J1087" s="29" t="s">
        <v>2889</v>
      </c>
    </row>
    <row r="1088" spans="1:10" ht="19.5" customHeight="1" x14ac:dyDescent="0.35">
      <c r="A1088" s="29" t="s">
        <v>896</v>
      </c>
      <c r="B1088" s="29" t="s">
        <v>2890</v>
      </c>
      <c r="C1088" s="29" t="s">
        <v>913</v>
      </c>
      <c r="D1088" s="30">
        <v>1</v>
      </c>
      <c r="E1088" s="29" t="s">
        <v>2891</v>
      </c>
      <c r="F1088" s="29" t="s">
        <v>1885</v>
      </c>
      <c r="G1088" s="29" t="s">
        <v>901</v>
      </c>
      <c r="H1088" s="29" t="s">
        <v>902</v>
      </c>
      <c r="I1088" s="29" t="s">
        <v>656</v>
      </c>
      <c r="J1088" s="29" t="s">
        <v>2892</v>
      </c>
    </row>
    <row r="1089" spans="1:10" ht="19.5" customHeight="1" x14ac:dyDescent="0.35">
      <c r="A1089" s="29" t="s">
        <v>896</v>
      </c>
      <c r="B1089" s="29" t="s">
        <v>2893</v>
      </c>
      <c r="C1089" s="29" t="s">
        <v>1077</v>
      </c>
      <c r="D1089" s="30">
        <v>1</v>
      </c>
      <c r="E1089" s="29" t="s">
        <v>2891</v>
      </c>
      <c r="F1089" s="29" t="s">
        <v>1885</v>
      </c>
      <c r="G1089" s="29" t="s">
        <v>901</v>
      </c>
      <c r="H1089" s="29" t="s">
        <v>902</v>
      </c>
      <c r="I1089" s="29" t="s">
        <v>656</v>
      </c>
      <c r="J1089" s="29" t="s">
        <v>2894</v>
      </c>
    </row>
    <row r="1090" spans="1:10" ht="19.5" customHeight="1" x14ac:dyDescent="0.35">
      <c r="A1090" s="29" t="s">
        <v>896</v>
      </c>
      <c r="B1090" s="29" t="s">
        <v>2895</v>
      </c>
      <c r="C1090" s="29" t="s">
        <v>1084</v>
      </c>
      <c r="D1090" s="30">
        <v>1</v>
      </c>
      <c r="E1090" s="29" t="s">
        <v>2882</v>
      </c>
      <c r="F1090" s="29" t="s">
        <v>1885</v>
      </c>
      <c r="G1090" s="29" t="s">
        <v>901</v>
      </c>
      <c r="H1090" s="29" t="s">
        <v>902</v>
      </c>
      <c r="I1090" s="29" t="s">
        <v>656</v>
      </c>
      <c r="J1090" s="29" t="s">
        <v>2896</v>
      </c>
    </row>
    <row r="1091" spans="1:10" ht="19.5" customHeight="1" x14ac:dyDescent="0.35">
      <c r="A1091" s="29" t="s">
        <v>896</v>
      </c>
      <c r="B1091" s="29" t="s">
        <v>2897</v>
      </c>
      <c r="C1091" s="29" t="s">
        <v>1077</v>
      </c>
      <c r="D1091" s="30">
        <v>1</v>
      </c>
      <c r="E1091" s="29" t="s">
        <v>2882</v>
      </c>
      <c r="F1091" s="29" t="s">
        <v>1885</v>
      </c>
      <c r="G1091" s="29" t="s">
        <v>901</v>
      </c>
      <c r="H1091" s="29" t="s">
        <v>902</v>
      </c>
      <c r="I1091" s="29" t="s">
        <v>656</v>
      </c>
      <c r="J1091" s="29" t="s">
        <v>2898</v>
      </c>
    </row>
    <row r="1092" spans="1:10" ht="19.5" customHeight="1" x14ac:dyDescent="0.35">
      <c r="A1092" s="29" t="s">
        <v>896</v>
      </c>
      <c r="B1092" s="29" t="s">
        <v>2899</v>
      </c>
      <c r="C1092" s="29" t="s">
        <v>1077</v>
      </c>
      <c r="D1092" s="30">
        <v>1</v>
      </c>
      <c r="E1092" s="29" t="s">
        <v>2882</v>
      </c>
      <c r="F1092" s="29" t="s">
        <v>1885</v>
      </c>
      <c r="G1092" s="29" t="s">
        <v>901</v>
      </c>
      <c r="H1092" s="29" t="s">
        <v>902</v>
      </c>
      <c r="I1092" s="29" t="s">
        <v>656</v>
      </c>
      <c r="J1092" s="29" t="s">
        <v>2900</v>
      </c>
    </row>
    <row r="1093" spans="1:10" ht="19.5" customHeight="1" x14ac:dyDescent="0.35">
      <c r="A1093" s="29" t="s">
        <v>896</v>
      </c>
      <c r="B1093" s="29" t="s">
        <v>2901</v>
      </c>
      <c r="C1093" s="29" t="s">
        <v>1122</v>
      </c>
      <c r="D1093" s="30">
        <v>1</v>
      </c>
      <c r="E1093" s="29" t="s">
        <v>2902</v>
      </c>
      <c r="F1093" s="29" t="s">
        <v>1885</v>
      </c>
      <c r="G1093" s="29" t="s">
        <v>901</v>
      </c>
      <c r="H1093" s="29" t="s">
        <v>902</v>
      </c>
      <c r="I1093" s="29" t="s">
        <v>656</v>
      </c>
      <c r="J1093" s="29" t="s">
        <v>2903</v>
      </c>
    </row>
    <row r="1094" spans="1:10" ht="19.5" customHeight="1" x14ac:dyDescent="0.35">
      <c r="A1094" s="29" t="s">
        <v>896</v>
      </c>
      <c r="B1094" s="29" t="s">
        <v>2904</v>
      </c>
      <c r="C1094" s="29" t="s">
        <v>1157</v>
      </c>
      <c r="D1094" s="30">
        <v>1</v>
      </c>
      <c r="E1094" s="29" t="s">
        <v>2905</v>
      </c>
      <c r="F1094" s="29" t="s">
        <v>1885</v>
      </c>
      <c r="G1094" s="29" t="s">
        <v>901</v>
      </c>
      <c r="H1094" s="29" t="s">
        <v>902</v>
      </c>
      <c r="I1094" s="29" t="s">
        <v>656</v>
      </c>
      <c r="J1094" s="29" t="s">
        <v>2906</v>
      </c>
    </row>
    <row r="1095" spans="1:10" ht="19.5" customHeight="1" x14ac:dyDescent="0.35">
      <c r="A1095" s="29" t="s">
        <v>896</v>
      </c>
      <c r="B1095" s="29" t="s">
        <v>2907</v>
      </c>
      <c r="C1095" s="29" t="s">
        <v>1129</v>
      </c>
      <c r="D1095" s="30">
        <v>1</v>
      </c>
      <c r="E1095" s="29" t="s">
        <v>2908</v>
      </c>
      <c r="F1095" s="29" t="s">
        <v>1885</v>
      </c>
      <c r="G1095" s="29" t="s">
        <v>901</v>
      </c>
      <c r="H1095" s="29" t="s">
        <v>902</v>
      </c>
      <c r="I1095" s="29" t="s">
        <v>656</v>
      </c>
      <c r="J1095" s="29" t="s">
        <v>2909</v>
      </c>
    </row>
    <row r="1096" spans="1:10" ht="19.5" customHeight="1" x14ac:dyDescent="0.35">
      <c r="A1096" s="29" t="s">
        <v>896</v>
      </c>
      <c r="B1096" s="29" t="s">
        <v>2910</v>
      </c>
      <c r="C1096" s="29" t="s">
        <v>921</v>
      </c>
      <c r="D1096" s="30">
        <v>1</v>
      </c>
      <c r="E1096" s="29" t="s">
        <v>2908</v>
      </c>
      <c r="F1096" s="29" t="s">
        <v>1885</v>
      </c>
      <c r="G1096" s="29" t="s">
        <v>901</v>
      </c>
      <c r="H1096" s="29" t="s">
        <v>902</v>
      </c>
      <c r="I1096" s="29" t="s">
        <v>656</v>
      </c>
      <c r="J1096" s="29" t="s">
        <v>2911</v>
      </c>
    </row>
    <row r="1097" spans="1:10" ht="19.5" customHeight="1" x14ac:dyDescent="0.35">
      <c r="A1097" s="29" t="s">
        <v>896</v>
      </c>
      <c r="B1097" s="29" t="s">
        <v>2912</v>
      </c>
      <c r="C1097" s="29" t="s">
        <v>921</v>
      </c>
      <c r="D1097" s="30">
        <v>1</v>
      </c>
      <c r="E1097" s="29" t="s">
        <v>2913</v>
      </c>
      <c r="F1097" s="29" t="s">
        <v>1885</v>
      </c>
      <c r="G1097" s="29" t="s">
        <v>901</v>
      </c>
      <c r="H1097" s="29" t="s">
        <v>902</v>
      </c>
      <c r="I1097" s="29" t="s">
        <v>656</v>
      </c>
      <c r="J1097" s="29" t="s">
        <v>1898</v>
      </c>
    </row>
    <row r="1098" spans="1:10" ht="19.5" customHeight="1" x14ac:dyDescent="0.35">
      <c r="A1098" s="29" t="s">
        <v>896</v>
      </c>
      <c r="B1098" s="29" t="s">
        <v>2914</v>
      </c>
      <c r="C1098" s="29" t="s">
        <v>921</v>
      </c>
      <c r="D1098" s="30">
        <v>1</v>
      </c>
      <c r="E1098" s="29" t="s">
        <v>2913</v>
      </c>
      <c r="F1098" s="29" t="s">
        <v>1885</v>
      </c>
      <c r="G1098" s="29" t="s">
        <v>901</v>
      </c>
      <c r="H1098" s="29" t="s">
        <v>902</v>
      </c>
      <c r="I1098" s="29" t="s">
        <v>656</v>
      </c>
      <c r="J1098" s="29" t="s">
        <v>2915</v>
      </c>
    </row>
    <row r="1099" spans="1:10" ht="19.5" customHeight="1" x14ac:dyDescent="0.35">
      <c r="A1099" s="29" t="s">
        <v>896</v>
      </c>
      <c r="B1099" s="29" t="s">
        <v>2916</v>
      </c>
      <c r="C1099" s="29" t="s">
        <v>1077</v>
      </c>
      <c r="D1099" s="30">
        <v>1</v>
      </c>
      <c r="E1099" s="29" t="s">
        <v>2913</v>
      </c>
      <c r="F1099" s="29" t="s">
        <v>1885</v>
      </c>
      <c r="G1099" s="29" t="s">
        <v>901</v>
      </c>
      <c r="H1099" s="29" t="s">
        <v>902</v>
      </c>
      <c r="I1099" s="29" t="s">
        <v>656</v>
      </c>
      <c r="J1099" s="29" t="s">
        <v>2574</v>
      </c>
    </row>
    <row r="1100" spans="1:10" ht="19.5" customHeight="1" x14ac:dyDescent="0.35">
      <c r="A1100" s="29" t="s">
        <v>896</v>
      </c>
      <c r="B1100" s="29" t="s">
        <v>2917</v>
      </c>
      <c r="C1100" s="29" t="s">
        <v>1212</v>
      </c>
      <c r="D1100" s="30">
        <v>1</v>
      </c>
      <c r="E1100" s="29" t="s">
        <v>2918</v>
      </c>
      <c r="F1100" s="29" t="s">
        <v>1885</v>
      </c>
      <c r="G1100" s="29" t="s">
        <v>901</v>
      </c>
      <c r="H1100" s="29" t="s">
        <v>902</v>
      </c>
      <c r="I1100" s="29" t="s">
        <v>656</v>
      </c>
      <c r="J1100" s="29" t="s">
        <v>2397</v>
      </c>
    </row>
    <row r="1101" spans="1:10" ht="19.5" customHeight="1" x14ac:dyDescent="0.35">
      <c r="A1101" s="29" t="s">
        <v>896</v>
      </c>
      <c r="B1101" s="29" t="s">
        <v>2919</v>
      </c>
      <c r="C1101" s="29" t="s">
        <v>1009</v>
      </c>
      <c r="D1101" s="30">
        <v>1</v>
      </c>
      <c r="E1101" s="29" t="s">
        <v>2918</v>
      </c>
      <c r="F1101" s="29" t="s">
        <v>1885</v>
      </c>
      <c r="G1101" s="29" t="s">
        <v>901</v>
      </c>
      <c r="H1101" s="29" t="s">
        <v>902</v>
      </c>
      <c r="I1101" s="29" t="s">
        <v>656</v>
      </c>
      <c r="J1101" s="29" t="s">
        <v>2920</v>
      </c>
    </row>
    <row r="1102" spans="1:10" ht="19.5" customHeight="1" x14ac:dyDescent="0.35">
      <c r="A1102" s="29" t="s">
        <v>896</v>
      </c>
      <c r="B1102" s="29" t="s">
        <v>2921</v>
      </c>
      <c r="C1102" s="29" t="s">
        <v>921</v>
      </c>
      <c r="D1102" s="30">
        <v>1</v>
      </c>
      <c r="E1102" s="29" t="s">
        <v>2918</v>
      </c>
      <c r="F1102" s="29" t="s">
        <v>1885</v>
      </c>
      <c r="G1102" s="29" t="s">
        <v>901</v>
      </c>
      <c r="H1102" s="29" t="s">
        <v>902</v>
      </c>
      <c r="I1102" s="29" t="s">
        <v>656</v>
      </c>
      <c r="J1102" s="29" t="s">
        <v>2922</v>
      </c>
    </row>
    <row r="1103" spans="1:10" ht="19.5" customHeight="1" x14ac:dyDescent="0.35">
      <c r="A1103" s="29" t="s">
        <v>896</v>
      </c>
      <c r="B1103" s="29" t="s">
        <v>2923</v>
      </c>
      <c r="C1103" s="29" t="s">
        <v>1122</v>
      </c>
      <c r="D1103" s="30">
        <v>1</v>
      </c>
      <c r="E1103" s="29" t="s">
        <v>2918</v>
      </c>
      <c r="F1103" s="29" t="s">
        <v>1885</v>
      </c>
      <c r="G1103" s="29" t="s">
        <v>901</v>
      </c>
      <c r="H1103" s="29" t="s">
        <v>902</v>
      </c>
      <c r="I1103" s="29" t="s">
        <v>656</v>
      </c>
      <c r="J1103" s="29" t="s">
        <v>2924</v>
      </c>
    </row>
    <row r="1104" spans="1:10" ht="19.5" customHeight="1" x14ac:dyDescent="0.35">
      <c r="A1104" s="29" t="s">
        <v>896</v>
      </c>
      <c r="B1104" s="29" t="s">
        <v>2925</v>
      </c>
      <c r="C1104" s="29" t="s">
        <v>921</v>
      </c>
      <c r="D1104" s="30">
        <v>1</v>
      </c>
      <c r="E1104" s="29" t="s">
        <v>2918</v>
      </c>
      <c r="F1104" s="29" t="s">
        <v>1885</v>
      </c>
      <c r="G1104" s="29" t="s">
        <v>901</v>
      </c>
      <c r="H1104" s="29" t="s">
        <v>902</v>
      </c>
      <c r="I1104" s="29" t="s">
        <v>656</v>
      </c>
      <c r="J1104" s="29" t="s">
        <v>2926</v>
      </c>
    </row>
    <row r="1105" spans="1:10" ht="19.5" customHeight="1" x14ac:dyDescent="0.35">
      <c r="A1105" s="29" t="s">
        <v>896</v>
      </c>
      <c r="B1105" s="29" t="s">
        <v>2927</v>
      </c>
      <c r="C1105" s="29" t="s">
        <v>1582</v>
      </c>
      <c r="D1105" s="30">
        <v>1</v>
      </c>
      <c r="E1105" s="29" t="s">
        <v>2928</v>
      </c>
      <c r="F1105" s="29" t="s">
        <v>1885</v>
      </c>
      <c r="G1105" s="29" t="s">
        <v>901</v>
      </c>
      <c r="H1105" s="29" t="s">
        <v>902</v>
      </c>
      <c r="I1105" s="29" t="s">
        <v>656</v>
      </c>
      <c r="J1105" s="29" t="s">
        <v>2168</v>
      </c>
    </row>
    <row r="1106" spans="1:10" ht="19.5" customHeight="1" x14ac:dyDescent="0.35">
      <c r="A1106" s="29" t="s">
        <v>896</v>
      </c>
      <c r="B1106" s="29" t="s">
        <v>2929</v>
      </c>
      <c r="C1106" s="29" t="s">
        <v>905</v>
      </c>
      <c r="D1106" s="30">
        <v>1</v>
      </c>
      <c r="E1106" s="29" t="s">
        <v>2928</v>
      </c>
      <c r="F1106" s="29" t="s">
        <v>1885</v>
      </c>
      <c r="G1106" s="29" t="s">
        <v>901</v>
      </c>
      <c r="H1106" s="29" t="s">
        <v>902</v>
      </c>
      <c r="I1106" s="29" t="s">
        <v>656</v>
      </c>
      <c r="J1106" s="29" t="s">
        <v>2580</v>
      </c>
    </row>
    <row r="1107" spans="1:10" ht="19.5" customHeight="1" x14ac:dyDescent="0.35">
      <c r="A1107" s="29" t="s">
        <v>896</v>
      </c>
      <c r="B1107" s="29" t="s">
        <v>2930</v>
      </c>
      <c r="C1107" s="29" t="s">
        <v>989</v>
      </c>
      <c r="D1107" s="30">
        <v>1</v>
      </c>
      <c r="E1107" s="29" t="s">
        <v>2928</v>
      </c>
      <c r="F1107" s="29" t="s">
        <v>1885</v>
      </c>
      <c r="G1107" s="29" t="s">
        <v>901</v>
      </c>
      <c r="H1107" s="29" t="s">
        <v>902</v>
      </c>
      <c r="I1107" s="29" t="s">
        <v>656</v>
      </c>
      <c r="J1107" s="29" t="s">
        <v>2931</v>
      </c>
    </row>
    <row r="1108" spans="1:10" ht="19.5" customHeight="1" x14ac:dyDescent="0.35">
      <c r="A1108" s="29" t="s">
        <v>896</v>
      </c>
      <c r="B1108" s="29" t="s">
        <v>2932</v>
      </c>
      <c r="C1108" s="29" t="s">
        <v>1077</v>
      </c>
      <c r="D1108" s="30">
        <v>1</v>
      </c>
      <c r="E1108" s="29" t="s">
        <v>2933</v>
      </c>
      <c r="F1108" s="29" t="s">
        <v>1885</v>
      </c>
      <c r="G1108" s="29" t="s">
        <v>901</v>
      </c>
      <c r="H1108" s="29" t="s">
        <v>902</v>
      </c>
      <c r="I1108" s="29" t="s">
        <v>656</v>
      </c>
      <c r="J1108" s="29" t="s">
        <v>2439</v>
      </c>
    </row>
    <row r="1109" spans="1:10" ht="19.5" customHeight="1" x14ac:dyDescent="0.35">
      <c r="A1109" s="29" t="s">
        <v>896</v>
      </c>
      <c r="B1109" s="29" t="s">
        <v>2934</v>
      </c>
      <c r="C1109" s="29" t="s">
        <v>898</v>
      </c>
      <c r="D1109" s="30">
        <v>1</v>
      </c>
      <c r="E1109" s="29" t="s">
        <v>2933</v>
      </c>
      <c r="F1109" s="29" t="s">
        <v>1885</v>
      </c>
      <c r="G1109" s="29" t="s">
        <v>901</v>
      </c>
      <c r="H1109" s="29" t="s">
        <v>902</v>
      </c>
      <c r="I1109" s="29" t="s">
        <v>656</v>
      </c>
      <c r="J1109" s="29" t="s">
        <v>2935</v>
      </c>
    </row>
    <row r="1110" spans="1:10" ht="19.5" customHeight="1" x14ac:dyDescent="0.35">
      <c r="A1110" s="29" t="s">
        <v>896</v>
      </c>
      <c r="B1110" s="29" t="s">
        <v>2936</v>
      </c>
      <c r="C1110" s="29" t="s">
        <v>1212</v>
      </c>
      <c r="D1110" s="30">
        <v>1</v>
      </c>
      <c r="E1110" s="29" t="s">
        <v>2933</v>
      </c>
      <c r="F1110" s="29" t="s">
        <v>1885</v>
      </c>
      <c r="G1110" s="29" t="s">
        <v>901</v>
      </c>
      <c r="H1110" s="29" t="s">
        <v>902</v>
      </c>
      <c r="I1110" s="29" t="s">
        <v>656</v>
      </c>
      <c r="J1110" s="29" t="s">
        <v>2937</v>
      </c>
    </row>
    <row r="1111" spans="1:10" ht="19.5" customHeight="1" x14ac:dyDescent="0.35">
      <c r="A1111" s="29" t="s">
        <v>896</v>
      </c>
      <c r="B1111" s="29" t="s">
        <v>2938</v>
      </c>
      <c r="C1111" s="29" t="s">
        <v>963</v>
      </c>
      <c r="D1111" s="30">
        <v>1</v>
      </c>
      <c r="E1111" s="29" t="s">
        <v>2939</v>
      </c>
      <c r="F1111" s="29" t="s">
        <v>1885</v>
      </c>
      <c r="G1111" s="29" t="s">
        <v>901</v>
      </c>
      <c r="H1111" s="29" t="s">
        <v>902</v>
      </c>
      <c r="I1111" s="29" t="s">
        <v>656</v>
      </c>
      <c r="J1111" s="29" t="s">
        <v>2940</v>
      </c>
    </row>
    <row r="1112" spans="1:10" ht="19.5" customHeight="1" x14ac:dyDescent="0.35">
      <c r="A1112" s="29" t="s">
        <v>896</v>
      </c>
      <c r="B1112" s="29" t="s">
        <v>2941</v>
      </c>
      <c r="C1112" s="29" t="s">
        <v>989</v>
      </c>
      <c r="D1112" s="30">
        <v>1</v>
      </c>
      <c r="E1112" s="29" t="s">
        <v>2939</v>
      </c>
      <c r="F1112" s="29" t="s">
        <v>1885</v>
      </c>
      <c r="G1112" s="29" t="s">
        <v>901</v>
      </c>
      <c r="H1112" s="29" t="s">
        <v>902</v>
      </c>
      <c r="I1112" s="29" t="s">
        <v>656</v>
      </c>
      <c r="J1112" s="29" t="s">
        <v>2942</v>
      </c>
    </row>
    <row r="1113" spans="1:10" ht="19.5" customHeight="1" x14ac:dyDescent="0.35">
      <c r="A1113" s="29" t="s">
        <v>896</v>
      </c>
      <c r="B1113" s="29" t="s">
        <v>2943</v>
      </c>
      <c r="C1113" s="29" t="s">
        <v>1136</v>
      </c>
      <c r="D1113" s="30">
        <v>1</v>
      </c>
      <c r="E1113" s="29" t="s">
        <v>2939</v>
      </c>
      <c r="F1113" s="29" t="s">
        <v>1885</v>
      </c>
      <c r="G1113" s="29" t="s">
        <v>901</v>
      </c>
      <c r="H1113" s="29" t="s">
        <v>902</v>
      </c>
      <c r="I1113" s="29" t="s">
        <v>656</v>
      </c>
      <c r="J1113" s="29" t="s">
        <v>2348</v>
      </c>
    </row>
    <row r="1114" spans="1:10" ht="19.5" customHeight="1" x14ac:dyDescent="0.35">
      <c r="A1114" s="29" t="s">
        <v>896</v>
      </c>
      <c r="B1114" s="29" t="s">
        <v>2944</v>
      </c>
      <c r="C1114" s="29" t="s">
        <v>959</v>
      </c>
      <c r="D1114" s="30">
        <v>1</v>
      </c>
      <c r="E1114" s="29" t="s">
        <v>2939</v>
      </c>
      <c r="F1114" s="29" t="s">
        <v>1885</v>
      </c>
      <c r="G1114" s="29" t="s">
        <v>901</v>
      </c>
      <c r="H1114" s="29" t="s">
        <v>902</v>
      </c>
      <c r="I1114" s="29" t="s">
        <v>656</v>
      </c>
      <c r="J1114" s="29" t="s">
        <v>2945</v>
      </c>
    </row>
    <row r="1115" spans="1:10" ht="19.5" customHeight="1" x14ac:dyDescent="0.35">
      <c r="A1115" s="29" t="s">
        <v>896</v>
      </c>
      <c r="B1115" s="29" t="s">
        <v>2946</v>
      </c>
      <c r="C1115" s="29" t="s">
        <v>921</v>
      </c>
      <c r="D1115" s="30">
        <v>1</v>
      </c>
      <c r="E1115" s="29" t="s">
        <v>2939</v>
      </c>
      <c r="F1115" s="29" t="s">
        <v>1885</v>
      </c>
      <c r="G1115" s="29" t="s">
        <v>901</v>
      </c>
      <c r="H1115" s="29" t="s">
        <v>902</v>
      </c>
      <c r="I1115" s="29" t="s">
        <v>656</v>
      </c>
      <c r="J1115" s="29" t="s">
        <v>2947</v>
      </c>
    </row>
    <row r="1116" spans="1:10" ht="19.5" customHeight="1" x14ac:dyDescent="0.35">
      <c r="A1116" s="29" t="s">
        <v>896</v>
      </c>
      <c r="B1116" s="29" t="s">
        <v>2948</v>
      </c>
      <c r="C1116" s="29" t="s">
        <v>1136</v>
      </c>
      <c r="D1116" s="30">
        <v>1</v>
      </c>
      <c r="E1116" s="29" t="s">
        <v>2939</v>
      </c>
      <c r="F1116" s="29" t="s">
        <v>1885</v>
      </c>
      <c r="G1116" s="29" t="s">
        <v>901</v>
      </c>
      <c r="H1116" s="29" t="s">
        <v>902</v>
      </c>
      <c r="I1116" s="29" t="s">
        <v>656</v>
      </c>
      <c r="J1116" s="29" t="s">
        <v>2949</v>
      </c>
    </row>
    <row r="1117" spans="1:10" ht="19.5" customHeight="1" x14ac:dyDescent="0.35">
      <c r="A1117" s="29" t="s">
        <v>896</v>
      </c>
      <c r="B1117" s="29" t="s">
        <v>2950</v>
      </c>
      <c r="C1117" s="29" t="s">
        <v>921</v>
      </c>
      <c r="D1117" s="30">
        <v>1</v>
      </c>
      <c r="E1117" s="29" t="s">
        <v>2939</v>
      </c>
      <c r="F1117" s="29" t="s">
        <v>1885</v>
      </c>
      <c r="G1117" s="29" t="s">
        <v>901</v>
      </c>
      <c r="H1117" s="29" t="s">
        <v>902</v>
      </c>
      <c r="I1117" s="29" t="s">
        <v>656</v>
      </c>
      <c r="J1117" s="29" t="s">
        <v>2947</v>
      </c>
    </row>
    <row r="1118" spans="1:10" ht="19.5" customHeight="1" x14ac:dyDescent="0.35">
      <c r="A1118" s="29" t="s">
        <v>896</v>
      </c>
      <c r="B1118" s="29" t="s">
        <v>2951</v>
      </c>
      <c r="C1118" s="29" t="s">
        <v>1731</v>
      </c>
      <c r="D1118" s="30">
        <v>1</v>
      </c>
      <c r="E1118" s="29" t="s">
        <v>2939</v>
      </c>
      <c r="F1118" s="29" t="s">
        <v>1885</v>
      </c>
      <c r="G1118" s="29" t="s">
        <v>901</v>
      </c>
      <c r="H1118" s="29" t="s">
        <v>902</v>
      </c>
      <c r="I1118" s="29" t="s">
        <v>656</v>
      </c>
      <c r="J1118" s="29" t="s">
        <v>2348</v>
      </c>
    </row>
    <row r="1119" spans="1:10" ht="19.5" customHeight="1" x14ac:dyDescent="0.35">
      <c r="A1119" s="29" t="s">
        <v>896</v>
      </c>
      <c r="B1119" s="29" t="s">
        <v>2952</v>
      </c>
      <c r="C1119" s="29" t="s">
        <v>905</v>
      </c>
      <c r="D1119" s="30">
        <v>1</v>
      </c>
      <c r="E1119" s="29" t="s">
        <v>2953</v>
      </c>
      <c r="F1119" s="29" t="s">
        <v>1885</v>
      </c>
      <c r="G1119" s="29" t="s">
        <v>901</v>
      </c>
      <c r="H1119" s="29" t="s">
        <v>902</v>
      </c>
      <c r="I1119" s="29" t="s">
        <v>656</v>
      </c>
      <c r="J1119" s="29" t="s">
        <v>2954</v>
      </c>
    </row>
    <row r="1120" spans="1:10" ht="19.5" customHeight="1" x14ac:dyDescent="0.35">
      <c r="A1120" s="29" t="s">
        <v>896</v>
      </c>
      <c r="B1120" s="29" t="s">
        <v>2955</v>
      </c>
      <c r="C1120" s="29" t="s">
        <v>905</v>
      </c>
      <c r="D1120" s="30">
        <v>1</v>
      </c>
      <c r="E1120" s="29" t="s">
        <v>2953</v>
      </c>
      <c r="F1120" s="29" t="s">
        <v>1885</v>
      </c>
      <c r="G1120" s="29" t="s">
        <v>901</v>
      </c>
      <c r="H1120" s="29" t="s">
        <v>902</v>
      </c>
      <c r="I1120" s="29" t="s">
        <v>656</v>
      </c>
      <c r="J1120" s="29" t="s">
        <v>2956</v>
      </c>
    </row>
    <row r="1121" spans="1:10" ht="19.5" customHeight="1" x14ac:dyDescent="0.35">
      <c r="A1121" s="29" t="s">
        <v>896</v>
      </c>
      <c r="B1121" s="29" t="s">
        <v>2957</v>
      </c>
      <c r="C1121" s="29" t="s">
        <v>913</v>
      </c>
      <c r="D1121" s="30">
        <v>1</v>
      </c>
      <c r="E1121" s="29" t="s">
        <v>2953</v>
      </c>
      <c r="F1121" s="29" t="s">
        <v>1885</v>
      </c>
      <c r="G1121" s="29" t="s">
        <v>901</v>
      </c>
      <c r="H1121" s="29" t="s">
        <v>902</v>
      </c>
      <c r="I1121" s="29" t="s">
        <v>656</v>
      </c>
      <c r="J1121" s="29" t="s">
        <v>2954</v>
      </c>
    </row>
    <row r="1122" spans="1:10" ht="19.5" customHeight="1" x14ac:dyDescent="0.35">
      <c r="A1122" s="29" t="s">
        <v>896</v>
      </c>
      <c r="B1122" s="29" t="s">
        <v>2958</v>
      </c>
      <c r="C1122" s="29" t="s">
        <v>1009</v>
      </c>
      <c r="D1122" s="30">
        <v>1</v>
      </c>
      <c r="E1122" s="29" t="s">
        <v>2953</v>
      </c>
      <c r="F1122" s="29" t="s">
        <v>1885</v>
      </c>
      <c r="G1122" s="29" t="s">
        <v>901</v>
      </c>
      <c r="H1122" s="29" t="s">
        <v>902</v>
      </c>
      <c r="I1122" s="29" t="s">
        <v>656</v>
      </c>
      <c r="J1122" s="29" t="s">
        <v>2959</v>
      </c>
    </row>
    <row r="1123" spans="1:10" ht="19.5" customHeight="1" x14ac:dyDescent="0.35">
      <c r="A1123" s="29" t="s">
        <v>896</v>
      </c>
      <c r="B1123" s="29" t="s">
        <v>2960</v>
      </c>
      <c r="C1123" s="29" t="s">
        <v>1009</v>
      </c>
      <c r="D1123" s="30">
        <v>1</v>
      </c>
      <c r="E1123" s="29" t="s">
        <v>2953</v>
      </c>
      <c r="F1123" s="29" t="s">
        <v>1885</v>
      </c>
      <c r="G1123" s="29" t="s">
        <v>901</v>
      </c>
      <c r="H1123" s="29" t="s">
        <v>902</v>
      </c>
      <c r="I1123" s="29" t="s">
        <v>656</v>
      </c>
      <c r="J1123" s="29" t="s">
        <v>2961</v>
      </c>
    </row>
    <row r="1124" spans="1:10" ht="19.5" customHeight="1" x14ac:dyDescent="0.35">
      <c r="A1124" s="29" t="s">
        <v>896</v>
      </c>
      <c r="B1124" s="29" t="s">
        <v>2962</v>
      </c>
      <c r="C1124" s="29" t="s">
        <v>1077</v>
      </c>
      <c r="D1124" s="30">
        <v>1</v>
      </c>
      <c r="E1124" s="29" t="s">
        <v>2953</v>
      </c>
      <c r="F1124" s="29" t="s">
        <v>1885</v>
      </c>
      <c r="G1124" s="29" t="s">
        <v>901</v>
      </c>
      <c r="H1124" s="29" t="s">
        <v>902</v>
      </c>
      <c r="I1124" s="29" t="s">
        <v>656</v>
      </c>
      <c r="J1124" s="29" t="s">
        <v>2621</v>
      </c>
    </row>
    <row r="1125" spans="1:10" ht="19.5" customHeight="1" x14ac:dyDescent="0.35">
      <c r="A1125" s="29" t="s">
        <v>896</v>
      </c>
      <c r="B1125" s="29" t="s">
        <v>2963</v>
      </c>
      <c r="C1125" s="29" t="s">
        <v>905</v>
      </c>
      <c r="D1125" s="30">
        <v>1</v>
      </c>
      <c r="E1125" s="29" t="s">
        <v>2964</v>
      </c>
      <c r="F1125" s="29" t="s">
        <v>1885</v>
      </c>
      <c r="G1125" s="29" t="s">
        <v>901</v>
      </c>
      <c r="H1125" s="29" t="s">
        <v>902</v>
      </c>
      <c r="I1125" s="29" t="s">
        <v>656</v>
      </c>
      <c r="J1125" s="29" t="s">
        <v>2965</v>
      </c>
    </row>
    <row r="1126" spans="1:10" ht="19.5" customHeight="1" x14ac:dyDescent="0.35">
      <c r="A1126" s="29" t="s">
        <v>896</v>
      </c>
      <c r="B1126" s="29" t="s">
        <v>2966</v>
      </c>
      <c r="C1126" s="29" t="s">
        <v>921</v>
      </c>
      <c r="D1126" s="30">
        <v>1</v>
      </c>
      <c r="E1126" s="29" t="s">
        <v>2964</v>
      </c>
      <c r="F1126" s="29" t="s">
        <v>1885</v>
      </c>
      <c r="G1126" s="29" t="s">
        <v>901</v>
      </c>
      <c r="H1126" s="29" t="s">
        <v>902</v>
      </c>
      <c r="I1126" s="29" t="s">
        <v>656</v>
      </c>
      <c r="J1126" s="29" t="s">
        <v>2095</v>
      </c>
    </row>
    <row r="1127" spans="1:10" ht="19.5" customHeight="1" x14ac:dyDescent="0.35">
      <c r="A1127" s="29" t="s">
        <v>896</v>
      </c>
      <c r="B1127" s="29" t="s">
        <v>2967</v>
      </c>
      <c r="C1127" s="29" t="s">
        <v>921</v>
      </c>
      <c r="D1127" s="30">
        <v>1</v>
      </c>
      <c r="E1127" s="29" t="s">
        <v>2964</v>
      </c>
      <c r="F1127" s="29" t="s">
        <v>1885</v>
      </c>
      <c r="G1127" s="29" t="s">
        <v>901</v>
      </c>
      <c r="H1127" s="29" t="s">
        <v>902</v>
      </c>
      <c r="I1127" s="29" t="s">
        <v>656</v>
      </c>
      <c r="J1127" s="29" t="s">
        <v>2222</v>
      </c>
    </row>
    <row r="1128" spans="1:10" ht="19.5" customHeight="1" x14ac:dyDescent="0.35">
      <c r="A1128" s="29" t="s">
        <v>896</v>
      </c>
      <c r="B1128" s="29" t="s">
        <v>2968</v>
      </c>
      <c r="C1128" s="29" t="s">
        <v>913</v>
      </c>
      <c r="D1128" s="30">
        <v>1</v>
      </c>
      <c r="E1128" s="29" t="s">
        <v>2964</v>
      </c>
      <c r="F1128" s="29" t="s">
        <v>1885</v>
      </c>
      <c r="G1128" s="29" t="s">
        <v>901</v>
      </c>
      <c r="H1128" s="29" t="s">
        <v>902</v>
      </c>
      <c r="I1128" s="29" t="s">
        <v>656</v>
      </c>
      <c r="J1128" s="29" t="s">
        <v>2692</v>
      </c>
    </row>
    <row r="1129" spans="1:10" ht="19.5" customHeight="1" x14ac:dyDescent="0.35">
      <c r="A1129" s="29" t="s">
        <v>896</v>
      </c>
      <c r="B1129" s="29" t="s">
        <v>2969</v>
      </c>
      <c r="C1129" s="29" t="s">
        <v>989</v>
      </c>
      <c r="D1129" s="30">
        <v>1</v>
      </c>
      <c r="E1129" s="29" t="s">
        <v>2964</v>
      </c>
      <c r="F1129" s="29" t="s">
        <v>1885</v>
      </c>
      <c r="G1129" s="29" t="s">
        <v>901</v>
      </c>
      <c r="H1129" s="29" t="s">
        <v>902</v>
      </c>
      <c r="I1129" s="29" t="s">
        <v>656</v>
      </c>
      <c r="J1129" s="29" t="s">
        <v>2866</v>
      </c>
    </row>
    <row r="1130" spans="1:10" ht="19.5" customHeight="1" x14ac:dyDescent="0.35">
      <c r="A1130" s="29" t="s">
        <v>896</v>
      </c>
      <c r="B1130" s="29" t="s">
        <v>2970</v>
      </c>
      <c r="C1130" s="29" t="s">
        <v>2971</v>
      </c>
      <c r="D1130" s="30">
        <v>1</v>
      </c>
      <c r="E1130" s="29" t="s">
        <v>2964</v>
      </c>
      <c r="F1130" s="29" t="s">
        <v>1885</v>
      </c>
      <c r="G1130" s="29" t="s">
        <v>901</v>
      </c>
      <c r="H1130" s="29" t="s">
        <v>902</v>
      </c>
      <c r="I1130" s="29" t="s">
        <v>656</v>
      </c>
      <c r="J1130" s="29" t="s">
        <v>2972</v>
      </c>
    </row>
    <row r="1131" spans="1:10" ht="19.5" customHeight="1" x14ac:dyDescent="0.35">
      <c r="A1131" s="29" t="s">
        <v>896</v>
      </c>
      <c r="B1131" s="29" t="s">
        <v>2973</v>
      </c>
      <c r="C1131" s="29" t="s">
        <v>1009</v>
      </c>
      <c r="D1131" s="30">
        <v>1</v>
      </c>
      <c r="E1131" s="29" t="s">
        <v>2964</v>
      </c>
      <c r="F1131" s="29" t="s">
        <v>1885</v>
      </c>
      <c r="G1131" s="29" t="s">
        <v>901</v>
      </c>
      <c r="H1131" s="29" t="s">
        <v>902</v>
      </c>
      <c r="I1131" s="29" t="s">
        <v>656</v>
      </c>
      <c r="J1131" s="29" t="s">
        <v>2443</v>
      </c>
    </row>
    <row r="1132" spans="1:10" ht="19.5" customHeight="1" x14ac:dyDescent="0.35">
      <c r="A1132" s="29" t="s">
        <v>896</v>
      </c>
      <c r="B1132" s="29" t="s">
        <v>2974</v>
      </c>
      <c r="C1132" s="29" t="s">
        <v>959</v>
      </c>
      <c r="D1132" s="30">
        <v>1</v>
      </c>
      <c r="E1132" s="29" t="s">
        <v>2933</v>
      </c>
      <c r="F1132" s="29" t="s">
        <v>1885</v>
      </c>
      <c r="G1132" s="29" t="s">
        <v>901</v>
      </c>
      <c r="H1132" s="29" t="s">
        <v>902</v>
      </c>
      <c r="I1132" s="29" t="s">
        <v>656</v>
      </c>
      <c r="J1132" s="29" t="s">
        <v>2975</v>
      </c>
    </row>
    <row r="1133" spans="1:10" ht="19.5" customHeight="1" x14ac:dyDescent="0.35">
      <c r="A1133" s="29" t="s">
        <v>896</v>
      </c>
      <c r="B1133" s="29" t="s">
        <v>2976</v>
      </c>
      <c r="C1133" s="29" t="s">
        <v>913</v>
      </c>
      <c r="D1133" s="30">
        <v>1</v>
      </c>
      <c r="E1133" s="29" t="s">
        <v>2977</v>
      </c>
      <c r="F1133" s="29" t="s">
        <v>1885</v>
      </c>
      <c r="G1133" s="29" t="s">
        <v>901</v>
      </c>
      <c r="H1133" s="29" t="s">
        <v>902</v>
      </c>
      <c r="I1133" s="29" t="s">
        <v>656</v>
      </c>
      <c r="J1133" s="29" t="s">
        <v>2692</v>
      </c>
    </row>
    <row r="1134" spans="1:10" ht="19.5" customHeight="1" x14ac:dyDescent="0.35">
      <c r="A1134" s="29" t="s">
        <v>896</v>
      </c>
      <c r="B1134" s="29" t="s">
        <v>2978</v>
      </c>
      <c r="C1134" s="29" t="s">
        <v>909</v>
      </c>
      <c r="D1134" s="30">
        <v>1</v>
      </c>
      <c r="E1134" s="29" t="s">
        <v>2977</v>
      </c>
      <c r="F1134" s="29" t="s">
        <v>1885</v>
      </c>
      <c r="G1134" s="29" t="s">
        <v>901</v>
      </c>
      <c r="H1134" s="29" t="s">
        <v>902</v>
      </c>
      <c r="I1134" s="29" t="s">
        <v>656</v>
      </c>
      <c r="J1134" s="29" t="s">
        <v>2692</v>
      </c>
    </row>
    <row r="1135" spans="1:10" ht="19.5" customHeight="1" x14ac:dyDescent="0.35">
      <c r="A1135" s="29" t="s">
        <v>896</v>
      </c>
      <c r="B1135" s="29" t="s">
        <v>2979</v>
      </c>
      <c r="C1135" s="29" t="s">
        <v>989</v>
      </c>
      <c r="D1135" s="30">
        <v>1</v>
      </c>
      <c r="E1135" s="29" t="s">
        <v>2977</v>
      </c>
      <c r="F1135" s="29" t="s">
        <v>1885</v>
      </c>
      <c r="G1135" s="29" t="s">
        <v>901</v>
      </c>
      <c r="H1135" s="29" t="s">
        <v>902</v>
      </c>
      <c r="I1135" s="29" t="s">
        <v>656</v>
      </c>
      <c r="J1135" s="29" t="s">
        <v>2692</v>
      </c>
    </row>
    <row r="1136" spans="1:10" ht="19.5" customHeight="1" x14ac:dyDescent="0.35">
      <c r="A1136" s="29" t="s">
        <v>896</v>
      </c>
      <c r="B1136" s="29" t="s">
        <v>2980</v>
      </c>
      <c r="C1136" s="29" t="s">
        <v>1143</v>
      </c>
      <c r="D1136" s="30">
        <v>1</v>
      </c>
      <c r="E1136" s="29" t="s">
        <v>2977</v>
      </c>
      <c r="F1136" s="29" t="s">
        <v>1885</v>
      </c>
      <c r="G1136" s="29" t="s">
        <v>901</v>
      </c>
      <c r="H1136" s="29" t="s">
        <v>902</v>
      </c>
      <c r="I1136" s="29" t="s">
        <v>656</v>
      </c>
      <c r="J1136" s="29" t="s">
        <v>2222</v>
      </c>
    </row>
    <row r="1137" spans="1:10" ht="19.5" customHeight="1" x14ac:dyDescent="0.35">
      <c r="A1137" s="29" t="s">
        <v>896</v>
      </c>
      <c r="B1137" s="29" t="s">
        <v>2981</v>
      </c>
      <c r="C1137" s="29" t="s">
        <v>1768</v>
      </c>
      <c r="D1137" s="30">
        <v>1</v>
      </c>
      <c r="E1137" s="29" t="s">
        <v>2982</v>
      </c>
      <c r="F1137" s="29" t="s">
        <v>1885</v>
      </c>
      <c r="G1137" s="29" t="s">
        <v>901</v>
      </c>
      <c r="H1137" s="29" t="s">
        <v>902</v>
      </c>
      <c r="I1137" s="29" t="s">
        <v>656</v>
      </c>
      <c r="J1137" s="29" t="s">
        <v>2549</v>
      </c>
    </row>
    <row r="1138" spans="1:10" ht="19.5" customHeight="1" x14ac:dyDescent="0.35">
      <c r="A1138" s="29" t="s">
        <v>896</v>
      </c>
      <c r="B1138" s="29" t="s">
        <v>2983</v>
      </c>
      <c r="C1138" s="29" t="s">
        <v>913</v>
      </c>
      <c r="D1138" s="30">
        <v>1</v>
      </c>
      <c r="E1138" s="29" t="s">
        <v>2984</v>
      </c>
      <c r="F1138" s="29" t="s">
        <v>1885</v>
      </c>
      <c r="G1138" s="29" t="s">
        <v>901</v>
      </c>
      <c r="H1138" s="29" t="s">
        <v>902</v>
      </c>
      <c r="I1138" s="29" t="s">
        <v>656</v>
      </c>
      <c r="J1138" s="29" t="s">
        <v>2985</v>
      </c>
    </row>
    <row r="1139" spans="1:10" ht="19.5" customHeight="1" x14ac:dyDescent="0.35">
      <c r="A1139" s="29" t="s">
        <v>896</v>
      </c>
      <c r="B1139" s="29" t="s">
        <v>2986</v>
      </c>
      <c r="C1139" s="29" t="s">
        <v>996</v>
      </c>
      <c r="D1139" s="30">
        <v>1</v>
      </c>
      <c r="E1139" s="29" t="s">
        <v>2984</v>
      </c>
      <c r="F1139" s="29" t="s">
        <v>1885</v>
      </c>
      <c r="G1139" s="29" t="s">
        <v>901</v>
      </c>
      <c r="H1139" s="29" t="s">
        <v>902</v>
      </c>
      <c r="I1139" s="29" t="s">
        <v>656</v>
      </c>
      <c r="J1139" s="29" t="s">
        <v>2095</v>
      </c>
    </row>
    <row r="1140" spans="1:10" ht="19.5" customHeight="1" x14ac:dyDescent="0.35">
      <c r="A1140" s="29" t="s">
        <v>896</v>
      </c>
      <c r="B1140" s="29" t="s">
        <v>2987</v>
      </c>
      <c r="C1140" s="29" t="s">
        <v>946</v>
      </c>
      <c r="D1140" s="30">
        <v>1</v>
      </c>
      <c r="E1140" s="29" t="s">
        <v>2984</v>
      </c>
      <c r="F1140" s="29" t="s">
        <v>1885</v>
      </c>
      <c r="G1140" s="29" t="s">
        <v>901</v>
      </c>
      <c r="H1140" s="29" t="s">
        <v>902</v>
      </c>
      <c r="I1140" s="29" t="s">
        <v>656</v>
      </c>
      <c r="J1140" s="29" t="s">
        <v>2972</v>
      </c>
    </row>
    <row r="1141" spans="1:10" ht="19.5" customHeight="1" x14ac:dyDescent="0.35">
      <c r="A1141" s="29" t="s">
        <v>896</v>
      </c>
      <c r="B1141" s="29" t="s">
        <v>2988</v>
      </c>
      <c r="C1141" s="29" t="s">
        <v>2602</v>
      </c>
      <c r="D1141" s="30">
        <v>1</v>
      </c>
      <c r="E1141" s="29" t="s">
        <v>2989</v>
      </c>
      <c r="F1141" s="29" t="s">
        <v>1885</v>
      </c>
      <c r="G1141" s="29" t="s">
        <v>901</v>
      </c>
      <c r="H1141" s="29" t="s">
        <v>902</v>
      </c>
      <c r="I1141" s="29" t="s">
        <v>656</v>
      </c>
      <c r="J1141" s="29" t="s">
        <v>2990</v>
      </c>
    </row>
    <row r="1142" spans="1:10" ht="19.5" customHeight="1" x14ac:dyDescent="0.35">
      <c r="A1142" s="29" t="s">
        <v>896</v>
      </c>
      <c r="B1142" s="29" t="s">
        <v>2991</v>
      </c>
      <c r="C1142" s="29" t="s">
        <v>1077</v>
      </c>
      <c r="D1142" s="30">
        <v>1</v>
      </c>
      <c r="E1142" s="29" t="s">
        <v>2992</v>
      </c>
      <c r="F1142" s="29" t="s">
        <v>1885</v>
      </c>
      <c r="G1142" s="29" t="s">
        <v>901</v>
      </c>
      <c r="H1142" s="29" t="s">
        <v>902</v>
      </c>
      <c r="I1142" s="29" t="s">
        <v>656</v>
      </c>
      <c r="J1142" s="29" t="s">
        <v>2993</v>
      </c>
    </row>
    <row r="1143" spans="1:10" ht="19.5" customHeight="1" x14ac:dyDescent="0.35">
      <c r="A1143" s="29" t="s">
        <v>896</v>
      </c>
      <c r="B1143" s="29" t="s">
        <v>2994</v>
      </c>
      <c r="C1143" s="29" t="s">
        <v>921</v>
      </c>
      <c r="D1143" s="30">
        <v>1</v>
      </c>
      <c r="E1143" s="29" t="s">
        <v>2995</v>
      </c>
      <c r="F1143" s="29" t="s">
        <v>1885</v>
      </c>
      <c r="G1143" s="29" t="s">
        <v>901</v>
      </c>
      <c r="H1143" s="29" t="s">
        <v>902</v>
      </c>
      <c r="I1143" s="29" t="s">
        <v>656</v>
      </c>
      <c r="J1143" s="29" t="s">
        <v>2996</v>
      </c>
    </row>
    <row r="1144" spans="1:10" ht="19.5" customHeight="1" x14ac:dyDescent="0.35">
      <c r="A1144" s="29" t="s">
        <v>896</v>
      </c>
      <c r="B1144" s="29" t="s">
        <v>2997</v>
      </c>
      <c r="C1144" s="29" t="s">
        <v>2257</v>
      </c>
      <c r="D1144" s="30">
        <v>1</v>
      </c>
      <c r="E1144" s="29" t="s">
        <v>2995</v>
      </c>
      <c r="F1144" s="29" t="s">
        <v>1885</v>
      </c>
      <c r="G1144" s="29" t="s">
        <v>901</v>
      </c>
      <c r="H1144" s="29" t="s">
        <v>902</v>
      </c>
      <c r="I1144" s="29" t="s">
        <v>656</v>
      </c>
      <c r="J1144" s="29" t="s">
        <v>2998</v>
      </c>
    </row>
    <row r="1145" spans="1:10" ht="19.5" customHeight="1" x14ac:dyDescent="0.35">
      <c r="A1145" s="29" t="s">
        <v>896</v>
      </c>
      <c r="B1145" s="29" t="s">
        <v>2999</v>
      </c>
      <c r="C1145" s="29" t="s">
        <v>921</v>
      </c>
      <c r="D1145" s="30">
        <v>1</v>
      </c>
      <c r="E1145" s="29" t="s">
        <v>3000</v>
      </c>
      <c r="F1145" s="29" t="s">
        <v>1885</v>
      </c>
      <c r="G1145" s="29" t="s">
        <v>901</v>
      </c>
      <c r="H1145" s="29" t="s">
        <v>902</v>
      </c>
      <c r="I1145" s="29" t="s">
        <v>656</v>
      </c>
      <c r="J1145" s="29" t="s">
        <v>3001</v>
      </c>
    </row>
    <row r="1146" spans="1:10" ht="19.5" customHeight="1" x14ac:dyDescent="0.35">
      <c r="A1146" s="29" t="s">
        <v>896</v>
      </c>
      <c r="B1146" s="29" t="s">
        <v>3002</v>
      </c>
      <c r="C1146" s="29" t="s">
        <v>1118</v>
      </c>
      <c r="D1146" s="30">
        <v>1</v>
      </c>
      <c r="E1146" s="29" t="s">
        <v>3003</v>
      </c>
      <c r="F1146" s="29" t="s">
        <v>1885</v>
      </c>
      <c r="G1146" s="29" t="s">
        <v>901</v>
      </c>
      <c r="H1146" s="29" t="s">
        <v>902</v>
      </c>
      <c r="I1146" s="29" t="s">
        <v>656</v>
      </c>
      <c r="J1146" s="29" t="s">
        <v>3004</v>
      </c>
    </row>
    <row r="1147" spans="1:10" ht="19.5" customHeight="1" x14ac:dyDescent="0.35">
      <c r="A1147" s="29" t="s">
        <v>896</v>
      </c>
      <c r="B1147" s="29" t="s">
        <v>3005</v>
      </c>
      <c r="C1147" s="29" t="s">
        <v>905</v>
      </c>
      <c r="D1147" s="30">
        <v>1</v>
      </c>
      <c r="E1147" s="29" t="s">
        <v>3003</v>
      </c>
      <c r="F1147" s="29" t="s">
        <v>1885</v>
      </c>
      <c r="G1147" s="29" t="s">
        <v>901</v>
      </c>
      <c r="H1147" s="29" t="s">
        <v>902</v>
      </c>
      <c r="I1147" s="29" t="s">
        <v>656</v>
      </c>
      <c r="J1147" s="29" t="s">
        <v>2630</v>
      </c>
    </row>
    <row r="1148" spans="1:10" ht="19.5" customHeight="1" x14ac:dyDescent="0.35">
      <c r="A1148" s="29" t="s">
        <v>896</v>
      </c>
      <c r="B1148" s="29" t="s">
        <v>3006</v>
      </c>
      <c r="C1148" s="29" t="s">
        <v>989</v>
      </c>
      <c r="D1148" s="30">
        <v>1</v>
      </c>
      <c r="E1148" s="29" t="s">
        <v>3003</v>
      </c>
      <c r="F1148" s="29" t="s">
        <v>1885</v>
      </c>
      <c r="G1148" s="29" t="s">
        <v>901</v>
      </c>
      <c r="H1148" s="29" t="s">
        <v>902</v>
      </c>
      <c r="I1148" s="29" t="s">
        <v>656</v>
      </c>
      <c r="J1148" s="29" t="s">
        <v>2572</v>
      </c>
    </row>
    <row r="1149" spans="1:10" ht="19.5" customHeight="1" x14ac:dyDescent="0.35">
      <c r="A1149" s="29" t="s">
        <v>896</v>
      </c>
      <c r="B1149" s="29" t="s">
        <v>3007</v>
      </c>
      <c r="C1149" s="29" t="s">
        <v>913</v>
      </c>
      <c r="D1149" s="30">
        <v>1</v>
      </c>
      <c r="E1149" s="29" t="s">
        <v>3008</v>
      </c>
      <c r="F1149" s="29" t="s">
        <v>1885</v>
      </c>
      <c r="G1149" s="29" t="s">
        <v>901</v>
      </c>
      <c r="H1149" s="29" t="s">
        <v>902</v>
      </c>
      <c r="I1149" s="29" t="s">
        <v>656</v>
      </c>
      <c r="J1149" s="29" t="s">
        <v>2720</v>
      </c>
    </row>
    <row r="1150" spans="1:10" ht="19.5" customHeight="1" x14ac:dyDescent="0.35">
      <c r="A1150" s="29" t="s">
        <v>896</v>
      </c>
      <c r="B1150" s="29" t="s">
        <v>3009</v>
      </c>
      <c r="C1150" s="29" t="s">
        <v>913</v>
      </c>
      <c r="D1150" s="30">
        <v>1</v>
      </c>
      <c r="E1150" s="29" t="s">
        <v>3008</v>
      </c>
      <c r="F1150" s="29" t="s">
        <v>1885</v>
      </c>
      <c r="G1150" s="29" t="s">
        <v>901</v>
      </c>
      <c r="H1150" s="29" t="s">
        <v>902</v>
      </c>
      <c r="I1150" s="29" t="s">
        <v>656</v>
      </c>
      <c r="J1150" s="29" t="s">
        <v>3010</v>
      </c>
    </row>
    <row r="1151" spans="1:10" ht="19.5" customHeight="1" x14ac:dyDescent="0.35">
      <c r="A1151" s="29" t="s">
        <v>896</v>
      </c>
      <c r="B1151" s="29" t="s">
        <v>3011</v>
      </c>
      <c r="C1151" s="29" t="s">
        <v>1143</v>
      </c>
      <c r="D1151" s="30">
        <v>1</v>
      </c>
      <c r="E1151" s="29" t="s">
        <v>3008</v>
      </c>
      <c r="F1151" s="29" t="s">
        <v>1885</v>
      </c>
      <c r="G1151" s="29" t="s">
        <v>901</v>
      </c>
      <c r="H1151" s="29" t="s">
        <v>902</v>
      </c>
      <c r="I1151" s="29" t="s">
        <v>656</v>
      </c>
      <c r="J1151" s="29" t="s">
        <v>2940</v>
      </c>
    </row>
    <row r="1152" spans="1:10" ht="19.5" customHeight="1" x14ac:dyDescent="0.35">
      <c r="A1152" s="29" t="s">
        <v>896</v>
      </c>
      <c r="B1152" s="29" t="s">
        <v>3012</v>
      </c>
      <c r="C1152" s="29" t="s">
        <v>921</v>
      </c>
      <c r="D1152" s="30">
        <v>1</v>
      </c>
      <c r="E1152" s="29" t="s">
        <v>3013</v>
      </c>
      <c r="F1152" s="29" t="s">
        <v>1885</v>
      </c>
      <c r="G1152" s="29" t="s">
        <v>901</v>
      </c>
      <c r="H1152" s="29" t="s">
        <v>902</v>
      </c>
      <c r="I1152" s="29" t="s">
        <v>656</v>
      </c>
      <c r="J1152" s="29" t="s">
        <v>2621</v>
      </c>
    </row>
    <row r="1153" spans="1:10" ht="19.5" customHeight="1" x14ac:dyDescent="0.35">
      <c r="A1153" s="29" t="s">
        <v>896</v>
      </c>
      <c r="B1153" s="29" t="s">
        <v>3014</v>
      </c>
      <c r="C1153" s="29" t="s">
        <v>1157</v>
      </c>
      <c r="D1153" s="30">
        <v>1</v>
      </c>
      <c r="E1153" s="29" t="s">
        <v>3013</v>
      </c>
      <c r="F1153" s="29" t="s">
        <v>1885</v>
      </c>
      <c r="G1153" s="29" t="s">
        <v>901</v>
      </c>
      <c r="H1153" s="29" t="s">
        <v>902</v>
      </c>
      <c r="I1153" s="29" t="s">
        <v>656</v>
      </c>
      <c r="J1153" s="29" t="s">
        <v>3015</v>
      </c>
    </row>
    <row r="1154" spans="1:10" ht="19.5" customHeight="1" x14ac:dyDescent="0.35">
      <c r="A1154" s="29" t="s">
        <v>896</v>
      </c>
      <c r="B1154" s="29" t="s">
        <v>3016</v>
      </c>
      <c r="C1154" s="29" t="s">
        <v>946</v>
      </c>
      <c r="D1154" s="30">
        <v>1</v>
      </c>
      <c r="E1154" s="29" t="s">
        <v>3017</v>
      </c>
      <c r="F1154" s="29" t="s">
        <v>1885</v>
      </c>
      <c r="G1154" s="29" t="s">
        <v>901</v>
      </c>
      <c r="H1154" s="29" t="s">
        <v>902</v>
      </c>
      <c r="I1154" s="29" t="s">
        <v>656</v>
      </c>
      <c r="J1154" s="29" t="s">
        <v>2222</v>
      </c>
    </row>
    <row r="1155" spans="1:10" ht="19.5" customHeight="1" x14ac:dyDescent="0.35">
      <c r="A1155" s="29" t="s">
        <v>896</v>
      </c>
      <c r="B1155" s="29" t="s">
        <v>3018</v>
      </c>
      <c r="C1155" s="29" t="s">
        <v>2792</v>
      </c>
      <c r="D1155" s="30">
        <v>1</v>
      </c>
      <c r="E1155" s="29" t="s">
        <v>3017</v>
      </c>
      <c r="F1155" s="29" t="s">
        <v>1885</v>
      </c>
      <c r="G1155" s="29" t="s">
        <v>901</v>
      </c>
      <c r="H1155" s="29" t="s">
        <v>902</v>
      </c>
      <c r="I1155" s="29" t="s">
        <v>656</v>
      </c>
      <c r="J1155" s="29" t="s">
        <v>2649</v>
      </c>
    </row>
    <row r="1156" spans="1:10" ht="19.5" customHeight="1" x14ac:dyDescent="0.35">
      <c r="A1156" s="29" t="s">
        <v>896</v>
      </c>
      <c r="B1156" s="29" t="s">
        <v>3019</v>
      </c>
      <c r="C1156" s="29" t="s">
        <v>973</v>
      </c>
      <c r="D1156" s="30">
        <v>1</v>
      </c>
      <c r="E1156" s="29" t="s">
        <v>3017</v>
      </c>
      <c r="F1156" s="29" t="s">
        <v>1885</v>
      </c>
      <c r="G1156" s="29" t="s">
        <v>901</v>
      </c>
      <c r="H1156" s="29" t="s">
        <v>902</v>
      </c>
      <c r="I1156" s="29" t="s">
        <v>656</v>
      </c>
      <c r="J1156" s="29" t="s">
        <v>2095</v>
      </c>
    </row>
    <row r="1157" spans="1:10" ht="19.5" customHeight="1" x14ac:dyDescent="0.35">
      <c r="A1157" s="29" t="s">
        <v>896</v>
      </c>
      <c r="B1157" s="29" t="s">
        <v>3020</v>
      </c>
      <c r="C1157" s="29" t="s">
        <v>929</v>
      </c>
      <c r="D1157" s="30">
        <v>1</v>
      </c>
      <c r="E1157" s="29" t="s">
        <v>3017</v>
      </c>
      <c r="F1157" s="29" t="s">
        <v>1885</v>
      </c>
      <c r="G1157" s="29" t="s">
        <v>901</v>
      </c>
      <c r="H1157" s="29" t="s">
        <v>902</v>
      </c>
      <c r="I1157" s="29" t="s">
        <v>656</v>
      </c>
      <c r="J1157" s="29" t="s">
        <v>2965</v>
      </c>
    </row>
    <row r="1158" spans="1:10" ht="19.5" customHeight="1" x14ac:dyDescent="0.35">
      <c r="A1158" s="29" t="s">
        <v>896</v>
      </c>
      <c r="B1158" s="29" t="s">
        <v>3021</v>
      </c>
      <c r="C1158" s="29" t="s">
        <v>946</v>
      </c>
      <c r="D1158" s="30">
        <v>1</v>
      </c>
      <c r="E1158" s="29" t="s">
        <v>3017</v>
      </c>
      <c r="F1158" s="29" t="s">
        <v>1885</v>
      </c>
      <c r="G1158" s="29" t="s">
        <v>901</v>
      </c>
      <c r="H1158" s="29" t="s">
        <v>902</v>
      </c>
      <c r="I1158" s="29" t="s">
        <v>656</v>
      </c>
      <c r="J1158" s="29" t="s">
        <v>2095</v>
      </c>
    </row>
    <row r="1159" spans="1:10" ht="19.5" customHeight="1" x14ac:dyDescent="0.35">
      <c r="A1159" s="29" t="s">
        <v>896</v>
      </c>
      <c r="B1159" s="29" t="s">
        <v>3022</v>
      </c>
      <c r="C1159" s="29" t="s">
        <v>1101</v>
      </c>
      <c r="D1159" s="30">
        <v>1</v>
      </c>
      <c r="E1159" s="29" t="s">
        <v>3023</v>
      </c>
      <c r="F1159" s="29" t="s">
        <v>1885</v>
      </c>
      <c r="G1159" s="29" t="s">
        <v>901</v>
      </c>
      <c r="H1159" s="29" t="s">
        <v>902</v>
      </c>
      <c r="I1159" s="29" t="s">
        <v>656</v>
      </c>
      <c r="J1159" s="29" t="s">
        <v>3024</v>
      </c>
    </row>
    <row r="1160" spans="1:10" ht="19.5" customHeight="1" x14ac:dyDescent="0.35">
      <c r="A1160" s="29" t="s">
        <v>896</v>
      </c>
      <c r="B1160" s="29" t="s">
        <v>3025</v>
      </c>
      <c r="C1160" s="29" t="s">
        <v>1077</v>
      </c>
      <c r="D1160" s="30">
        <v>1</v>
      </c>
      <c r="E1160" s="29" t="s">
        <v>3026</v>
      </c>
      <c r="F1160" s="29" t="s">
        <v>1885</v>
      </c>
      <c r="G1160" s="29" t="s">
        <v>901</v>
      </c>
      <c r="H1160" s="29" t="s">
        <v>902</v>
      </c>
      <c r="I1160" s="29" t="s">
        <v>656</v>
      </c>
      <c r="J1160" s="29" t="s">
        <v>3027</v>
      </c>
    </row>
    <row r="1161" spans="1:10" ht="19.5" customHeight="1" x14ac:dyDescent="0.35">
      <c r="A1161" s="29" t="s">
        <v>896</v>
      </c>
      <c r="B1161" s="29" t="s">
        <v>3028</v>
      </c>
      <c r="C1161" s="29" t="s">
        <v>909</v>
      </c>
      <c r="D1161" s="30">
        <v>1</v>
      </c>
      <c r="E1161" s="29" t="s">
        <v>3029</v>
      </c>
      <c r="F1161" s="29" t="s">
        <v>1885</v>
      </c>
      <c r="G1161" s="29" t="s">
        <v>901</v>
      </c>
      <c r="H1161" s="29" t="s">
        <v>902</v>
      </c>
      <c r="I1161" s="29" t="s">
        <v>656</v>
      </c>
      <c r="J1161" s="29" t="s">
        <v>2222</v>
      </c>
    </row>
    <row r="1162" spans="1:10" ht="19.5" customHeight="1" x14ac:dyDescent="0.35">
      <c r="A1162" s="29" t="s">
        <v>896</v>
      </c>
      <c r="B1162" s="29" t="s">
        <v>3030</v>
      </c>
      <c r="C1162" s="29" t="s">
        <v>1143</v>
      </c>
      <c r="D1162" s="30">
        <v>1</v>
      </c>
      <c r="E1162" s="29" t="s">
        <v>3029</v>
      </c>
      <c r="F1162" s="29" t="s">
        <v>1885</v>
      </c>
      <c r="G1162" s="29" t="s">
        <v>901</v>
      </c>
      <c r="H1162" s="29" t="s">
        <v>902</v>
      </c>
      <c r="I1162" s="29" t="s">
        <v>656</v>
      </c>
      <c r="J1162" s="29" t="s">
        <v>2222</v>
      </c>
    </row>
    <row r="1163" spans="1:10" ht="19.5" customHeight="1" x14ac:dyDescent="0.35">
      <c r="A1163" s="29" t="s">
        <v>896</v>
      </c>
      <c r="B1163" s="29" t="s">
        <v>3031</v>
      </c>
      <c r="C1163" s="29" t="s">
        <v>1136</v>
      </c>
      <c r="D1163" s="30">
        <v>1</v>
      </c>
      <c r="E1163" s="29" t="s">
        <v>3032</v>
      </c>
      <c r="F1163" s="29" t="s">
        <v>1885</v>
      </c>
      <c r="G1163" s="29" t="s">
        <v>901</v>
      </c>
      <c r="H1163" s="29" t="s">
        <v>902</v>
      </c>
      <c r="I1163" s="29" t="s">
        <v>656</v>
      </c>
      <c r="J1163" s="29" t="s">
        <v>3033</v>
      </c>
    </row>
    <row r="1164" spans="1:10" ht="19.5" customHeight="1" x14ac:dyDescent="0.35">
      <c r="A1164" s="29" t="s">
        <v>896</v>
      </c>
      <c r="B1164" s="29" t="s">
        <v>3034</v>
      </c>
      <c r="C1164" s="29" t="s">
        <v>1143</v>
      </c>
      <c r="D1164" s="30">
        <v>1</v>
      </c>
      <c r="E1164" s="29" t="s">
        <v>3035</v>
      </c>
      <c r="F1164" s="29" t="s">
        <v>1885</v>
      </c>
      <c r="G1164" s="29" t="s">
        <v>901</v>
      </c>
      <c r="H1164" s="29" t="s">
        <v>902</v>
      </c>
      <c r="I1164" s="29" t="s">
        <v>656</v>
      </c>
      <c r="J1164" s="29" t="s">
        <v>3036</v>
      </c>
    </row>
    <row r="1165" spans="1:10" ht="19.5" customHeight="1" x14ac:dyDescent="0.35">
      <c r="A1165" s="29" t="s">
        <v>896</v>
      </c>
      <c r="B1165" s="29" t="s">
        <v>3037</v>
      </c>
      <c r="C1165" s="29" t="s">
        <v>909</v>
      </c>
      <c r="D1165" s="30">
        <v>1</v>
      </c>
      <c r="E1165" s="29" t="s">
        <v>3038</v>
      </c>
      <c r="F1165" s="29" t="s">
        <v>1885</v>
      </c>
      <c r="G1165" s="29" t="s">
        <v>901</v>
      </c>
      <c r="H1165" s="29" t="s">
        <v>902</v>
      </c>
      <c r="I1165" s="29" t="s">
        <v>656</v>
      </c>
      <c r="J1165" s="29" t="s">
        <v>2222</v>
      </c>
    </row>
    <row r="1166" spans="1:10" ht="19.5" customHeight="1" x14ac:dyDescent="0.35">
      <c r="A1166" s="29" t="s">
        <v>896</v>
      </c>
      <c r="B1166" s="29" t="s">
        <v>3039</v>
      </c>
      <c r="C1166" s="29" t="s">
        <v>1009</v>
      </c>
      <c r="D1166" s="30">
        <v>1</v>
      </c>
      <c r="E1166" s="29" t="s">
        <v>3040</v>
      </c>
      <c r="F1166" s="29" t="s">
        <v>1885</v>
      </c>
      <c r="G1166" s="29" t="s">
        <v>901</v>
      </c>
      <c r="H1166" s="29" t="s">
        <v>902</v>
      </c>
      <c r="I1166" s="29" t="s">
        <v>656</v>
      </c>
      <c r="J1166" s="29" t="s">
        <v>2825</v>
      </c>
    </row>
    <row r="1167" spans="1:10" ht="19.5" customHeight="1" x14ac:dyDescent="0.35">
      <c r="A1167" s="29" t="s">
        <v>896</v>
      </c>
      <c r="B1167" s="29" t="s">
        <v>3041</v>
      </c>
      <c r="C1167" s="29" t="s">
        <v>1240</v>
      </c>
      <c r="D1167" s="30">
        <v>1</v>
      </c>
      <c r="E1167" s="29" t="s">
        <v>3038</v>
      </c>
      <c r="F1167" s="29" t="s">
        <v>1885</v>
      </c>
      <c r="G1167" s="29" t="s">
        <v>901</v>
      </c>
      <c r="H1167" s="29" t="s">
        <v>902</v>
      </c>
      <c r="I1167" s="29" t="s">
        <v>656</v>
      </c>
      <c r="J1167" s="29" t="s">
        <v>2866</v>
      </c>
    </row>
    <row r="1168" spans="1:10" ht="19.5" customHeight="1" x14ac:dyDescent="0.35">
      <c r="A1168" s="29" t="s">
        <v>896</v>
      </c>
      <c r="B1168" s="29" t="s">
        <v>3042</v>
      </c>
      <c r="C1168" s="29" t="s">
        <v>946</v>
      </c>
      <c r="D1168" s="30">
        <v>1</v>
      </c>
      <c r="E1168" s="29" t="s">
        <v>3043</v>
      </c>
      <c r="F1168" s="29" t="s">
        <v>1885</v>
      </c>
      <c r="G1168" s="29" t="s">
        <v>901</v>
      </c>
      <c r="H1168" s="29" t="s">
        <v>902</v>
      </c>
      <c r="I1168" s="29" t="s">
        <v>656</v>
      </c>
      <c r="J1168" s="29" t="s">
        <v>3044</v>
      </c>
    </row>
    <row r="1169" spans="1:10" ht="19.5" customHeight="1" x14ac:dyDescent="0.35">
      <c r="A1169" s="29" t="s">
        <v>896</v>
      </c>
      <c r="B1169" s="29" t="s">
        <v>3045</v>
      </c>
      <c r="C1169" s="29" t="s">
        <v>1582</v>
      </c>
      <c r="D1169" s="30">
        <v>1</v>
      </c>
      <c r="E1169" s="29" t="s">
        <v>3046</v>
      </c>
      <c r="F1169" s="29" t="s">
        <v>1885</v>
      </c>
      <c r="G1169" s="29" t="s">
        <v>901</v>
      </c>
      <c r="H1169" s="29" t="s">
        <v>902</v>
      </c>
      <c r="I1169" s="29" t="s">
        <v>656</v>
      </c>
      <c r="J1169" s="29" t="s">
        <v>2348</v>
      </c>
    </row>
    <row r="1170" spans="1:10" ht="19.5" customHeight="1" x14ac:dyDescent="0.35">
      <c r="A1170" s="29" t="s">
        <v>896</v>
      </c>
      <c r="B1170" s="29" t="s">
        <v>3047</v>
      </c>
      <c r="C1170" s="29" t="s">
        <v>905</v>
      </c>
      <c r="D1170" s="30">
        <v>1</v>
      </c>
      <c r="E1170" s="29" t="s">
        <v>3048</v>
      </c>
      <c r="F1170" s="29" t="s">
        <v>1885</v>
      </c>
      <c r="G1170" s="29" t="s">
        <v>901</v>
      </c>
      <c r="H1170" s="29" t="s">
        <v>902</v>
      </c>
      <c r="I1170" s="29" t="s">
        <v>656</v>
      </c>
      <c r="J1170" s="29" t="s">
        <v>3049</v>
      </c>
    </row>
    <row r="1171" spans="1:10" ht="19.5" customHeight="1" x14ac:dyDescent="0.35">
      <c r="A1171" s="29" t="s">
        <v>896</v>
      </c>
      <c r="B1171" s="29" t="s">
        <v>3050</v>
      </c>
      <c r="C1171" s="29" t="s">
        <v>929</v>
      </c>
      <c r="D1171" s="30">
        <v>1</v>
      </c>
      <c r="E1171" s="29" t="s">
        <v>3043</v>
      </c>
      <c r="F1171" s="29" t="s">
        <v>1885</v>
      </c>
      <c r="G1171" s="29" t="s">
        <v>901</v>
      </c>
      <c r="H1171" s="29" t="s">
        <v>902</v>
      </c>
      <c r="I1171" s="29" t="s">
        <v>656</v>
      </c>
      <c r="J1171" s="29" t="s">
        <v>2095</v>
      </c>
    </row>
    <row r="1172" spans="1:10" ht="19.5" customHeight="1" x14ac:dyDescent="0.35">
      <c r="A1172" s="29" t="s">
        <v>896</v>
      </c>
      <c r="B1172" s="29" t="s">
        <v>3051</v>
      </c>
      <c r="C1172" s="29" t="s">
        <v>3052</v>
      </c>
      <c r="D1172" s="30">
        <v>1</v>
      </c>
      <c r="E1172" s="29" t="s">
        <v>3043</v>
      </c>
      <c r="F1172" s="29" t="s">
        <v>1885</v>
      </c>
      <c r="G1172" s="29" t="s">
        <v>901</v>
      </c>
      <c r="H1172" s="29" t="s">
        <v>902</v>
      </c>
      <c r="I1172" s="29" t="s">
        <v>656</v>
      </c>
      <c r="J1172" s="29" t="s">
        <v>2222</v>
      </c>
    </row>
    <row r="1173" spans="1:10" ht="19.5" customHeight="1" x14ac:dyDescent="0.35">
      <c r="A1173" s="29" t="s">
        <v>896</v>
      </c>
      <c r="B1173" s="29" t="s">
        <v>3053</v>
      </c>
      <c r="C1173" s="29" t="s">
        <v>1212</v>
      </c>
      <c r="D1173" s="30">
        <v>1</v>
      </c>
      <c r="E1173" s="29" t="s">
        <v>3043</v>
      </c>
      <c r="F1173" s="29" t="s">
        <v>1885</v>
      </c>
      <c r="G1173" s="29" t="s">
        <v>901</v>
      </c>
      <c r="H1173" s="29" t="s">
        <v>902</v>
      </c>
      <c r="I1173" s="29" t="s">
        <v>656</v>
      </c>
      <c r="J1173" s="29" t="s">
        <v>2095</v>
      </c>
    </row>
    <row r="1174" spans="1:10" ht="19.5" customHeight="1" x14ac:dyDescent="0.35">
      <c r="A1174" s="29" t="s">
        <v>896</v>
      </c>
      <c r="B1174" s="29" t="s">
        <v>3054</v>
      </c>
      <c r="C1174" s="29" t="s">
        <v>2598</v>
      </c>
      <c r="D1174" s="30">
        <v>1</v>
      </c>
      <c r="E1174" s="29" t="s">
        <v>3055</v>
      </c>
      <c r="F1174" s="29" t="s">
        <v>1885</v>
      </c>
      <c r="G1174" s="29" t="s">
        <v>901</v>
      </c>
      <c r="H1174" s="29" t="s">
        <v>902</v>
      </c>
      <c r="I1174" s="29" t="s">
        <v>656</v>
      </c>
      <c r="J1174" s="29" t="s">
        <v>3056</v>
      </c>
    </row>
    <row r="1175" spans="1:10" ht="19.5" customHeight="1" x14ac:dyDescent="0.35">
      <c r="A1175" s="29" t="s">
        <v>896</v>
      </c>
      <c r="B1175" s="29" t="s">
        <v>3057</v>
      </c>
      <c r="C1175" s="29" t="s">
        <v>1118</v>
      </c>
      <c r="D1175" s="30">
        <v>1</v>
      </c>
      <c r="E1175" s="29" t="s">
        <v>3058</v>
      </c>
      <c r="F1175" s="29" t="s">
        <v>1885</v>
      </c>
      <c r="G1175" s="29" t="s">
        <v>901</v>
      </c>
      <c r="H1175" s="29" t="s">
        <v>902</v>
      </c>
      <c r="I1175" s="29" t="s">
        <v>656</v>
      </c>
      <c r="J1175" s="29" t="s">
        <v>3059</v>
      </c>
    </row>
    <row r="1176" spans="1:10" ht="19.5" customHeight="1" x14ac:dyDescent="0.35">
      <c r="A1176" s="29" t="s">
        <v>896</v>
      </c>
      <c r="B1176" s="29" t="s">
        <v>3060</v>
      </c>
      <c r="C1176" s="29" t="s">
        <v>3061</v>
      </c>
      <c r="D1176" s="30">
        <v>1</v>
      </c>
      <c r="E1176" s="29" t="s">
        <v>3062</v>
      </c>
      <c r="F1176" s="29" t="s">
        <v>1885</v>
      </c>
      <c r="G1176" s="29" t="s">
        <v>901</v>
      </c>
      <c r="H1176" s="29" t="s">
        <v>902</v>
      </c>
      <c r="I1176" s="29" t="s">
        <v>656</v>
      </c>
      <c r="J1176" s="29" t="s">
        <v>3063</v>
      </c>
    </row>
    <row r="1177" spans="1:10" ht="19.5" customHeight="1" x14ac:dyDescent="0.35">
      <c r="A1177" s="29" t="s">
        <v>896</v>
      </c>
      <c r="B1177" s="29" t="s">
        <v>3064</v>
      </c>
      <c r="C1177" s="29" t="s">
        <v>1690</v>
      </c>
      <c r="D1177" s="30">
        <v>1</v>
      </c>
      <c r="E1177" s="29" t="s">
        <v>3065</v>
      </c>
      <c r="F1177" s="29" t="s">
        <v>1885</v>
      </c>
      <c r="G1177" s="29" t="s">
        <v>901</v>
      </c>
      <c r="H1177" s="29" t="s">
        <v>902</v>
      </c>
      <c r="I1177" s="29" t="s">
        <v>656</v>
      </c>
      <c r="J1177" s="29" t="s">
        <v>3066</v>
      </c>
    </row>
    <row r="1178" spans="1:10" ht="19.5" customHeight="1" x14ac:dyDescent="0.35">
      <c r="A1178" s="29" t="s">
        <v>896</v>
      </c>
      <c r="B1178" s="29" t="s">
        <v>3067</v>
      </c>
      <c r="C1178" s="29" t="s">
        <v>1690</v>
      </c>
      <c r="D1178" s="30">
        <v>1</v>
      </c>
      <c r="E1178" s="29" t="s">
        <v>3065</v>
      </c>
      <c r="F1178" s="29" t="s">
        <v>1885</v>
      </c>
      <c r="G1178" s="29" t="s">
        <v>901</v>
      </c>
      <c r="H1178" s="29" t="s">
        <v>902</v>
      </c>
      <c r="I1178" s="29" t="s">
        <v>656</v>
      </c>
      <c r="J1178" s="29" t="s">
        <v>3068</v>
      </c>
    </row>
    <row r="1179" spans="1:10" ht="19.5" customHeight="1" x14ac:dyDescent="0.35">
      <c r="A1179" s="29" t="s">
        <v>896</v>
      </c>
      <c r="B1179" s="29" t="s">
        <v>3069</v>
      </c>
      <c r="C1179" s="29" t="s">
        <v>1143</v>
      </c>
      <c r="D1179" s="30">
        <v>1</v>
      </c>
      <c r="E1179" s="29" t="s">
        <v>3070</v>
      </c>
      <c r="F1179" s="29" t="s">
        <v>1885</v>
      </c>
      <c r="G1179" s="29" t="s">
        <v>901</v>
      </c>
      <c r="H1179" s="29" t="s">
        <v>902</v>
      </c>
      <c r="I1179" s="29" t="s">
        <v>656</v>
      </c>
      <c r="J1179" s="29" t="s">
        <v>2222</v>
      </c>
    </row>
    <row r="1180" spans="1:10" ht="19.5" customHeight="1" x14ac:dyDescent="0.35">
      <c r="A1180" s="29" t="s">
        <v>896</v>
      </c>
      <c r="B1180" s="29" t="s">
        <v>3071</v>
      </c>
      <c r="C1180" s="29" t="s">
        <v>1494</v>
      </c>
      <c r="D1180" s="30">
        <v>1</v>
      </c>
      <c r="E1180" s="29" t="s">
        <v>3072</v>
      </c>
      <c r="F1180" s="29" t="s">
        <v>1885</v>
      </c>
      <c r="G1180" s="29" t="s">
        <v>901</v>
      </c>
      <c r="H1180" s="29" t="s">
        <v>902</v>
      </c>
      <c r="I1180" s="29" t="s">
        <v>656</v>
      </c>
      <c r="J1180" s="29" t="s">
        <v>3073</v>
      </c>
    </row>
    <row r="1181" spans="1:10" ht="19.5" customHeight="1" x14ac:dyDescent="0.35">
      <c r="A1181" s="29" t="s">
        <v>896</v>
      </c>
      <c r="B1181" s="29" t="s">
        <v>3074</v>
      </c>
      <c r="C1181" s="29" t="s">
        <v>1122</v>
      </c>
      <c r="D1181" s="30">
        <v>1</v>
      </c>
      <c r="E1181" s="29" t="s">
        <v>3075</v>
      </c>
      <c r="F1181" s="29" t="s">
        <v>1885</v>
      </c>
      <c r="G1181" s="29" t="s">
        <v>901</v>
      </c>
      <c r="H1181" s="29" t="s">
        <v>902</v>
      </c>
      <c r="I1181" s="29" t="s">
        <v>656</v>
      </c>
      <c r="J1181" s="29" t="s">
        <v>3076</v>
      </c>
    </row>
    <row r="1182" spans="1:10" ht="19.5" customHeight="1" x14ac:dyDescent="0.35">
      <c r="A1182" s="29" t="s">
        <v>896</v>
      </c>
      <c r="B1182" s="29" t="s">
        <v>3077</v>
      </c>
      <c r="C1182" s="29" t="s">
        <v>2598</v>
      </c>
      <c r="D1182" s="30">
        <v>1</v>
      </c>
      <c r="E1182" s="29" t="s">
        <v>3078</v>
      </c>
      <c r="F1182" s="29" t="s">
        <v>1885</v>
      </c>
      <c r="G1182" s="29" t="s">
        <v>901</v>
      </c>
      <c r="H1182" s="29" t="s">
        <v>902</v>
      </c>
      <c r="I1182" s="29" t="s">
        <v>656</v>
      </c>
      <c r="J1182" s="29" t="s">
        <v>3079</v>
      </c>
    </row>
    <row r="1183" spans="1:10" ht="19.5" customHeight="1" x14ac:dyDescent="0.35">
      <c r="A1183" s="29" t="s">
        <v>896</v>
      </c>
      <c r="B1183" s="29" t="s">
        <v>3080</v>
      </c>
      <c r="C1183" s="29" t="s">
        <v>1690</v>
      </c>
      <c r="D1183" s="30">
        <v>1</v>
      </c>
      <c r="E1183" s="29" t="s">
        <v>3081</v>
      </c>
      <c r="F1183" s="29" t="s">
        <v>1885</v>
      </c>
      <c r="G1183" s="29" t="s">
        <v>901</v>
      </c>
      <c r="H1183" s="29" t="s">
        <v>902</v>
      </c>
      <c r="I1183" s="29" t="s">
        <v>656</v>
      </c>
      <c r="J1183" s="29" t="s">
        <v>3082</v>
      </c>
    </row>
    <row r="1184" spans="1:10" ht="19.5" customHeight="1" x14ac:dyDescent="0.35">
      <c r="A1184" s="29" t="s">
        <v>896</v>
      </c>
      <c r="B1184" s="29" t="s">
        <v>3083</v>
      </c>
      <c r="C1184" s="29" t="s">
        <v>1077</v>
      </c>
      <c r="D1184" s="30">
        <v>1</v>
      </c>
      <c r="E1184" s="29" t="s">
        <v>3081</v>
      </c>
      <c r="F1184" s="29" t="s">
        <v>1885</v>
      </c>
      <c r="G1184" s="29" t="s">
        <v>901</v>
      </c>
      <c r="H1184" s="29" t="s">
        <v>902</v>
      </c>
      <c r="I1184" s="29" t="s">
        <v>656</v>
      </c>
      <c r="J1184" s="29" t="s">
        <v>3084</v>
      </c>
    </row>
    <row r="1185" spans="1:10" ht="19.5" customHeight="1" x14ac:dyDescent="0.35">
      <c r="A1185" s="29" t="s">
        <v>896</v>
      </c>
      <c r="B1185" s="29" t="s">
        <v>3085</v>
      </c>
      <c r="C1185" s="29" t="s">
        <v>2598</v>
      </c>
      <c r="D1185" s="30">
        <v>1</v>
      </c>
      <c r="E1185" s="29" t="s">
        <v>3086</v>
      </c>
      <c r="F1185" s="29" t="s">
        <v>1885</v>
      </c>
      <c r="G1185" s="29" t="s">
        <v>901</v>
      </c>
      <c r="H1185" s="29" t="s">
        <v>902</v>
      </c>
      <c r="I1185" s="29" t="s">
        <v>656</v>
      </c>
      <c r="J1185" s="29" t="s">
        <v>3087</v>
      </c>
    </row>
    <row r="1186" spans="1:10" ht="19.5" customHeight="1" x14ac:dyDescent="0.35">
      <c r="A1186" s="29" t="s">
        <v>896</v>
      </c>
      <c r="B1186" s="29" t="s">
        <v>3088</v>
      </c>
      <c r="C1186" s="29" t="s">
        <v>1077</v>
      </c>
      <c r="D1186" s="30">
        <v>1</v>
      </c>
      <c r="E1186" s="29" t="s">
        <v>3089</v>
      </c>
      <c r="F1186" s="29" t="s">
        <v>1885</v>
      </c>
      <c r="G1186" s="29" t="s">
        <v>901</v>
      </c>
      <c r="H1186" s="29" t="s">
        <v>902</v>
      </c>
      <c r="I1186" s="29" t="s">
        <v>656</v>
      </c>
      <c r="J1186" s="29" t="s">
        <v>3090</v>
      </c>
    </row>
    <row r="1187" spans="1:10" ht="19.5" customHeight="1" x14ac:dyDescent="0.35">
      <c r="A1187" s="29" t="s">
        <v>896</v>
      </c>
      <c r="B1187" s="29" t="s">
        <v>3091</v>
      </c>
      <c r="C1187" s="29" t="s">
        <v>942</v>
      </c>
      <c r="D1187" s="30">
        <v>1</v>
      </c>
      <c r="E1187" s="29" t="s">
        <v>3089</v>
      </c>
      <c r="F1187" s="29" t="s">
        <v>1885</v>
      </c>
      <c r="G1187" s="29" t="s">
        <v>901</v>
      </c>
      <c r="H1187" s="29" t="s">
        <v>902</v>
      </c>
      <c r="I1187" s="29" t="s">
        <v>656</v>
      </c>
      <c r="J1187" s="29" t="s">
        <v>3092</v>
      </c>
    </row>
    <row r="1188" spans="1:10" ht="19.5" customHeight="1" x14ac:dyDescent="0.35">
      <c r="A1188" s="29" t="s">
        <v>896</v>
      </c>
      <c r="B1188" s="29" t="s">
        <v>3093</v>
      </c>
      <c r="C1188" s="29" t="s">
        <v>1122</v>
      </c>
      <c r="D1188" s="30">
        <v>1</v>
      </c>
      <c r="E1188" s="29" t="s">
        <v>3089</v>
      </c>
      <c r="F1188" s="29" t="s">
        <v>1885</v>
      </c>
      <c r="G1188" s="29" t="s">
        <v>901</v>
      </c>
      <c r="H1188" s="29" t="s">
        <v>902</v>
      </c>
      <c r="I1188" s="29" t="s">
        <v>656</v>
      </c>
      <c r="J1188" s="29" t="s">
        <v>3094</v>
      </c>
    </row>
    <row r="1189" spans="1:10" ht="19.5" customHeight="1" x14ac:dyDescent="0.35">
      <c r="A1189" s="29" t="s">
        <v>896</v>
      </c>
      <c r="B1189" s="29" t="s">
        <v>3095</v>
      </c>
      <c r="C1189" s="29" t="s">
        <v>1122</v>
      </c>
      <c r="D1189" s="30">
        <v>1</v>
      </c>
      <c r="E1189" s="29" t="s">
        <v>3089</v>
      </c>
      <c r="F1189" s="29" t="s">
        <v>1885</v>
      </c>
      <c r="G1189" s="29" t="s">
        <v>901</v>
      </c>
      <c r="H1189" s="29" t="s">
        <v>902</v>
      </c>
      <c r="I1189" s="29" t="s">
        <v>656</v>
      </c>
      <c r="J1189" s="29" t="s">
        <v>3096</v>
      </c>
    </row>
    <row r="1190" spans="1:10" ht="19.5" customHeight="1" x14ac:dyDescent="0.35">
      <c r="A1190" s="29" t="s">
        <v>896</v>
      </c>
      <c r="B1190" s="29" t="s">
        <v>3097</v>
      </c>
      <c r="C1190" s="29" t="s">
        <v>1299</v>
      </c>
      <c r="D1190" s="30">
        <v>1</v>
      </c>
      <c r="E1190" s="29" t="s">
        <v>3055</v>
      </c>
      <c r="F1190" s="29" t="s">
        <v>1885</v>
      </c>
      <c r="G1190" s="29" t="s">
        <v>901</v>
      </c>
      <c r="H1190" s="29" t="s">
        <v>902</v>
      </c>
      <c r="I1190" s="29" t="s">
        <v>656</v>
      </c>
      <c r="J1190" s="29" t="s">
        <v>3098</v>
      </c>
    </row>
    <row r="1191" spans="1:10" ht="19.5" customHeight="1" x14ac:dyDescent="0.35">
      <c r="A1191" s="29" t="s">
        <v>896</v>
      </c>
      <c r="B1191" s="29" t="s">
        <v>3099</v>
      </c>
      <c r="C1191" s="29" t="s">
        <v>1122</v>
      </c>
      <c r="D1191" s="30">
        <v>1</v>
      </c>
      <c r="E1191" s="29" t="s">
        <v>3055</v>
      </c>
      <c r="F1191" s="29" t="s">
        <v>1885</v>
      </c>
      <c r="G1191" s="29" t="s">
        <v>901</v>
      </c>
      <c r="H1191" s="29" t="s">
        <v>902</v>
      </c>
      <c r="I1191" s="29" t="s">
        <v>656</v>
      </c>
      <c r="J1191" s="29" t="s">
        <v>3100</v>
      </c>
    </row>
    <row r="1192" spans="1:10" ht="19.5" customHeight="1" x14ac:dyDescent="0.35">
      <c r="A1192" s="29" t="s">
        <v>896</v>
      </c>
      <c r="B1192" s="29" t="s">
        <v>3101</v>
      </c>
      <c r="C1192" s="29" t="s">
        <v>1077</v>
      </c>
      <c r="D1192" s="30">
        <v>1</v>
      </c>
      <c r="E1192" s="29" t="s">
        <v>3102</v>
      </c>
      <c r="F1192" s="29" t="s">
        <v>1885</v>
      </c>
      <c r="G1192" s="29" t="s">
        <v>901</v>
      </c>
      <c r="H1192" s="29" t="s">
        <v>902</v>
      </c>
      <c r="I1192" s="29" t="s">
        <v>656</v>
      </c>
      <c r="J1192" s="29" t="s">
        <v>3103</v>
      </c>
    </row>
    <row r="1193" spans="1:10" ht="19.5" customHeight="1" x14ac:dyDescent="0.35">
      <c r="A1193" s="29" t="s">
        <v>896</v>
      </c>
      <c r="B1193" s="29" t="s">
        <v>3104</v>
      </c>
      <c r="C1193" s="29" t="s">
        <v>921</v>
      </c>
      <c r="D1193" s="30">
        <v>1</v>
      </c>
      <c r="E1193" s="29" t="s">
        <v>3102</v>
      </c>
      <c r="F1193" s="29" t="s">
        <v>1885</v>
      </c>
      <c r="G1193" s="29" t="s">
        <v>901</v>
      </c>
      <c r="H1193" s="29" t="s">
        <v>902</v>
      </c>
      <c r="I1193" s="29" t="s">
        <v>656</v>
      </c>
      <c r="J1193" s="29" t="s">
        <v>3105</v>
      </c>
    </row>
    <row r="1194" spans="1:10" ht="19.5" customHeight="1" x14ac:dyDescent="0.35">
      <c r="A1194" s="29" t="s">
        <v>896</v>
      </c>
      <c r="B1194" s="29" t="s">
        <v>3106</v>
      </c>
      <c r="C1194" s="29" t="s">
        <v>2257</v>
      </c>
      <c r="D1194" s="30">
        <v>1</v>
      </c>
      <c r="E1194" s="29" t="s">
        <v>3102</v>
      </c>
      <c r="F1194" s="29" t="s">
        <v>1885</v>
      </c>
      <c r="G1194" s="29" t="s">
        <v>901</v>
      </c>
      <c r="H1194" s="29" t="s">
        <v>902</v>
      </c>
      <c r="I1194" s="29" t="s">
        <v>656</v>
      </c>
      <c r="J1194" s="29" t="s">
        <v>3107</v>
      </c>
    </row>
    <row r="1195" spans="1:10" ht="19.5" customHeight="1" x14ac:dyDescent="0.35">
      <c r="A1195" s="29" t="s">
        <v>896</v>
      </c>
      <c r="B1195" s="29" t="s">
        <v>3108</v>
      </c>
      <c r="C1195" s="29" t="s">
        <v>1077</v>
      </c>
      <c r="D1195" s="30">
        <v>1</v>
      </c>
      <c r="E1195" s="29" t="s">
        <v>3102</v>
      </c>
      <c r="F1195" s="29" t="s">
        <v>1885</v>
      </c>
      <c r="G1195" s="29" t="s">
        <v>901</v>
      </c>
      <c r="H1195" s="29" t="s">
        <v>902</v>
      </c>
      <c r="I1195" s="29" t="s">
        <v>656</v>
      </c>
      <c r="J1195" s="29" t="s">
        <v>3109</v>
      </c>
    </row>
    <row r="1196" spans="1:10" ht="19.5" customHeight="1" x14ac:dyDescent="0.35">
      <c r="A1196" s="29" t="s">
        <v>896</v>
      </c>
      <c r="B1196" s="29" t="s">
        <v>3110</v>
      </c>
      <c r="C1196" s="29" t="s">
        <v>1077</v>
      </c>
      <c r="D1196" s="30">
        <v>1</v>
      </c>
      <c r="E1196" s="29" t="s">
        <v>3102</v>
      </c>
      <c r="F1196" s="29" t="s">
        <v>1885</v>
      </c>
      <c r="G1196" s="29" t="s">
        <v>901</v>
      </c>
      <c r="H1196" s="29" t="s">
        <v>902</v>
      </c>
      <c r="I1196" s="29" t="s">
        <v>656</v>
      </c>
      <c r="J1196" s="29" t="s">
        <v>3111</v>
      </c>
    </row>
    <row r="1197" spans="1:10" ht="19.5" customHeight="1" x14ac:dyDescent="0.35">
      <c r="A1197" s="29" t="s">
        <v>896</v>
      </c>
      <c r="B1197" s="29" t="s">
        <v>3112</v>
      </c>
      <c r="C1197" s="29" t="s">
        <v>1077</v>
      </c>
      <c r="D1197" s="30">
        <v>1</v>
      </c>
      <c r="E1197" s="29" t="s">
        <v>3113</v>
      </c>
      <c r="F1197" s="29" t="s">
        <v>1885</v>
      </c>
      <c r="G1197" s="29" t="s">
        <v>901</v>
      </c>
      <c r="H1197" s="29" t="s">
        <v>902</v>
      </c>
      <c r="I1197" s="29" t="s">
        <v>656</v>
      </c>
      <c r="J1197" s="29" t="s">
        <v>3114</v>
      </c>
    </row>
    <row r="1198" spans="1:10" ht="19.5" customHeight="1" x14ac:dyDescent="0.35">
      <c r="A1198" s="29" t="s">
        <v>896</v>
      </c>
      <c r="B1198" s="29" t="s">
        <v>3115</v>
      </c>
      <c r="C1198" s="29" t="s">
        <v>963</v>
      </c>
      <c r="D1198" s="30">
        <v>1</v>
      </c>
      <c r="E1198" s="29" t="s">
        <v>3113</v>
      </c>
      <c r="F1198" s="29" t="s">
        <v>1885</v>
      </c>
      <c r="G1198" s="29" t="s">
        <v>901</v>
      </c>
      <c r="H1198" s="29" t="s">
        <v>902</v>
      </c>
      <c r="I1198" s="29" t="s">
        <v>656</v>
      </c>
      <c r="J1198" s="29" t="s">
        <v>3116</v>
      </c>
    </row>
    <row r="1199" spans="1:10" ht="19.5" customHeight="1" x14ac:dyDescent="0.35">
      <c r="A1199" s="29" t="s">
        <v>896</v>
      </c>
      <c r="B1199" s="29" t="s">
        <v>3117</v>
      </c>
      <c r="C1199" s="29" t="s">
        <v>921</v>
      </c>
      <c r="D1199" s="30">
        <v>1</v>
      </c>
      <c r="E1199" s="29" t="s">
        <v>3113</v>
      </c>
      <c r="F1199" s="29" t="s">
        <v>1885</v>
      </c>
      <c r="G1199" s="29" t="s">
        <v>901</v>
      </c>
      <c r="H1199" s="29" t="s">
        <v>902</v>
      </c>
      <c r="I1199" s="29" t="s">
        <v>656</v>
      </c>
      <c r="J1199" s="29" t="s">
        <v>3118</v>
      </c>
    </row>
    <row r="1200" spans="1:10" ht="19.5" customHeight="1" x14ac:dyDescent="0.35">
      <c r="A1200" s="29" t="s">
        <v>896</v>
      </c>
      <c r="B1200" s="29" t="s">
        <v>3119</v>
      </c>
      <c r="C1200" s="29" t="s">
        <v>1077</v>
      </c>
      <c r="D1200" s="30">
        <v>1</v>
      </c>
      <c r="E1200" s="29" t="s">
        <v>3113</v>
      </c>
      <c r="F1200" s="29" t="s">
        <v>1885</v>
      </c>
      <c r="G1200" s="29" t="s">
        <v>901</v>
      </c>
      <c r="H1200" s="29" t="s">
        <v>902</v>
      </c>
      <c r="I1200" s="29" t="s">
        <v>656</v>
      </c>
      <c r="J1200" s="29" t="s">
        <v>3120</v>
      </c>
    </row>
    <row r="1201" spans="1:10" ht="19.5" customHeight="1" x14ac:dyDescent="0.35">
      <c r="A1201" s="29" t="s">
        <v>896</v>
      </c>
      <c r="B1201" s="29" t="s">
        <v>3121</v>
      </c>
      <c r="C1201" s="29" t="s">
        <v>1494</v>
      </c>
      <c r="D1201" s="30">
        <v>1</v>
      </c>
      <c r="E1201" s="29" t="s">
        <v>3113</v>
      </c>
      <c r="F1201" s="29" t="s">
        <v>1885</v>
      </c>
      <c r="G1201" s="29" t="s">
        <v>901</v>
      </c>
      <c r="H1201" s="29" t="s">
        <v>902</v>
      </c>
      <c r="I1201" s="29" t="s">
        <v>656</v>
      </c>
      <c r="J1201" s="29" t="s">
        <v>1946</v>
      </c>
    </row>
    <row r="1202" spans="1:10" ht="19.5" customHeight="1" x14ac:dyDescent="0.35">
      <c r="A1202" s="29" t="s">
        <v>896</v>
      </c>
      <c r="B1202" s="29" t="s">
        <v>3122</v>
      </c>
      <c r="C1202" s="29" t="s">
        <v>1077</v>
      </c>
      <c r="D1202" s="30">
        <v>1</v>
      </c>
      <c r="E1202" s="29" t="s">
        <v>3123</v>
      </c>
      <c r="F1202" s="29" t="s">
        <v>1885</v>
      </c>
      <c r="G1202" s="29" t="s">
        <v>901</v>
      </c>
      <c r="H1202" s="29" t="s">
        <v>902</v>
      </c>
      <c r="I1202" s="29" t="s">
        <v>656</v>
      </c>
      <c r="J1202" s="29" t="s">
        <v>3124</v>
      </c>
    </row>
    <row r="1203" spans="1:10" ht="19.5" customHeight="1" x14ac:dyDescent="0.35">
      <c r="A1203" s="29" t="s">
        <v>896</v>
      </c>
      <c r="B1203" s="29" t="s">
        <v>3125</v>
      </c>
      <c r="C1203" s="29" t="s">
        <v>1077</v>
      </c>
      <c r="D1203" s="30">
        <v>1</v>
      </c>
      <c r="E1203" s="29" t="s">
        <v>3123</v>
      </c>
      <c r="F1203" s="29" t="s">
        <v>1885</v>
      </c>
      <c r="G1203" s="29" t="s">
        <v>901</v>
      </c>
      <c r="H1203" s="29" t="s">
        <v>902</v>
      </c>
      <c r="I1203" s="29" t="s">
        <v>656</v>
      </c>
      <c r="J1203" s="29" t="s">
        <v>3126</v>
      </c>
    </row>
    <row r="1204" spans="1:10" ht="19.5" customHeight="1" x14ac:dyDescent="0.35">
      <c r="A1204" s="29" t="s">
        <v>896</v>
      </c>
      <c r="B1204" s="29" t="s">
        <v>3127</v>
      </c>
      <c r="C1204" s="29" t="s">
        <v>1817</v>
      </c>
      <c r="D1204" s="30">
        <v>1</v>
      </c>
      <c r="E1204" s="29" t="s">
        <v>3123</v>
      </c>
      <c r="F1204" s="29" t="s">
        <v>1885</v>
      </c>
      <c r="G1204" s="29" t="s">
        <v>901</v>
      </c>
      <c r="H1204" s="29" t="s">
        <v>902</v>
      </c>
      <c r="I1204" s="29" t="s">
        <v>656</v>
      </c>
      <c r="J1204" s="29" t="s">
        <v>3128</v>
      </c>
    </row>
    <row r="1205" spans="1:10" ht="19.5" customHeight="1" x14ac:dyDescent="0.35">
      <c r="A1205" s="29" t="s">
        <v>896</v>
      </c>
      <c r="B1205" s="29" t="s">
        <v>3129</v>
      </c>
      <c r="C1205" s="29" t="s">
        <v>2257</v>
      </c>
      <c r="D1205" s="30">
        <v>1</v>
      </c>
      <c r="E1205" s="29" t="s">
        <v>3123</v>
      </c>
      <c r="F1205" s="29" t="s">
        <v>1885</v>
      </c>
      <c r="G1205" s="29" t="s">
        <v>901</v>
      </c>
      <c r="H1205" s="29" t="s">
        <v>902</v>
      </c>
      <c r="I1205" s="29" t="s">
        <v>656</v>
      </c>
      <c r="J1205" s="29" t="s">
        <v>3130</v>
      </c>
    </row>
    <row r="1206" spans="1:10" ht="19.5" customHeight="1" x14ac:dyDescent="0.35">
      <c r="A1206" s="29" t="s">
        <v>896</v>
      </c>
      <c r="B1206" s="29" t="s">
        <v>3131</v>
      </c>
      <c r="C1206" s="29" t="s">
        <v>1077</v>
      </c>
      <c r="D1206" s="30">
        <v>1</v>
      </c>
      <c r="E1206" s="29" t="s">
        <v>3123</v>
      </c>
      <c r="F1206" s="29" t="s">
        <v>1885</v>
      </c>
      <c r="G1206" s="29" t="s">
        <v>901</v>
      </c>
      <c r="H1206" s="29" t="s">
        <v>902</v>
      </c>
      <c r="I1206" s="29" t="s">
        <v>656</v>
      </c>
      <c r="J1206" s="29" t="s">
        <v>3132</v>
      </c>
    </row>
    <row r="1207" spans="1:10" ht="19.5" customHeight="1" x14ac:dyDescent="0.35">
      <c r="A1207" s="29" t="s">
        <v>896</v>
      </c>
      <c r="B1207" s="29" t="s">
        <v>3133</v>
      </c>
      <c r="C1207" s="29" t="s">
        <v>1122</v>
      </c>
      <c r="D1207" s="30">
        <v>1</v>
      </c>
      <c r="E1207" s="29" t="s">
        <v>3123</v>
      </c>
      <c r="F1207" s="29" t="s">
        <v>1885</v>
      </c>
      <c r="G1207" s="29" t="s">
        <v>901</v>
      </c>
      <c r="H1207" s="29" t="s">
        <v>902</v>
      </c>
      <c r="I1207" s="29" t="s">
        <v>656</v>
      </c>
      <c r="J1207" s="29" t="s">
        <v>3134</v>
      </c>
    </row>
    <row r="1208" spans="1:10" ht="19.5" customHeight="1" x14ac:dyDescent="0.35">
      <c r="A1208" s="29" t="s">
        <v>896</v>
      </c>
      <c r="B1208" s="29" t="s">
        <v>3135</v>
      </c>
      <c r="C1208" s="29" t="s">
        <v>1077</v>
      </c>
      <c r="D1208" s="30">
        <v>1</v>
      </c>
      <c r="E1208" s="29" t="s">
        <v>3123</v>
      </c>
      <c r="F1208" s="29" t="s">
        <v>1885</v>
      </c>
      <c r="G1208" s="29" t="s">
        <v>901</v>
      </c>
      <c r="H1208" s="29" t="s">
        <v>902</v>
      </c>
      <c r="I1208" s="29" t="s">
        <v>656</v>
      </c>
      <c r="J1208" s="29" t="s">
        <v>3136</v>
      </c>
    </row>
    <row r="1209" spans="1:10" ht="19.5" customHeight="1" x14ac:dyDescent="0.35">
      <c r="A1209" s="29" t="s">
        <v>896</v>
      </c>
      <c r="B1209" s="29" t="s">
        <v>3137</v>
      </c>
      <c r="C1209" s="29" t="s">
        <v>1077</v>
      </c>
      <c r="D1209" s="30">
        <v>1</v>
      </c>
      <c r="E1209" s="29" t="s">
        <v>3058</v>
      </c>
      <c r="F1209" s="29" t="s">
        <v>1885</v>
      </c>
      <c r="G1209" s="29" t="s">
        <v>901</v>
      </c>
      <c r="H1209" s="29" t="s">
        <v>902</v>
      </c>
      <c r="I1209" s="29" t="s">
        <v>656</v>
      </c>
      <c r="J1209" s="29" t="s">
        <v>3138</v>
      </c>
    </row>
    <row r="1210" spans="1:10" ht="19.5" customHeight="1" x14ac:dyDescent="0.35">
      <c r="A1210" s="29" t="s">
        <v>896</v>
      </c>
      <c r="B1210" s="29" t="s">
        <v>3139</v>
      </c>
      <c r="C1210" s="29" t="s">
        <v>1077</v>
      </c>
      <c r="D1210" s="30">
        <v>1</v>
      </c>
      <c r="E1210" s="29" t="s">
        <v>3058</v>
      </c>
      <c r="F1210" s="29" t="s">
        <v>1885</v>
      </c>
      <c r="G1210" s="29" t="s">
        <v>901</v>
      </c>
      <c r="H1210" s="29" t="s">
        <v>902</v>
      </c>
      <c r="I1210" s="29" t="s">
        <v>656</v>
      </c>
      <c r="J1210" s="29" t="s">
        <v>3140</v>
      </c>
    </row>
    <row r="1211" spans="1:10" ht="19.5" customHeight="1" x14ac:dyDescent="0.35">
      <c r="A1211" s="29" t="s">
        <v>896</v>
      </c>
      <c r="B1211" s="29" t="s">
        <v>3141</v>
      </c>
      <c r="C1211" s="29" t="s">
        <v>1690</v>
      </c>
      <c r="D1211" s="30">
        <v>1</v>
      </c>
      <c r="E1211" s="29" t="s">
        <v>3058</v>
      </c>
      <c r="F1211" s="29" t="s">
        <v>1885</v>
      </c>
      <c r="G1211" s="29" t="s">
        <v>901</v>
      </c>
      <c r="H1211" s="29" t="s">
        <v>902</v>
      </c>
      <c r="I1211" s="29" t="s">
        <v>656</v>
      </c>
      <c r="J1211" s="29" t="s">
        <v>3142</v>
      </c>
    </row>
    <row r="1212" spans="1:10" ht="19.5" customHeight="1" x14ac:dyDescent="0.35">
      <c r="A1212" s="29" t="s">
        <v>896</v>
      </c>
      <c r="B1212" s="29" t="s">
        <v>3143</v>
      </c>
      <c r="C1212" s="29" t="s">
        <v>1077</v>
      </c>
      <c r="D1212" s="30">
        <v>1</v>
      </c>
      <c r="E1212" s="29" t="s">
        <v>3058</v>
      </c>
      <c r="F1212" s="29" t="s">
        <v>1885</v>
      </c>
      <c r="G1212" s="29" t="s">
        <v>901</v>
      </c>
      <c r="H1212" s="29" t="s">
        <v>902</v>
      </c>
      <c r="I1212" s="29" t="s">
        <v>656</v>
      </c>
      <c r="J1212" s="29" t="s">
        <v>3144</v>
      </c>
    </row>
    <row r="1213" spans="1:10" ht="19.5" customHeight="1" x14ac:dyDescent="0.35">
      <c r="A1213" s="29" t="s">
        <v>896</v>
      </c>
      <c r="B1213" s="29" t="s">
        <v>3145</v>
      </c>
      <c r="C1213" s="29" t="s">
        <v>1136</v>
      </c>
      <c r="D1213" s="30">
        <v>1</v>
      </c>
      <c r="E1213" s="29" t="s">
        <v>3058</v>
      </c>
      <c r="F1213" s="29" t="s">
        <v>1885</v>
      </c>
      <c r="G1213" s="29" t="s">
        <v>901</v>
      </c>
      <c r="H1213" s="29" t="s">
        <v>902</v>
      </c>
      <c r="I1213" s="29" t="s">
        <v>656</v>
      </c>
      <c r="J1213" s="29" t="s">
        <v>1492</v>
      </c>
    </row>
    <row r="1214" spans="1:10" ht="19.5" customHeight="1" x14ac:dyDescent="0.35">
      <c r="A1214" s="29" t="s">
        <v>896</v>
      </c>
      <c r="B1214" s="29" t="s">
        <v>3146</v>
      </c>
      <c r="C1214" s="29" t="s">
        <v>3052</v>
      </c>
      <c r="D1214" s="30">
        <v>1</v>
      </c>
      <c r="E1214" s="29" t="s">
        <v>3058</v>
      </c>
      <c r="F1214" s="29" t="s">
        <v>1885</v>
      </c>
      <c r="G1214" s="29" t="s">
        <v>901</v>
      </c>
      <c r="H1214" s="29" t="s">
        <v>902</v>
      </c>
      <c r="I1214" s="29" t="s">
        <v>656</v>
      </c>
      <c r="J1214" s="29" t="s">
        <v>3147</v>
      </c>
    </row>
    <row r="1215" spans="1:10" ht="19.5" customHeight="1" x14ac:dyDescent="0.35">
      <c r="A1215" s="29" t="s">
        <v>896</v>
      </c>
      <c r="B1215" s="29" t="s">
        <v>3148</v>
      </c>
      <c r="C1215" s="29" t="s">
        <v>2598</v>
      </c>
      <c r="D1215" s="30">
        <v>1</v>
      </c>
      <c r="E1215" s="29" t="s">
        <v>3058</v>
      </c>
      <c r="F1215" s="29" t="s">
        <v>1885</v>
      </c>
      <c r="G1215" s="29" t="s">
        <v>901</v>
      </c>
      <c r="H1215" s="29" t="s">
        <v>902</v>
      </c>
      <c r="I1215" s="29" t="s">
        <v>656</v>
      </c>
      <c r="J1215" s="29" t="s">
        <v>3149</v>
      </c>
    </row>
    <row r="1216" spans="1:10" ht="19.5" customHeight="1" x14ac:dyDescent="0.35">
      <c r="A1216" s="29" t="s">
        <v>896</v>
      </c>
      <c r="B1216" s="29" t="s">
        <v>3150</v>
      </c>
      <c r="C1216" s="29" t="s">
        <v>1077</v>
      </c>
      <c r="D1216" s="30">
        <v>1</v>
      </c>
      <c r="E1216" s="29" t="s">
        <v>3058</v>
      </c>
      <c r="F1216" s="29" t="s">
        <v>1885</v>
      </c>
      <c r="G1216" s="29" t="s">
        <v>901</v>
      </c>
      <c r="H1216" s="29" t="s">
        <v>902</v>
      </c>
      <c r="I1216" s="29" t="s">
        <v>656</v>
      </c>
      <c r="J1216" s="29" t="s">
        <v>3151</v>
      </c>
    </row>
    <row r="1217" spans="1:10" ht="19.5" customHeight="1" x14ac:dyDescent="0.35">
      <c r="A1217" s="29" t="s">
        <v>896</v>
      </c>
      <c r="B1217" s="29" t="s">
        <v>3152</v>
      </c>
      <c r="C1217" s="29" t="s">
        <v>963</v>
      </c>
      <c r="D1217" s="30">
        <v>1</v>
      </c>
      <c r="E1217" s="29" t="s">
        <v>3058</v>
      </c>
      <c r="F1217" s="29" t="s">
        <v>1885</v>
      </c>
      <c r="G1217" s="29" t="s">
        <v>901</v>
      </c>
      <c r="H1217" s="29" t="s">
        <v>902</v>
      </c>
      <c r="I1217" s="29" t="s">
        <v>656</v>
      </c>
      <c r="J1217" s="29" t="s">
        <v>3153</v>
      </c>
    </row>
    <row r="1218" spans="1:10" ht="19.5" customHeight="1" x14ac:dyDescent="0.35">
      <c r="A1218" s="29" t="s">
        <v>896</v>
      </c>
      <c r="B1218" s="29" t="s">
        <v>3154</v>
      </c>
      <c r="C1218" s="29" t="s">
        <v>1697</v>
      </c>
      <c r="D1218" s="30">
        <v>1</v>
      </c>
      <c r="E1218" s="29" t="s">
        <v>3058</v>
      </c>
      <c r="F1218" s="29" t="s">
        <v>1885</v>
      </c>
      <c r="G1218" s="29" t="s">
        <v>901</v>
      </c>
      <c r="H1218" s="29" t="s">
        <v>902</v>
      </c>
      <c r="I1218" s="29" t="s">
        <v>656</v>
      </c>
      <c r="J1218" s="29" t="s">
        <v>3155</v>
      </c>
    </row>
    <row r="1219" spans="1:10" ht="19.5" customHeight="1" x14ac:dyDescent="0.35">
      <c r="A1219" s="29" t="s">
        <v>896</v>
      </c>
      <c r="B1219" s="29" t="s">
        <v>3156</v>
      </c>
      <c r="C1219" s="29" t="s">
        <v>1731</v>
      </c>
      <c r="D1219" s="30">
        <v>1</v>
      </c>
      <c r="E1219" s="29" t="s">
        <v>3058</v>
      </c>
      <c r="F1219" s="29" t="s">
        <v>1885</v>
      </c>
      <c r="G1219" s="29" t="s">
        <v>901</v>
      </c>
      <c r="H1219" s="29" t="s">
        <v>902</v>
      </c>
      <c r="I1219" s="29" t="s">
        <v>656</v>
      </c>
      <c r="J1219" s="29" t="s">
        <v>3157</v>
      </c>
    </row>
    <row r="1220" spans="1:10" ht="19.5" customHeight="1" x14ac:dyDescent="0.35">
      <c r="A1220" s="29" t="s">
        <v>896</v>
      </c>
      <c r="B1220" s="29" t="s">
        <v>3158</v>
      </c>
      <c r="C1220" s="29" t="s">
        <v>1118</v>
      </c>
      <c r="D1220" s="30">
        <v>1</v>
      </c>
      <c r="E1220" s="29" t="s">
        <v>3159</v>
      </c>
      <c r="F1220" s="29" t="s">
        <v>1885</v>
      </c>
      <c r="G1220" s="29" t="s">
        <v>901</v>
      </c>
      <c r="H1220" s="29" t="s">
        <v>902</v>
      </c>
      <c r="I1220" s="29" t="s">
        <v>656</v>
      </c>
      <c r="J1220" s="29" t="s">
        <v>3160</v>
      </c>
    </row>
    <row r="1221" spans="1:10" ht="19.5" customHeight="1" x14ac:dyDescent="0.35">
      <c r="A1221" s="29" t="s">
        <v>896</v>
      </c>
      <c r="B1221" s="29" t="s">
        <v>3161</v>
      </c>
      <c r="C1221" s="29" t="s">
        <v>2257</v>
      </c>
      <c r="D1221" s="30">
        <v>1</v>
      </c>
      <c r="E1221" s="29" t="s">
        <v>3159</v>
      </c>
      <c r="F1221" s="29" t="s">
        <v>1885</v>
      </c>
      <c r="G1221" s="29" t="s">
        <v>901</v>
      </c>
      <c r="H1221" s="29" t="s">
        <v>902</v>
      </c>
      <c r="I1221" s="29" t="s">
        <v>656</v>
      </c>
      <c r="J1221" s="29" t="s">
        <v>3162</v>
      </c>
    </row>
    <row r="1222" spans="1:10" ht="19.5" customHeight="1" x14ac:dyDescent="0.35">
      <c r="A1222" s="29" t="s">
        <v>896</v>
      </c>
      <c r="B1222" s="29" t="s">
        <v>3163</v>
      </c>
      <c r="C1222" s="29" t="s">
        <v>1077</v>
      </c>
      <c r="D1222" s="30">
        <v>1</v>
      </c>
      <c r="E1222" s="29" t="s">
        <v>3159</v>
      </c>
      <c r="F1222" s="29" t="s">
        <v>1885</v>
      </c>
      <c r="G1222" s="29" t="s">
        <v>901</v>
      </c>
      <c r="H1222" s="29" t="s">
        <v>902</v>
      </c>
      <c r="I1222" s="29" t="s">
        <v>656</v>
      </c>
      <c r="J1222" s="29" t="s">
        <v>2402</v>
      </c>
    </row>
    <row r="1223" spans="1:10" ht="19.5" customHeight="1" x14ac:dyDescent="0.35">
      <c r="A1223" s="29" t="s">
        <v>896</v>
      </c>
      <c r="B1223" s="29" t="s">
        <v>3164</v>
      </c>
      <c r="C1223" s="29" t="s">
        <v>898</v>
      </c>
      <c r="D1223" s="30">
        <v>1</v>
      </c>
      <c r="E1223" s="29" t="s">
        <v>3159</v>
      </c>
      <c r="F1223" s="29" t="s">
        <v>1885</v>
      </c>
      <c r="G1223" s="29" t="s">
        <v>901</v>
      </c>
      <c r="H1223" s="29" t="s">
        <v>902</v>
      </c>
      <c r="I1223" s="29" t="s">
        <v>656</v>
      </c>
      <c r="J1223" s="29" t="s">
        <v>3165</v>
      </c>
    </row>
    <row r="1224" spans="1:10" ht="19.5" customHeight="1" x14ac:dyDescent="0.35">
      <c r="A1224" s="29" t="s">
        <v>896</v>
      </c>
      <c r="B1224" s="29" t="s">
        <v>3166</v>
      </c>
      <c r="C1224" s="29" t="s">
        <v>1118</v>
      </c>
      <c r="D1224" s="30">
        <v>1</v>
      </c>
      <c r="E1224" s="29" t="s">
        <v>3159</v>
      </c>
      <c r="F1224" s="29" t="s">
        <v>1885</v>
      </c>
      <c r="G1224" s="29" t="s">
        <v>901</v>
      </c>
      <c r="H1224" s="29" t="s">
        <v>902</v>
      </c>
      <c r="I1224" s="29" t="s">
        <v>656</v>
      </c>
      <c r="J1224" s="29" t="s">
        <v>3167</v>
      </c>
    </row>
    <row r="1225" spans="1:10" ht="19.5" customHeight="1" x14ac:dyDescent="0.35">
      <c r="A1225" s="29" t="s">
        <v>896</v>
      </c>
      <c r="B1225" s="29" t="s">
        <v>3168</v>
      </c>
      <c r="C1225" s="29" t="s">
        <v>1084</v>
      </c>
      <c r="D1225" s="30">
        <v>1</v>
      </c>
      <c r="E1225" s="29" t="s">
        <v>3159</v>
      </c>
      <c r="F1225" s="29" t="s">
        <v>1885</v>
      </c>
      <c r="G1225" s="29" t="s">
        <v>901</v>
      </c>
      <c r="H1225" s="29" t="s">
        <v>902</v>
      </c>
      <c r="I1225" s="29" t="s">
        <v>656</v>
      </c>
      <c r="J1225" s="29" t="s">
        <v>3169</v>
      </c>
    </row>
    <row r="1226" spans="1:10" ht="19.5" customHeight="1" x14ac:dyDescent="0.35">
      <c r="A1226" s="29" t="s">
        <v>896</v>
      </c>
      <c r="B1226" s="29" t="s">
        <v>3170</v>
      </c>
      <c r="C1226" s="29" t="s">
        <v>1077</v>
      </c>
      <c r="D1226" s="30">
        <v>1</v>
      </c>
      <c r="E1226" s="29" t="s">
        <v>3159</v>
      </c>
      <c r="F1226" s="29" t="s">
        <v>1885</v>
      </c>
      <c r="G1226" s="29" t="s">
        <v>901</v>
      </c>
      <c r="H1226" s="29" t="s">
        <v>902</v>
      </c>
      <c r="I1226" s="29" t="s">
        <v>656</v>
      </c>
      <c r="J1226" s="29" t="s">
        <v>3171</v>
      </c>
    </row>
    <row r="1227" spans="1:10" ht="19.5" customHeight="1" x14ac:dyDescent="0.35">
      <c r="A1227" s="29" t="s">
        <v>896</v>
      </c>
      <c r="B1227" s="29" t="s">
        <v>3172</v>
      </c>
      <c r="C1227" s="29" t="s">
        <v>1118</v>
      </c>
      <c r="D1227" s="30">
        <v>1</v>
      </c>
      <c r="E1227" s="29" t="s">
        <v>3159</v>
      </c>
      <c r="F1227" s="29" t="s">
        <v>1885</v>
      </c>
      <c r="G1227" s="29" t="s">
        <v>901</v>
      </c>
      <c r="H1227" s="29" t="s">
        <v>902</v>
      </c>
      <c r="I1227" s="29" t="s">
        <v>656</v>
      </c>
      <c r="J1227" s="29" t="s">
        <v>3173</v>
      </c>
    </row>
    <row r="1228" spans="1:10" ht="19.5" customHeight="1" x14ac:dyDescent="0.35">
      <c r="A1228" s="29" t="s">
        <v>896</v>
      </c>
      <c r="B1228" s="29" t="s">
        <v>3174</v>
      </c>
      <c r="C1228" s="29" t="s">
        <v>963</v>
      </c>
      <c r="D1228" s="30">
        <v>1</v>
      </c>
      <c r="E1228" s="29" t="s">
        <v>3159</v>
      </c>
      <c r="F1228" s="29" t="s">
        <v>1885</v>
      </c>
      <c r="G1228" s="29" t="s">
        <v>901</v>
      </c>
      <c r="H1228" s="29" t="s">
        <v>902</v>
      </c>
      <c r="I1228" s="29" t="s">
        <v>656</v>
      </c>
      <c r="J1228" s="29" t="s">
        <v>3175</v>
      </c>
    </row>
    <row r="1229" spans="1:10" ht="19.5" customHeight="1" x14ac:dyDescent="0.35">
      <c r="A1229" s="29" t="s">
        <v>896</v>
      </c>
      <c r="B1229" s="29" t="s">
        <v>3176</v>
      </c>
      <c r="C1229" s="29" t="s">
        <v>959</v>
      </c>
      <c r="D1229" s="30">
        <v>1</v>
      </c>
      <c r="E1229" s="29" t="s">
        <v>3159</v>
      </c>
      <c r="F1229" s="29" t="s">
        <v>1885</v>
      </c>
      <c r="G1229" s="29" t="s">
        <v>901</v>
      </c>
      <c r="H1229" s="29" t="s">
        <v>902</v>
      </c>
      <c r="I1229" s="29" t="s">
        <v>656</v>
      </c>
      <c r="J1229" s="29" t="s">
        <v>3177</v>
      </c>
    </row>
    <row r="1230" spans="1:10" ht="19.5" customHeight="1" x14ac:dyDescent="0.35">
      <c r="A1230" s="29" t="s">
        <v>896</v>
      </c>
      <c r="B1230" s="29" t="s">
        <v>3178</v>
      </c>
      <c r="C1230" s="29" t="s">
        <v>1077</v>
      </c>
      <c r="D1230" s="30">
        <v>1</v>
      </c>
      <c r="E1230" s="29" t="s">
        <v>3159</v>
      </c>
      <c r="F1230" s="29" t="s">
        <v>1885</v>
      </c>
      <c r="G1230" s="29" t="s">
        <v>901</v>
      </c>
      <c r="H1230" s="29" t="s">
        <v>902</v>
      </c>
      <c r="I1230" s="29" t="s">
        <v>656</v>
      </c>
      <c r="J1230" s="29" t="s">
        <v>3179</v>
      </c>
    </row>
    <row r="1231" spans="1:10" ht="19.5" customHeight="1" x14ac:dyDescent="0.35">
      <c r="A1231" s="29" t="s">
        <v>896</v>
      </c>
      <c r="B1231" s="29" t="s">
        <v>3180</v>
      </c>
      <c r="C1231" s="29" t="s">
        <v>1077</v>
      </c>
      <c r="D1231" s="30">
        <v>1</v>
      </c>
      <c r="E1231" s="29" t="s">
        <v>3159</v>
      </c>
      <c r="F1231" s="29" t="s">
        <v>1885</v>
      </c>
      <c r="G1231" s="29" t="s">
        <v>901</v>
      </c>
      <c r="H1231" s="29" t="s">
        <v>902</v>
      </c>
      <c r="I1231" s="29" t="s">
        <v>656</v>
      </c>
      <c r="J1231" s="29" t="s">
        <v>3181</v>
      </c>
    </row>
    <row r="1232" spans="1:10" ht="19.5" customHeight="1" x14ac:dyDescent="0.35">
      <c r="A1232" s="29" t="s">
        <v>896</v>
      </c>
      <c r="B1232" s="29" t="s">
        <v>3182</v>
      </c>
      <c r="C1232" s="29" t="s">
        <v>1768</v>
      </c>
      <c r="D1232" s="30">
        <v>1</v>
      </c>
      <c r="E1232" s="29" t="s">
        <v>3159</v>
      </c>
      <c r="F1232" s="29" t="s">
        <v>1885</v>
      </c>
      <c r="G1232" s="29" t="s">
        <v>901</v>
      </c>
      <c r="H1232" s="29" t="s">
        <v>902</v>
      </c>
      <c r="I1232" s="29" t="s">
        <v>656</v>
      </c>
      <c r="J1232" s="29" t="s">
        <v>3183</v>
      </c>
    </row>
    <row r="1233" spans="1:10" ht="19.5" customHeight="1" x14ac:dyDescent="0.35">
      <c r="A1233" s="29" t="s">
        <v>896</v>
      </c>
      <c r="B1233" s="29" t="s">
        <v>3184</v>
      </c>
      <c r="C1233" s="29" t="s">
        <v>1122</v>
      </c>
      <c r="D1233" s="30">
        <v>1</v>
      </c>
      <c r="E1233" s="29" t="s">
        <v>3185</v>
      </c>
      <c r="F1233" s="29" t="s">
        <v>1885</v>
      </c>
      <c r="G1233" s="29" t="s">
        <v>901</v>
      </c>
      <c r="H1233" s="29" t="s">
        <v>902</v>
      </c>
      <c r="I1233" s="29" t="s">
        <v>656</v>
      </c>
      <c r="J1233" s="29" t="s">
        <v>3186</v>
      </c>
    </row>
    <row r="1234" spans="1:10" ht="19.5" customHeight="1" x14ac:dyDescent="0.35">
      <c r="A1234" s="29" t="s">
        <v>896</v>
      </c>
      <c r="B1234" s="29" t="s">
        <v>3187</v>
      </c>
      <c r="C1234" s="29" t="s">
        <v>2257</v>
      </c>
      <c r="D1234" s="30">
        <v>1</v>
      </c>
      <c r="E1234" s="29" t="s">
        <v>3185</v>
      </c>
      <c r="F1234" s="29" t="s">
        <v>1885</v>
      </c>
      <c r="G1234" s="29" t="s">
        <v>901</v>
      </c>
      <c r="H1234" s="29" t="s">
        <v>902</v>
      </c>
      <c r="I1234" s="29" t="s">
        <v>656</v>
      </c>
      <c r="J1234" s="29" t="s">
        <v>3188</v>
      </c>
    </row>
    <row r="1235" spans="1:10" ht="19.5" customHeight="1" x14ac:dyDescent="0.35">
      <c r="A1235" s="29" t="s">
        <v>896</v>
      </c>
      <c r="B1235" s="29" t="s">
        <v>3189</v>
      </c>
      <c r="C1235" s="29" t="s">
        <v>1817</v>
      </c>
      <c r="D1235" s="30">
        <v>1</v>
      </c>
      <c r="E1235" s="29" t="s">
        <v>3185</v>
      </c>
      <c r="F1235" s="29" t="s">
        <v>1885</v>
      </c>
      <c r="G1235" s="29" t="s">
        <v>901</v>
      </c>
      <c r="H1235" s="29" t="s">
        <v>902</v>
      </c>
      <c r="I1235" s="29" t="s">
        <v>656</v>
      </c>
      <c r="J1235" s="29" t="s">
        <v>3190</v>
      </c>
    </row>
    <row r="1236" spans="1:10" ht="19.5" customHeight="1" x14ac:dyDescent="0.35">
      <c r="A1236" s="29" t="s">
        <v>896</v>
      </c>
      <c r="B1236" s="29" t="s">
        <v>3191</v>
      </c>
      <c r="C1236" s="29" t="s">
        <v>1136</v>
      </c>
      <c r="D1236" s="30">
        <v>1</v>
      </c>
      <c r="E1236" s="29" t="s">
        <v>3185</v>
      </c>
      <c r="F1236" s="29" t="s">
        <v>1885</v>
      </c>
      <c r="G1236" s="29" t="s">
        <v>901</v>
      </c>
      <c r="H1236" s="29" t="s">
        <v>902</v>
      </c>
      <c r="I1236" s="29" t="s">
        <v>656</v>
      </c>
      <c r="J1236" s="29" t="s">
        <v>2168</v>
      </c>
    </row>
    <row r="1237" spans="1:10" ht="19.5" customHeight="1" x14ac:dyDescent="0.35">
      <c r="A1237" s="29" t="s">
        <v>896</v>
      </c>
      <c r="B1237" s="29" t="s">
        <v>3192</v>
      </c>
      <c r="C1237" s="29" t="s">
        <v>3052</v>
      </c>
      <c r="D1237" s="30">
        <v>1</v>
      </c>
      <c r="E1237" s="29" t="s">
        <v>3185</v>
      </c>
      <c r="F1237" s="29" t="s">
        <v>1885</v>
      </c>
      <c r="G1237" s="29" t="s">
        <v>901</v>
      </c>
      <c r="H1237" s="29" t="s">
        <v>902</v>
      </c>
      <c r="I1237" s="29" t="s">
        <v>656</v>
      </c>
      <c r="J1237" s="29" t="s">
        <v>3193</v>
      </c>
    </row>
    <row r="1238" spans="1:10" ht="19.5" customHeight="1" x14ac:dyDescent="0.35">
      <c r="A1238" s="29" t="s">
        <v>896</v>
      </c>
      <c r="B1238" s="29" t="s">
        <v>3194</v>
      </c>
      <c r="C1238" s="29" t="s">
        <v>1118</v>
      </c>
      <c r="D1238" s="30">
        <v>1</v>
      </c>
      <c r="E1238" s="29" t="s">
        <v>3185</v>
      </c>
      <c r="F1238" s="29" t="s">
        <v>1885</v>
      </c>
      <c r="G1238" s="29" t="s">
        <v>901</v>
      </c>
      <c r="H1238" s="29" t="s">
        <v>902</v>
      </c>
      <c r="I1238" s="29" t="s">
        <v>656</v>
      </c>
      <c r="J1238" s="29" t="s">
        <v>3160</v>
      </c>
    </row>
    <row r="1239" spans="1:10" ht="19.5" customHeight="1" x14ac:dyDescent="0.35">
      <c r="A1239" s="29" t="s">
        <v>896</v>
      </c>
      <c r="B1239" s="29" t="s">
        <v>3195</v>
      </c>
      <c r="C1239" s="29" t="s">
        <v>1122</v>
      </c>
      <c r="D1239" s="30">
        <v>1</v>
      </c>
      <c r="E1239" s="29" t="s">
        <v>3185</v>
      </c>
      <c r="F1239" s="29" t="s">
        <v>1885</v>
      </c>
      <c r="G1239" s="29" t="s">
        <v>901</v>
      </c>
      <c r="H1239" s="29" t="s">
        <v>902</v>
      </c>
      <c r="I1239" s="29" t="s">
        <v>656</v>
      </c>
      <c r="J1239" s="29" t="s">
        <v>3196</v>
      </c>
    </row>
    <row r="1240" spans="1:10" ht="19.5" customHeight="1" x14ac:dyDescent="0.35">
      <c r="A1240" s="29" t="s">
        <v>896</v>
      </c>
      <c r="B1240" s="29" t="s">
        <v>3197</v>
      </c>
      <c r="C1240" s="29" t="s">
        <v>3198</v>
      </c>
      <c r="D1240" s="30">
        <v>1</v>
      </c>
      <c r="E1240" s="29" t="s">
        <v>3185</v>
      </c>
      <c r="F1240" s="29" t="s">
        <v>1885</v>
      </c>
      <c r="G1240" s="29" t="s">
        <v>901</v>
      </c>
      <c r="H1240" s="29" t="s">
        <v>902</v>
      </c>
      <c r="I1240" s="29" t="s">
        <v>656</v>
      </c>
      <c r="J1240" s="29" t="s">
        <v>3199</v>
      </c>
    </row>
    <row r="1241" spans="1:10" ht="19.5" customHeight="1" x14ac:dyDescent="0.35">
      <c r="A1241" s="29" t="s">
        <v>896</v>
      </c>
      <c r="B1241" s="29" t="s">
        <v>3200</v>
      </c>
      <c r="C1241" s="29" t="s">
        <v>1077</v>
      </c>
      <c r="D1241" s="30">
        <v>1</v>
      </c>
      <c r="E1241" s="29" t="s">
        <v>3185</v>
      </c>
      <c r="F1241" s="29" t="s">
        <v>1885</v>
      </c>
      <c r="G1241" s="29" t="s">
        <v>901</v>
      </c>
      <c r="H1241" s="29" t="s">
        <v>902</v>
      </c>
      <c r="I1241" s="29" t="s">
        <v>656</v>
      </c>
      <c r="J1241" s="29" t="s">
        <v>3201</v>
      </c>
    </row>
    <row r="1242" spans="1:10" ht="19.5" customHeight="1" x14ac:dyDescent="0.35">
      <c r="A1242" s="29" t="s">
        <v>896</v>
      </c>
      <c r="B1242" s="29" t="s">
        <v>3202</v>
      </c>
      <c r="C1242" s="29" t="s">
        <v>1084</v>
      </c>
      <c r="D1242" s="30">
        <v>1</v>
      </c>
      <c r="E1242" s="29" t="s">
        <v>3185</v>
      </c>
      <c r="F1242" s="29" t="s">
        <v>1885</v>
      </c>
      <c r="G1242" s="29" t="s">
        <v>901</v>
      </c>
      <c r="H1242" s="29" t="s">
        <v>902</v>
      </c>
      <c r="I1242" s="29" t="s">
        <v>656</v>
      </c>
      <c r="J1242" s="29" t="s">
        <v>3203</v>
      </c>
    </row>
    <row r="1243" spans="1:10" ht="19.5" customHeight="1" x14ac:dyDescent="0.35">
      <c r="A1243" s="29" t="s">
        <v>896</v>
      </c>
      <c r="B1243" s="29" t="s">
        <v>3204</v>
      </c>
      <c r="C1243" s="29" t="s">
        <v>996</v>
      </c>
      <c r="D1243" s="30">
        <v>1</v>
      </c>
      <c r="E1243" s="29" t="s">
        <v>3185</v>
      </c>
      <c r="F1243" s="29" t="s">
        <v>1885</v>
      </c>
      <c r="G1243" s="29" t="s">
        <v>901</v>
      </c>
      <c r="H1243" s="29" t="s">
        <v>902</v>
      </c>
      <c r="I1243" s="29" t="s">
        <v>656</v>
      </c>
      <c r="J1243" s="29" t="s">
        <v>2704</v>
      </c>
    </row>
    <row r="1244" spans="1:10" ht="19.5" customHeight="1" x14ac:dyDescent="0.35">
      <c r="A1244" s="29" t="s">
        <v>896</v>
      </c>
      <c r="B1244" s="29" t="s">
        <v>3205</v>
      </c>
      <c r="C1244" s="29" t="s">
        <v>1122</v>
      </c>
      <c r="D1244" s="30">
        <v>1</v>
      </c>
      <c r="E1244" s="29" t="s">
        <v>3185</v>
      </c>
      <c r="F1244" s="29" t="s">
        <v>1885</v>
      </c>
      <c r="G1244" s="29" t="s">
        <v>901</v>
      </c>
      <c r="H1244" s="29" t="s">
        <v>902</v>
      </c>
      <c r="I1244" s="29" t="s">
        <v>656</v>
      </c>
      <c r="J1244" s="29" t="s">
        <v>3206</v>
      </c>
    </row>
    <row r="1245" spans="1:10" ht="19.5" customHeight="1" x14ac:dyDescent="0.35">
      <c r="A1245" s="29" t="s">
        <v>896</v>
      </c>
      <c r="B1245" s="29" t="s">
        <v>3207</v>
      </c>
      <c r="C1245" s="29" t="s">
        <v>1077</v>
      </c>
      <c r="D1245" s="30">
        <v>1</v>
      </c>
      <c r="E1245" s="29" t="s">
        <v>3185</v>
      </c>
      <c r="F1245" s="29" t="s">
        <v>1885</v>
      </c>
      <c r="G1245" s="29" t="s">
        <v>901</v>
      </c>
      <c r="H1245" s="29" t="s">
        <v>902</v>
      </c>
      <c r="I1245" s="29" t="s">
        <v>656</v>
      </c>
      <c r="J1245" s="29" t="s">
        <v>3208</v>
      </c>
    </row>
    <row r="1246" spans="1:10" ht="19.5" customHeight="1" x14ac:dyDescent="0.35">
      <c r="A1246" s="29" t="s">
        <v>896</v>
      </c>
      <c r="B1246" s="29" t="s">
        <v>3209</v>
      </c>
      <c r="C1246" s="29" t="s">
        <v>1768</v>
      </c>
      <c r="D1246" s="30">
        <v>1</v>
      </c>
      <c r="E1246" s="29" t="s">
        <v>3185</v>
      </c>
      <c r="F1246" s="29" t="s">
        <v>1885</v>
      </c>
      <c r="G1246" s="29" t="s">
        <v>901</v>
      </c>
      <c r="H1246" s="29" t="s">
        <v>902</v>
      </c>
      <c r="I1246" s="29" t="s">
        <v>656</v>
      </c>
      <c r="J1246" s="29" t="s">
        <v>3210</v>
      </c>
    </row>
    <row r="1247" spans="1:10" ht="19.5" customHeight="1" x14ac:dyDescent="0.35">
      <c r="A1247" s="29" t="s">
        <v>896</v>
      </c>
      <c r="B1247" s="29" t="s">
        <v>3211</v>
      </c>
      <c r="C1247" s="29" t="s">
        <v>1077</v>
      </c>
      <c r="D1247" s="30">
        <v>1</v>
      </c>
      <c r="E1247" s="29" t="s">
        <v>3212</v>
      </c>
      <c r="F1247" s="29" t="s">
        <v>1885</v>
      </c>
      <c r="G1247" s="29" t="s">
        <v>901</v>
      </c>
      <c r="H1247" s="29" t="s">
        <v>902</v>
      </c>
      <c r="I1247" s="29" t="s">
        <v>656</v>
      </c>
      <c r="J1247" s="29" t="s">
        <v>3213</v>
      </c>
    </row>
    <row r="1248" spans="1:10" ht="19.5" customHeight="1" x14ac:dyDescent="0.35">
      <c r="A1248" s="29" t="s">
        <v>896</v>
      </c>
      <c r="B1248" s="29" t="s">
        <v>3214</v>
      </c>
      <c r="C1248" s="29" t="s">
        <v>1077</v>
      </c>
      <c r="D1248" s="30">
        <v>1</v>
      </c>
      <c r="E1248" s="29" t="s">
        <v>3212</v>
      </c>
      <c r="F1248" s="29" t="s">
        <v>1885</v>
      </c>
      <c r="G1248" s="29" t="s">
        <v>901</v>
      </c>
      <c r="H1248" s="29" t="s">
        <v>902</v>
      </c>
      <c r="I1248" s="29" t="s">
        <v>656</v>
      </c>
      <c r="J1248" s="29" t="s">
        <v>3215</v>
      </c>
    </row>
    <row r="1249" spans="1:10" ht="19.5" customHeight="1" x14ac:dyDescent="0.35">
      <c r="A1249" s="29" t="s">
        <v>896</v>
      </c>
      <c r="B1249" s="29" t="s">
        <v>3216</v>
      </c>
      <c r="C1249" s="29" t="s">
        <v>2257</v>
      </c>
      <c r="D1249" s="30">
        <v>1</v>
      </c>
      <c r="E1249" s="29" t="s">
        <v>3212</v>
      </c>
      <c r="F1249" s="29" t="s">
        <v>1885</v>
      </c>
      <c r="G1249" s="29" t="s">
        <v>901</v>
      </c>
      <c r="H1249" s="29" t="s">
        <v>902</v>
      </c>
      <c r="I1249" s="29" t="s">
        <v>656</v>
      </c>
      <c r="J1249" s="29" t="s">
        <v>3217</v>
      </c>
    </row>
    <row r="1250" spans="1:10" ht="19.5" customHeight="1" x14ac:dyDescent="0.35">
      <c r="A1250" s="29" t="s">
        <v>896</v>
      </c>
      <c r="B1250" s="29" t="s">
        <v>3218</v>
      </c>
      <c r="C1250" s="29" t="s">
        <v>921</v>
      </c>
      <c r="D1250" s="30">
        <v>1</v>
      </c>
      <c r="E1250" s="29" t="s">
        <v>3212</v>
      </c>
      <c r="F1250" s="29" t="s">
        <v>1885</v>
      </c>
      <c r="G1250" s="29" t="s">
        <v>901</v>
      </c>
      <c r="H1250" s="29" t="s">
        <v>902</v>
      </c>
      <c r="I1250" s="29" t="s">
        <v>656</v>
      </c>
      <c r="J1250" s="29" t="s">
        <v>2439</v>
      </c>
    </row>
    <row r="1251" spans="1:10" ht="19.5" customHeight="1" x14ac:dyDescent="0.35">
      <c r="A1251" s="29" t="s">
        <v>896</v>
      </c>
      <c r="B1251" s="29" t="s">
        <v>3219</v>
      </c>
      <c r="C1251" s="29" t="s">
        <v>1077</v>
      </c>
      <c r="D1251" s="30">
        <v>1</v>
      </c>
      <c r="E1251" s="29" t="s">
        <v>3212</v>
      </c>
      <c r="F1251" s="29" t="s">
        <v>1885</v>
      </c>
      <c r="G1251" s="29" t="s">
        <v>901</v>
      </c>
      <c r="H1251" s="29" t="s">
        <v>902</v>
      </c>
      <c r="I1251" s="29" t="s">
        <v>656</v>
      </c>
      <c r="J1251" s="29" t="s">
        <v>3220</v>
      </c>
    </row>
    <row r="1252" spans="1:10" ht="19.5" customHeight="1" x14ac:dyDescent="0.35">
      <c r="A1252" s="29" t="s">
        <v>896</v>
      </c>
      <c r="B1252" s="29" t="s">
        <v>3221</v>
      </c>
      <c r="C1252" s="29" t="s">
        <v>1084</v>
      </c>
      <c r="D1252" s="30">
        <v>1</v>
      </c>
      <c r="E1252" s="29" t="s">
        <v>3212</v>
      </c>
      <c r="F1252" s="29" t="s">
        <v>1885</v>
      </c>
      <c r="G1252" s="29" t="s">
        <v>901</v>
      </c>
      <c r="H1252" s="29" t="s">
        <v>902</v>
      </c>
      <c r="I1252" s="29" t="s">
        <v>656</v>
      </c>
      <c r="J1252" s="29" t="s">
        <v>3222</v>
      </c>
    </row>
    <row r="1253" spans="1:10" ht="19.5" customHeight="1" x14ac:dyDescent="0.35">
      <c r="A1253" s="29" t="s">
        <v>896</v>
      </c>
      <c r="B1253" s="29" t="s">
        <v>3223</v>
      </c>
      <c r="C1253" s="29" t="s">
        <v>909</v>
      </c>
      <c r="D1253" s="30">
        <v>1</v>
      </c>
      <c r="E1253" s="29" t="s">
        <v>3212</v>
      </c>
      <c r="F1253" s="29" t="s">
        <v>1885</v>
      </c>
      <c r="G1253" s="29" t="s">
        <v>901</v>
      </c>
      <c r="H1253" s="29" t="s">
        <v>902</v>
      </c>
      <c r="I1253" s="29" t="s">
        <v>656</v>
      </c>
      <c r="J1253" s="29" t="s">
        <v>3224</v>
      </c>
    </row>
    <row r="1254" spans="1:10" ht="19.5" customHeight="1" x14ac:dyDescent="0.35">
      <c r="A1254" s="29" t="s">
        <v>896</v>
      </c>
      <c r="B1254" s="29" t="s">
        <v>3225</v>
      </c>
      <c r="C1254" s="29" t="s">
        <v>963</v>
      </c>
      <c r="D1254" s="30">
        <v>1</v>
      </c>
      <c r="E1254" s="29" t="s">
        <v>3212</v>
      </c>
      <c r="F1254" s="29" t="s">
        <v>1885</v>
      </c>
      <c r="G1254" s="29" t="s">
        <v>901</v>
      </c>
      <c r="H1254" s="29" t="s">
        <v>902</v>
      </c>
      <c r="I1254" s="29" t="s">
        <v>656</v>
      </c>
      <c r="J1254" s="29" t="s">
        <v>3226</v>
      </c>
    </row>
    <row r="1255" spans="1:10" ht="19.5" customHeight="1" x14ac:dyDescent="0.35">
      <c r="A1255" s="29" t="s">
        <v>896</v>
      </c>
      <c r="B1255" s="29" t="s">
        <v>3227</v>
      </c>
      <c r="C1255" s="29" t="s">
        <v>1817</v>
      </c>
      <c r="D1255" s="30">
        <v>1</v>
      </c>
      <c r="E1255" s="29" t="s">
        <v>3212</v>
      </c>
      <c r="F1255" s="29" t="s">
        <v>1885</v>
      </c>
      <c r="G1255" s="29" t="s">
        <v>901</v>
      </c>
      <c r="H1255" s="29" t="s">
        <v>902</v>
      </c>
      <c r="I1255" s="29" t="s">
        <v>656</v>
      </c>
      <c r="J1255" s="29" t="s">
        <v>2204</v>
      </c>
    </row>
    <row r="1256" spans="1:10" ht="19.5" customHeight="1" x14ac:dyDescent="0.35">
      <c r="A1256" s="29" t="s">
        <v>896</v>
      </c>
      <c r="B1256" s="29" t="s">
        <v>3228</v>
      </c>
      <c r="C1256" s="29" t="s">
        <v>989</v>
      </c>
      <c r="D1256" s="30">
        <v>1</v>
      </c>
      <c r="E1256" s="29" t="s">
        <v>3212</v>
      </c>
      <c r="F1256" s="29" t="s">
        <v>1885</v>
      </c>
      <c r="G1256" s="29" t="s">
        <v>901</v>
      </c>
      <c r="H1256" s="29" t="s">
        <v>902</v>
      </c>
      <c r="I1256" s="29" t="s">
        <v>656</v>
      </c>
      <c r="J1256" s="29" t="s">
        <v>2741</v>
      </c>
    </row>
    <row r="1257" spans="1:10" ht="19.5" customHeight="1" x14ac:dyDescent="0.35">
      <c r="A1257" s="29" t="s">
        <v>896</v>
      </c>
      <c r="B1257" s="29" t="s">
        <v>3229</v>
      </c>
      <c r="C1257" s="29" t="s">
        <v>921</v>
      </c>
      <c r="D1257" s="30">
        <v>1</v>
      </c>
      <c r="E1257" s="29" t="s">
        <v>3212</v>
      </c>
      <c r="F1257" s="29" t="s">
        <v>1885</v>
      </c>
      <c r="G1257" s="29" t="s">
        <v>901</v>
      </c>
      <c r="H1257" s="29" t="s">
        <v>902</v>
      </c>
      <c r="I1257" s="29" t="s">
        <v>656</v>
      </c>
      <c r="J1257" s="29" t="s">
        <v>3230</v>
      </c>
    </row>
    <row r="1258" spans="1:10" ht="19.5" customHeight="1" x14ac:dyDescent="0.35">
      <c r="A1258" s="29" t="s">
        <v>896</v>
      </c>
      <c r="B1258" s="29" t="s">
        <v>3231</v>
      </c>
      <c r="C1258" s="29" t="s">
        <v>1009</v>
      </c>
      <c r="D1258" s="30">
        <v>1</v>
      </c>
      <c r="E1258" s="29" t="s">
        <v>3212</v>
      </c>
      <c r="F1258" s="29" t="s">
        <v>1885</v>
      </c>
      <c r="G1258" s="29" t="s">
        <v>901</v>
      </c>
      <c r="H1258" s="29" t="s">
        <v>902</v>
      </c>
      <c r="I1258" s="29" t="s">
        <v>656</v>
      </c>
      <c r="J1258" s="29" t="s">
        <v>3217</v>
      </c>
    </row>
    <row r="1259" spans="1:10" ht="19.5" customHeight="1" x14ac:dyDescent="0.35">
      <c r="A1259" s="29" t="s">
        <v>896</v>
      </c>
      <c r="B1259" s="29" t="s">
        <v>3232</v>
      </c>
      <c r="C1259" s="29" t="s">
        <v>1122</v>
      </c>
      <c r="D1259" s="30">
        <v>1</v>
      </c>
      <c r="E1259" s="29" t="s">
        <v>3212</v>
      </c>
      <c r="F1259" s="29" t="s">
        <v>1885</v>
      </c>
      <c r="G1259" s="29" t="s">
        <v>901</v>
      </c>
      <c r="H1259" s="29" t="s">
        <v>902</v>
      </c>
      <c r="I1259" s="29" t="s">
        <v>656</v>
      </c>
      <c r="J1259" s="29" t="s">
        <v>3233</v>
      </c>
    </row>
    <row r="1260" spans="1:10" ht="19.5" customHeight="1" x14ac:dyDescent="0.35">
      <c r="A1260" s="29" t="s">
        <v>896</v>
      </c>
      <c r="B1260" s="29" t="s">
        <v>3234</v>
      </c>
      <c r="C1260" s="29" t="s">
        <v>1077</v>
      </c>
      <c r="D1260" s="30">
        <v>1</v>
      </c>
      <c r="E1260" s="29" t="s">
        <v>3212</v>
      </c>
      <c r="F1260" s="29" t="s">
        <v>1885</v>
      </c>
      <c r="G1260" s="29" t="s">
        <v>901</v>
      </c>
      <c r="H1260" s="29" t="s">
        <v>902</v>
      </c>
      <c r="I1260" s="29" t="s">
        <v>656</v>
      </c>
      <c r="J1260" s="29" t="s">
        <v>3235</v>
      </c>
    </row>
    <row r="1261" spans="1:10" ht="19.5" customHeight="1" x14ac:dyDescent="0.35">
      <c r="A1261" s="29" t="s">
        <v>896</v>
      </c>
      <c r="B1261" s="29" t="s">
        <v>3236</v>
      </c>
      <c r="C1261" s="29" t="s">
        <v>963</v>
      </c>
      <c r="D1261" s="30">
        <v>1</v>
      </c>
      <c r="E1261" s="29" t="s">
        <v>3212</v>
      </c>
      <c r="F1261" s="29" t="s">
        <v>1885</v>
      </c>
      <c r="G1261" s="29" t="s">
        <v>901</v>
      </c>
      <c r="H1261" s="29" t="s">
        <v>902</v>
      </c>
      <c r="I1261" s="29" t="s">
        <v>656</v>
      </c>
      <c r="J1261" s="29" t="s">
        <v>3226</v>
      </c>
    </row>
    <row r="1262" spans="1:10" ht="19.5" customHeight="1" x14ac:dyDescent="0.35">
      <c r="A1262" s="29" t="s">
        <v>896</v>
      </c>
      <c r="B1262" s="29" t="s">
        <v>3237</v>
      </c>
      <c r="C1262" s="29" t="s">
        <v>921</v>
      </c>
      <c r="D1262" s="30">
        <v>1</v>
      </c>
      <c r="E1262" s="29" t="s">
        <v>3212</v>
      </c>
      <c r="F1262" s="29" t="s">
        <v>1885</v>
      </c>
      <c r="G1262" s="29" t="s">
        <v>901</v>
      </c>
      <c r="H1262" s="29" t="s">
        <v>902</v>
      </c>
      <c r="I1262" s="29" t="s">
        <v>656</v>
      </c>
      <c r="J1262" s="29" t="s">
        <v>3238</v>
      </c>
    </row>
    <row r="1263" spans="1:10" ht="19.5" customHeight="1" x14ac:dyDescent="0.35">
      <c r="A1263" s="29" t="s">
        <v>896</v>
      </c>
      <c r="B1263" s="29" t="s">
        <v>3239</v>
      </c>
      <c r="C1263" s="29" t="s">
        <v>1122</v>
      </c>
      <c r="D1263" s="30">
        <v>1</v>
      </c>
      <c r="E1263" s="29" t="s">
        <v>3212</v>
      </c>
      <c r="F1263" s="29" t="s">
        <v>1885</v>
      </c>
      <c r="G1263" s="29" t="s">
        <v>901</v>
      </c>
      <c r="H1263" s="29" t="s">
        <v>902</v>
      </c>
      <c r="I1263" s="29" t="s">
        <v>656</v>
      </c>
      <c r="J1263" s="29" t="s">
        <v>3215</v>
      </c>
    </row>
    <row r="1264" spans="1:10" ht="19.5" customHeight="1" x14ac:dyDescent="0.35">
      <c r="A1264" s="29" t="s">
        <v>896</v>
      </c>
      <c r="B1264" s="29" t="s">
        <v>3240</v>
      </c>
      <c r="C1264" s="29" t="s">
        <v>1077</v>
      </c>
      <c r="D1264" s="30">
        <v>1</v>
      </c>
      <c r="E1264" s="29" t="s">
        <v>3212</v>
      </c>
      <c r="F1264" s="29" t="s">
        <v>1885</v>
      </c>
      <c r="G1264" s="29" t="s">
        <v>901</v>
      </c>
      <c r="H1264" s="29" t="s">
        <v>902</v>
      </c>
      <c r="I1264" s="29" t="s">
        <v>656</v>
      </c>
      <c r="J1264" s="29" t="s">
        <v>3241</v>
      </c>
    </row>
    <row r="1265" spans="1:10" ht="19.5" customHeight="1" x14ac:dyDescent="0.35">
      <c r="A1265" s="29" t="s">
        <v>896</v>
      </c>
      <c r="B1265" s="29" t="s">
        <v>3242</v>
      </c>
      <c r="C1265" s="29" t="s">
        <v>1143</v>
      </c>
      <c r="D1265" s="30">
        <v>1</v>
      </c>
      <c r="E1265" s="29" t="s">
        <v>3212</v>
      </c>
      <c r="F1265" s="29" t="s">
        <v>1885</v>
      </c>
      <c r="G1265" s="29" t="s">
        <v>901</v>
      </c>
      <c r="H1265" s="29" t="s">
        <v>902</v>
      </c>
      <c r="I1265" s="29" t="s">
        <v>656</v>
      </c>
      <c r="J1265" s="29" t="s">
        <v>3235</v>
      </c>
    </row>
    <row r="1266" spans="1:10" ht="19.5" customHeight="1" x14ac:dyDescent="0.35">
      <c r="A1266" s="29" t="s">
        <v>896</v>
      </c>
      <c r="B1266" s="29" t="s">
        <v>3243</v>
      </c>
      <c r="C1266" s="29" t="s">
        <v>1077</v>
      </c>
      <c r="D1266" s="30">
        <v>1</v>
      </c>
      <c r="E1266" s="29" t="s">
        <v>3212</v>
      </c>
      <c r="F1266" s="29" t="s">
        <v>1885</v>
      </c>
      <c r="G1266" s="29" t="s">
        <v>901</v>
      </c>
      <c r="H1266" s="29" t="s">
        <v>902</v>
      </c>
      <c r="I1266" s="29" t="s">
        <v>656</v>
      </c>
      <c r="J1266" s="29" t="s">
        <v>3244</v>
      </c>
    </row>
    <row r="1267" spans="1:10" ht="19.5" customHeight="1" x14ac:dyDescent="0.35">
      <c r="A1267" s="29" t="s">
        <v>896</v>
      </c>
      <c r="B1267" s="29" t="s">
        <v>3245</v>
      </c>
      <c r="C1267" s="29" t="s">
        <v>1077</v>
      </c>
      <c r="D1267" s="30">
        <v>1</v>
      </c>
      <c r="E1267" s="29" t="s">
        <v>3212</v>
      </c>
      <c r="F1267" s="29" t="s">
        <v>1885</v>
      </c>
      <c r="G1267" s="29" t="s">
        <v>901</v>
      </c>
      <c r="H1267" s="29" t="s">
        <v>902</v>
      </c>
      <c r="I1267" s="29" t="s">
        <v>656</v>
      </c>
      <c r="J1267" s="29" t="s">
        <v>3246</v>
      </c>
    </row>
    <row r="1268" spans="1:10" ht="19.5" customHeight="1" x14ac:dyDescent="0.35">
      <c r="A1268" s="29" t="s">
        <v>896</v>
      </c>
      <c r="B1268" s="29" t="s">
        <v>3247</v>
      </c>
      <c r="C1268" s="29" t="s">
        <v>1077</v>
      </c>
      <c r="D1268" s="30">
        <v>1</v>
      </c>
      <c r="E1268" s="29" t="s">
        <v>3212</v>
      </c>
      <c r="F1268" s="29" t="s">
        <v>1885</v>
      </c>
      <c r="G1268" s="29" t="s">
        <v>901</v>
      </c>
      <c r="H1268" s="29" t="s">
        <v>902</v>
      </c>
      <c r="I1268" s="29" t="s">
        <v>656</v>
      </c>
      <c r="J1268" s="29" t="s">
        <v>3248</v>
      </c>
    </row>
    <row r="1269" spans="1:10" ht="19.5" customHeight="1" x14ac:dyDescent="0.35">
      <c r="A1269" s="29" t="s">
        <v>896</v>
      </c>
      <c r="B1269" s="29" t="s">
        <v>3249</v>
      </c>
      <c r="C1269" s="29" t="s">
        <v>1490</v>
      </c>
      <c r="D1269" s="30">
        <v>1</v>
      </c>
      <c r="E1269" s="29" t="s">
        <v>3212</v>
      </c>
      <c r="F1269" s="29" t="s">
        <v>1885</v>
      </c>
      <c r="G1269" s="29" t="s">
        <v>901</v>
      </c>
      <c r="H1269" s="29" t="s">
        <v>902</v>
      </c>
      <c r="I1269" s="29" t="s">
        <v>656</v>
      </c>
      <c r="J1269" s="29" t="s">
        <v>3250</v>
      </c>
    </row>
    <row r="1270" spans="1:10" ht="19.5" customHeight="1" x14ac:dyDescent="0.35">
      <c r="A1270" s="29" t="s">
        <v>896</v>
      </c>
      <c r="B1270" s="29" t="s">
        <v>3251</v>
      </c>
      <c r="C1270" s="29" t="s">
        <v>1494</v>
      </c>
      <c r="D1270" s="30">
        <v>1</v>
      </c>
      <c r="E1270" s="29" t="s">
        <v>3212</v>
      </c>
      <c r="F1270" s="29" t="s">
        <v>1885</v>
      </c>
      <c r="G1270" s="29" t="s">
        <v>901</v>
      </c>
      <c r="H1270" s="29" t="s">
        <v>902</v>
      </c>
      <c r="I1270" s="29" t="s">
        <v>656</v>
      </c>
      <c r="J1270" s="29" t="s">
        <v>2204</v>
      </c>
    </row>
    <row r="1271" spans="1:10" ht="19.5" customHeight="1" x14ac:dyDescent="0.35">
      <c r="A1271" s="29" t="s">
        <v>896</v>
      </c>
      <c r="B1271" s="29" t="s">
        <v>3252</v>
      </c>
      <c r="C1271" s="29" t="s">
        <v>1768</v>
      </c>
      <c r="D1271" s="30">
        <v>1</v>
      </c>
      <c r="E1271" s="29" t="s">
        <v>3212</v>
      </c>
      <c r="F1271" s="29" t="s">
        <v>1885</v>
      </c>
      <c r="G1271" s="29" t="s">
        <v>901</v>
      </c>
      <c r="H1271" s="29" t="s">
        <v>902</v>
      </c>
      <c r="I1271" s="29" t="s">
        <v>656</v>
      </c>
      <c r="J1271" s="29" t="s">
        <v>3253</v>
      </c>
    </row>
    <row r="1272" spans="1:10" ht="19.5" customHeight="1" x14ac:dyDescent="0.35">
      <c r="A1272" s="29" t="s">
        <v>896</v>
      </c>
      <c r="B1272" s="29" t="s">
        <v>3254</v>
      </c>
      <c r="C1272" s="29" t="s">
        <v>1143</v>
      </c>
      <c r="D1272" s="30">
        <v>1</v>
      </c>
      <c r="E1272" s="29" t="s">
        <v>3062</v>
      </c>
      <c r="F1272" s="29" t="s">
        <v>1885</v>
      </c>
      <c r="G1272" s="29" t="s">
        <v>901</v>
      </c>
      <c r="H1272" s="29" t="s">
        <v>902</v>
      </c>
      <c r="I1272" s="29" t="s">
        <v>656</v>
      </c>
      <c r="J1272" s="29" t="s">
        <v>3255</v>
      </c>
    </row>
    <row r="1273" spans="1:10" ht="19.5" customHeight="1" x14ac:dyDescent="0.35">
      <c r="A1273" s="29" t="s">
        <v>896</v>
      </c>
      <c r="B1273" s="29" t="s">
        <v>3256</v>
      </c>
      <c r="C1273" s="29" t="s">
        <v>1817</v>
      </c>
      <c r="D1273" s="30">
        <v>1</v>
      </c>
      <c r="E1273" s="29" t="s">
        <v>3062</v>
      </c>
      <c r="F1273" s="29" t="s">
        <v>1885</v>
      </c>
      <c r="G1273" s="29" t="s">
        <v>901</v>
      </c>
      <c r="H1273" s="29" t="s">
        <v>902</v>
      </c>
      <c r="I1273" s="29" t="s">
        <v>656</v>
      </c>
      <c r="J1273" s="29" t="s">
        <v>2449</v>
      </c>
    </row>
    <row r="1274" spans="1:10" ht="19.5" customHeight="1" x14ac:dyDescent="0.35">
      <c r="A1274" s="29" t="s">
        <v>896</v>
      </c>
      <c r="B1274" s="29" t="s">
        <v>3257</v>
      </c>
      <c r="C1274" s="29" t="s">
        <v>1690</v>
      </c>
      <c r="D1274" s="30">
        <v>1</v>
      </c>
      <c r="E1274" s="29" t="s">
        <v>3062</v>
      </c>
      <c r="F1274" s="29" t="s">
        <v>1885</v>
      </c>
      <c r="G1274" s="29" t="s">
        <v>901</v>
      </c>
      <c r="H1274" s="29" t="s">
        <v>902</v>
      </c>
      <c r="I1274" s="29" t="s">
        <v>656</v>
      </c>
      <c r="J1274" s="29" t="s">
        <v>2529</v>
      </c>
    </row>
    <row r="1275" spans="1:10" ht="19.5" customHeight="1" x14ac:dyDescent="0.35">
      <c r="A1275" s="29" t="s">
        <v>896</v>
      </c>
      <c r="B1275" s="29" t="s">
        <v>3258</v>
      </c>
      <c r="C1275" s="29" t="s">
        <v>1697</v>
      </c>
      <c r="D1275" s="30">
        <v>1</v>
      </c>
      <c r="E1275" s="29" t="s">
        <v>3062</v>
      </c>
      <c r="F1275" s="29" t="s">
        <v>1885</v>
      </c>
      <c r="G1275" s="29" t="s">
        <v>901</v>
      </c>
      <c r="H1275" s="29" t="s">
        <v>902</v>
      </c>
      <c r="I1275" s="29" t="s">
        <v>656</v>
      </c>
      <c r="J1275" s="29" t="s">
        <v>3063</v>
      </c>
    </row>
    <row r="1276" spans="1:10" ht="19.5" customHeight="1" x14ac:dyDescent="0.35">
      <c r="A1276" s="29" t="s">
        <v>896</v>
      </c>
      <c r="B1276" s="29" t="s">
        <v>3259</v>
      </c>
      <c r="C1276" s="29" t="s">
        <v>1731</v>
      </c>
      <c r="D1276" s="30">
        <v>1</v>
      </c>
      <c r="E1276" s="29" t="s">
        <v>3062</v>
      </c>
      <c r="F1276" s="29" t="s">
        <v>1885</v>
      </c>
      <c r="G1276" s="29" t="s">
        <v>901</v>
      </c>
      <c r="H1276" s="29" t="s">
        <v>902</v>
      </c>
      <c r="I1276" s="29" t="s">
        <v>656</v>
      </c>
      <c r="J1276" s="29" t="s">
        <v>3260</v>
      </c>
    </row>
    <row r="1277" spans="1:10" ht="19.5" customHeight="1" x14ac:dyDescent="0.35">
      <c r="A1277" s="29" t="s">
        <v>896</v>
      </c>
      <c r="B1277" s="29" t="s">
        <v>3261</v>
      </c>
      <c r="C1277" s="29" t="s">
        <v>1240</v>
      </c>
      <c r="D1277" s="30">
        <v>1</v>
      </c>
      <c r="E1277" s="29" t="s">
        <v>3062</v>
      </c>
      <c r="F1277" s="29" t="s">
        <v>1885</v>
      </c>
      <c r="G1277" s="29" t="s">
        <v>901</v>
      </c>
      <c r="H1277" s="29" t="s">
        <v>902</v>
      </c>
      <c r="I1277" s="29" t="s">
        <v>656</v>
      </c>
      <c r="J1277" s="29" t="s">
        <v>3063</v>
      </c>
    </row>
    <row r="1278" spans="1:10" ht="19.5" customHeight="1" x14ac:dyDescent="0.35">
      <c r="A1278" s="29" t="s">
        <v>896</v>
      </c>
      <c r="B1278" s="29" t="s">
        <v>3262</v>
      </c>
      <c r="C1278" s="29" t="s">
        <v>1299</v>
      </c>
      <c r="D1278" s="30">
        <v>1</v>
      </c>
      <c r="E1278" s="29" t="s">
        <v>3062</v>
      </c>
      <c r="F1278" s="29" t="s">
        <v>1885</v>
      </c>
      <c r="G1278" s="29" t="s">
        <v>901</v>
      </c>
      <c r="H1278" s="29" t="s">
        <v>902</v>
      </c>
      <c r="I1278" s="29" t="s">
        <v>656</v>
      </c>
      <c r="J1278" s="29" t="s">
        <v>3263</v>
      </c>
    </row>
    <row r="1279" spans="1:10" ht="19.5" customHeight="1" x14ac:dyDescent="0.35">
      <c r="A1279" s="29" t="s">
        <v>896</v>
      </c>
      <c r="B1279" s="29" t="s">
        <v>3264</v>
      </c>
      <c r="C1279" s="29" t="s">
        <v>2602</v>
      </c>
      <c r="D1279" s="30">
        <v>1</v>
      </c>
      <c r="E1279" s="29" t="s">
        <v>3062</v>
      </c>
      <c r="F1279" s="29" t="s">
        <v>1885</v>
      </c>
      <c r="G1279" s="29" t="s">
        <v>901</v>
      </c>
      <c r="H1279" s="29" t="s">
        <v>902</v>
      </c>
      <c r="I1279" s="29" t="s">
        <v>656</v>
      </c>
      <c r="J1279" s="29" t="s">
        <v>3265</v>
      </c>
    </row>
    <row r="1280" spans="1:10" ht="19.5" customHeight="1" x14ac:dyDescent="0.35">
      <c r="A1280" s="29" t="s">
        <v>896</v>
      </c>
      <c r="B1280" s="29" t="s">
        <v>3266</v>
      </c>
      <c r="C1280" s="29" t="s">
        <v>1118</v>
      </c>
      <c r="D1280" s="30">
        <v>1</v>
      </c>
      <c r="E1280" s="29" t="s">
        <v>3062</v>
      </c>
      <c r="F1280" s="29" t="s">
        <v>1885</v>
      </c>
      <c r="G1280" s="29" t="s">
        <v>901</v>
      </c>
      <c r="H1280" s="29" t="s">
        <v>902</v>
      </c>
      <c r="I1280" s="29" t="s">
        <v>656</v>
      </c>
      <c r="J1280" s="29" t="s">
        <v>2940</v>
      </c>
    </row>
    <row r="1281" spans="1:10" ht="19.5" customHeight="1" x14ac:dyDescent="0.35">
      <c r="A1281" s="29" t="s">
        <v>896</v>
      </c>
      <c r="B1281" s="29" t="s">
        <v>3267</v>
      </c>
      <c r="C1281" s="29" t="s">
        <v>898</v>
      </c>
      <c r="D1281" s="30">
        <v>1</v>
      </c>
      <c r="E1281" s="29" t="s">
        <v>3062</v>
      </c>
      <c r="F1281" s="29" t="s">
        <v>1885</v>
      </c>
      <c r="G1281" s="29" t="s">
        <v>901</v>
      </c>
      <c r="H1281" s="29" t="s">
        <v>902</v>
      </c>
      <c r="I1281" s="29" t="s">
        <v>656</v>
      </c>
      <c r="J1281" s="29" t="s">
        <v>2940</v>
      </c>
    </row>
    <row r="1282" spans="1:10" ht="19.5" customHeight="1" x14ac:dyDescent="0.35">
      <c r="A1282" s="29" t="s">
        <v>896</v>
      </c>
      <c r="B1282" s="29" t="s">
        <v>3268</v>
      </c>
      <c r="C1282" s="29" t="s">
        <v>1136</v>
      </c>
      <c r="D1282" s="30">
        <v>1</v>
      </c>
      <c r="E1282" s="29" t="s">
        <v>3062</v>
      </c>
      <c r="F1282" s="29" t="s">
        <v>1885</v>
      </c>
      <c r="G1282" s="29" t="s">
        <v>901</v>
      </c>
      <c r="H1282" s="29" t="s">
        <v>902</v>
      </c>
      <c r="I1282" s="29" t="s">
        <v>656</v>
      </c>
      <c r="J1282" s="29" t="s">
        <v>2348</v>
      </c>
    </row>
    <row r="1283" spans="1:10" ht="19.5" customHeight="1" x14ac:dyDescent="0.35">
      <c r="A1283" s="29" t="s">
        <v>896</v>
      </c>
      <c r="B1283" s="29" t="s">
        <v>3269</v>
      </c>
      <c r="C1283" s="29" t="s">
        <v>1143</v>
      </c>
      <c r="D1283" s="30">
        <v>1</v>
      </c>
      <c r="E1283" s="29" t="s">
        <v>3062</v>
      </c>
      <c r="F1283" s="29" t="s">
        <v>1885</v>
      </c>
      <c r="G1283" s="29" t="s">
        <v>901</v>
      </c>
      <c r="H1283" s="29" t="s">
        <v>902</v>
      </c>
      <c r="I1283" s="29" t="s">
        <v>656</v>
      </c>
      <c r="J1283" s="29" t="s">
        <v>3270</v>
      </c>
    </row>
    <row r="1284" spans="1:10" ht="19.5" customHeight="1" x14ac:dyDescent="0.35">
      <c r="A1284" s="29" t="s">
        <v>896</v>
      </c>
      <c r="B1284" s="29" t="s">
        <v>3271</v>
      </c>
      <c r="C1284" s="29" t="s">
        <v>1299</v>
      </c>
      <c r="D1284" s="30">
        <v>1</v>
      </c>
      <c r="E1284" s="29" t="s">
        <v>3062</v>
      </c>
      <c r="F1284" s="29" t="s">
        <v>1885</v>
      </c>
      <c r="G1284" s="29" t="s">
        <v>901</v>
      </c>
      <c r="H1284" s="29" t="s">
        <v>902</v>
      </c>
      <c r="I1284" s="29" t="s">
        <v>656</v>
      </c>
      <c r="J1284" s="29" t="s">
        <v>3265</v>
      </c>
    </row>
    <row r="1285" spans="1:10" ht="19.5" customHeight="1" x14ac:dyDescent="0.35">
      <c r="A1285" s="29" t="s">
        <v>896</v>
      </c>
      <c r="B1285" s="29" t="s">
        <v>3272</v>
      </c>
      <c r="C1285" s="29" t="s">
        <v>1077</v>
      </c>
      <c r="D1285" s="30">
        <v>1</v>
      </c>
      <c r="E1285" s="29" t="s">
        <v>3062</v>
      </c>
      <c r="F1285" s="29" t="s">
        <v>1885</v>
      </c>
      <c r="G1285" s="29" t="s">
        <v>901</v>
      </c>
      <c r="H1285" s="29" t="s">
        <v>902</v>
      </c>
      <c r="I1285" s="29" t="s">
        <v>656</v>
      </c>
      <c r="J1285" s="29" t="s">
        <v>2348</v>
      </c>
    </row>
    <row r="1286" spans="1:10" ht="19.5" customHeight="1" x14ac:dyDescent="0.35">
      <c r="A1286" s="29" t="s">
        <v>896</v>
      </c>
      <c r="B1286" s="29" t="s">
        <v>3273</v>
      </c>
      <c r="C1286" s="29" t="s">
        <v>1077</v>
      </c>
      <c r="D1286" s="30">
        <v>1</v>
      </c>
      <c r="E1286" s="29" t="s">
        <v>3062</v>
      </c>
      <c r="F1286" s="29" t="s">
        <v>1885</v>
      </c>
      <c r="G1286" s="29" t="s">
        <v>901</v>
      </c>
      <c r="H1286" s="29" t="s">
        <v>902</v>
      </c>
      <c r="I1286" s="29" t="s">
        <v>656</v>
      </c>
      <c r="J1286" s="29" t="s">
        <v>3274</v>
      </c>
    </row>
    <row r="1287" spans="1:10" ht="19.5" customHeight="1" x14ac:dyDescent="0.35">
      <c r="A1287" s="29" t="s">
        <v>896</v>
      </c>
      <c r="B1287" s="29" t="s">
        <v>3275</v>
      </c>
      <c r="C1287" s="29" t="s">
        <v>989</v>
      </c>
      <c r="D1287" s="30">
        <v>1</v>
      </c>
      <c r="E1287" s="29" t="s">
        <v>3062</v>
      </c>
      <c r="F1287" s="29" t="s">
        <v>1885</v>
      </c>
      <c r="G1287" s="29" t="s">
        <v>901</v>
      </c>
      <c r="H1287" s="29" t="s">
        <v>902</v>
      </c>
      <c r="I1287" s="29" t="s">
        <v>656</v>
      </c>
      <c r="J1287" s="29" t="s">
        <v>3276</v>
      </c>
    </row>
    <row r="1288" spans="1:10" ht="19.5" customHeight="1" x14ac:dyDescent="0.35">
      <c r="A1288" s="29" t="s">
        <v>896</v>
      </c>
      <c r="B1288" s="29" t="s">
        <v>3277</v>
      </c>
      <c r="C1288" s="29" t="s">
        <v>1077</v>
      </c>
      <c r="D1288" s="30">
        <v>1</v>
      </c>
      <c r="E1288" s="29" t="s">
        <v>3062</v>
      </c>
      <c r="F1288" s="29" t="s">
        <v>1885</v>
      </c>
      <c r="G1288" s="29" t="s">
        <v>901</v>
      </c>
      <c r="H1288" s="29" t="s">
        <v>902</v>
      </c>
      <c r="I1288" s="29" t="s">
        <v>656</v>
      </c>
      <c r="J1288" s="29" t="s">
        <v>3278</v>
      </c>
    </row>
    <row r="1289" spans="1:10" ht="19.5" customHeight="1" x14ac:dyDescent="0.35">
      <c r="A1289" s="29" t="s">
        <v>896</v>
      </c>
      <c r="B1289" s="29" t="s">
        <v>3279</v>
      </c>
      <c r="C1289" s="29" t="s">
        <v>1077</v>
      </c>
      <c r="D1289" s="30">
        <v>1</v>
      </c>
      <c r="E1289" s="29" t="s">
        <v>3062</v>
      </c>
      <c r="F1289" s="29" t="s">
        <v>1885</v>
      </c>
      <c r="G1289" s="29" t="s">
        <v>901</v>
      </c>
      <c r="H1289" s="29" t="s">
        <v>902</v>
      </c>
      <c r="I1289" s="29" t="s">
        <v>656</v>
      </c>
      <c r="J1289" s="29" t="s">
        <v>3255</v>
      </c>
    </row>
    <row r="1290" spans="1:10" ht="19.5" customHeight="1" x14ac:dyDescent="0.35">
      <c r="A1290" s="29" t="s">
        <v>896</v>
      </c>
      <c r="B1290" s="29" t="s">
        <v>3280</v>
      </c>
      <c r="C1290" s="29" t="s">
        <v>921</v>
      </c>
      <c r="D1290" s="30">
        <v>1</v>
      </c>
      <c r="E1290" s="29" t="s">
        <v>3062</v>
      </c>
      <c r="F1290" s="29" t="s">
        <v>1885</v>
      </c>
      <c r="G1290" s="29" t="s">
        <v>901</v>
      </c>
      <c r="H1290" s="29" t="s">
        <v>902</v>
      </c>
      <c r="I1290" s="29" t="s">
        <v>656</v>
      </c>
      <c r="J1290" s="29" t="s">
        <v>3255</v>
      </c>
    </row>
    <row r="1291" spans="1:10" ht="19.5" customHeight="1" x14ac:dyDescent="0.35">
      <c r="A1291" s="29" t="s">
        <v>896</v>
      </c>
      <c r="B1291" s="29" t="s">
        <v>3281</v>
      </c>
      <c r="C1291" s="29" t="s">
        <v>1659</v>
      </c>
      <c r="D1291" s="30">
        <v>1</v>
      </c>
      <c r="E1291" s="29" t="s">
        <v>3062</v>
      </c>
      <c r="F1291" s="29" t="s">
        <v>1885</v>
      </c>
      <c r="G1291" s="29" t="s">
        <v>901</v>
      </c>
      <c r="H1291" s="29" t="s">
        <v>902</v>
      </c>
      <c r="I1291" s="29" t="s">
        <v>656</v>
      </c>
      <c r="J1291" s="29" t="s">
        <v>3282</v>
      </c>
    </row>
    <row r="1292" spans="1:10" ht="19.5" customHeight="1" x14ac:dyDescent="0.35">
      <c r="A1292" s="29" t="s">
        <v>896</v>
      </c>
      <c r="B1292" s="29" t="s">
        <v>3283</v>
      </c>
      <c r="C1292" s="29" t="s">
        <v>1659</v>
      </c>
      <c r="D1292" s="30">
        <v>1</v>
      </c>
      <c r="E1292" s="29" t="s">
        <v>3062</v>
      </c>
      <c r="F1292" s="29" t="s">
        <v>1885</v>
      </c>
      <c r="G1292" s="29" t="s">
        <v>901</v>
      </c>
      <c r="H1292" s="29" t="s">
        <v>902</v>
      </c>
      <c r="I1292" s="29" t="s">
        <v>656</v>
      </c>
      <c r="J1292" s="29" t="s">
        <v>3284</v>
      </c>
    </row>
    <row r="1293" spans="1:10" ht="19.5" customHeight="1" x14ac:dyDescent="0.35">
      <c r="A1293" s="29" t="s">
        <v>896</v>
      </c>
      <c r="B1293" s="29" t="s">
        <v>3285</v>
      </c>
      <c r="C1293" s="29" t="s">
        <v>1077</v>
      </c>
      <c r="D1293" s="30">
        <v>1</v>
      </c>
      <c r="E1293" s="29" t="s">
        <v>3062</v>
      </c>
      <c r="F1293" s="29" t="s">
        <v>1885</v>
      </c>
      <c r="G1293" s="29" t="s">
        <v>901</v>
      </c>
      <c r="H1293" s="29" t="s">
        <v>902</v>
      </c>
      <c r="I1293" s="29" t="s">
        <v>656</v>
      </c>
      <c r="J1293" s="29" t="s">
        <v>3270</v>
      </c>
    </row>
    <row r="1294" spans="1:10" ht="19.5" customHeight="1" x14ac:dyDescent="0.35">
      <c r="A1294" s="29" t="s">
        <v>896</v>
      </c>
      <c r="B1294" s="29" t="s">
        <v>3286</v>
      </c>
      <c r="C1294" s="29" t="s">
        <v>959</v>
      </c>
      <c r="D1294" s="30">
        <v>1</v>
      </c>
      <c r="E1294" s="29" t="s">
        <v>3062</v>
      </c>
      <c r="F1294" s="29" t="s">
        <v>1885</v>
      </c>
      <c r="G1294" s="29" t="s">
        <v>901</v>
      </c>
      <c r="H1294" s="29" t="s">
        <v>902</v>
      </c>
      <c r="I1294" s="29" t="s">
        <v>656</v>
      </c>
      <c r="J1294" s="29" t="s">
        <v>3287</v>
      </c>
    </row>
    <row r="1295" spans="1:10" ht="19.5" customHeight="1" x14ac:dyDescent="0.35">
      <c r="A1295" s="29" t="s">
        <v>896</v>
      </c>
      <c r="B1295" s="29" t="s">
        <v>3288</v>
      </c>
      <c r="C1295" s="29" t="s">
        <v>1070</v>
      </c>
      <c r="D1295" s="30">
        <v>1</v>
      </c>
      <c r="E1295" s="29" t="s">
        <v>3062</v>
      </c>
      <c r="F1295" s="29" t="s">
        <v>1885</v>
      </c>
      <c r="G1295" s="29" t="s">
        <v>901</v>
      </c>
      <c r="H1295" s="29" t="s">
        <v>902</v>
      </c>
      <c r="I1295" s="29" t="s">
        <v>656</v>
      </c>
      <c r="J1295" s="29" t="s">
        <v>3289</v>
      </c>
    </row>
    <row r="1296" spans="1:10" ht="19.5" customHeight="1" x14ac:dyDescent="0.35">
      <c r="A1296" s="29" t="s">
        <v>896</v>
      </c>
      <c r="B1296" s="29" t="s">
        <v>3290</v>
      </c>
      <c r="C1296" s="29" t="s">
        <v>996</v>
      </c>
      <c r="D1296" s="30">
        <v>1</v>
      </c>
      <c r="E1296" s="29" t="s">
        <v>3062</v>
      </c>
      <c r="F1296" s="29" t="s">
        <v>1885</v>
      </c>
      <c r="G1296" s="29" t="s">
        <v>901</v>
      </c>
      <c r="H1296" s="29" t="s">
        <v>902</v>
      </c>
      <c r="I1296" s="29" t="s">
        <v>656</v>
      </c>
      <c r="J1296" s="29" t="s">
        <v>3291</v>
      </c>
    </row>
    <row r="1297" spans="1:10" ht="19.5" customHeight="1" x14ac:dyDescent="0.35">
      <c r="A1297" s="29" t="s">
        <v>896</v>
      </c>
      <c r="B1297" s="29" t="s">
        <v>3292</v>
      </c>
      <c r="C1297" s="29" t="s">
        <v>959</v>
      </c>
      <c r="D1297" s="30">
        <v>1</v>
      </c>
      <c r="E1297" s="29" t="s">
        <v>3062</v>
      </c>
      <c r="F1297" s="29" t="s">
        <v>1885</v>
      </c>
      <c r="G1297" s="29" t="s">
        <v>901</v>
      </c>
      <c r="H1297" s="29" t="s">
        <v>902</v>
      </c>
      <c r="I1297" s="29" t="s">
        <v>656</v>
      </c>
      <c r="J1297" s="29" t="s">
        <v>3255</v>
      </c>
    </row>
    <row r="1298" spans="1:10" ht="19.5" customHeight="1" x14ac:dyDescent="0.35">
      <c r="A1298" s="29" t="s">
        <v>896</v>
      </c>
      <c r="B1298" s="29" t="s">
        <v>3293</v>
      </c>
      <c r="C1298" s="29" t="s">
        <v>1077</v>
      </c>
      <c r="D1298" s="30">
        <v>1</v>
      </c>
      <c r="E1298" s="29" t="s">
        <v>3062</v>
      </c>
      <c r="F1298" s="29" t="s">
        <v>1885</v>
      </c>
      <c r="G1298" s="29" t="s">
        <v>901</v>
      </c>
      <c r="H1298" s="29" t="s">
        <v>902</v>
      </c>
      <c r="I1298" s="29" t="s">
        <v>656</v>
      </c>
      <c r="J1298" s="29" t="s">
        <v>2348</v>
      </c>
    </row>
    <row r="1299" spans="1:10" ht="19.5" customHeight="1" x14ac:dyDescent="0.35">
      <c r="A1299" s="29" t="s">
        <v>896</v>
      </c>
      <c r="B1299" s="29" t="s">
        <v>3294</v>
      </c>
      <c r="C1299" s="29" t="s">
        <v>1077</v>
      </c>
      <c r="D1299" s="30">
        <v>1</v>
      </c>
      <c r="E1299" s="29" t="s">
        <v>3062</v>
      </c>
      <c r="F1299" s="29" t="s">
        <v>1885</v>
      </c>
      <c r="G1299" s="29" t="s">
        <v>901</v>
      </c>
      <c r="H1299" s="29" t="s">
        <v>902</v>
      </c>
      <c r="I1299" s="29" t="s">
        <v>656</v>
      </c>
      <c r="J1299" s="29" t="s">
        <v>3295</v>
      </c>
    </row>
    <row r="1300" spans="1:10" ht="19.5" customHeight="1" x14ac:dyDescent="0.35">
      <c r="A1300" s="29" t="s">
        <v>896</v>
      </c>
      <c r="B1300" s="29" t="s">
        <v>3296</v>
      </c>
      <c r="C1300" s="29" t="s">
        <v>1122</v>
      </c>
      <c r="D1300" s="30">
        <v>1</v>
      </c>
      <c r="E1300" s="29" t="s">
        <v>3062</v>
      </c>
      <c r="F1300" s="29" t="s">
        <v>1885</v>
      </c>
      <c r="G1300" s="29" t="s">
        <v>901</v>
      </c>
      <c r="H1300" s="29" t="s">
        <v>902</v>
      </c>
      <c r="I1300" s="29" t="s">
        <v>656</v>
      </c>
      <c r="J1300" s="29" t="s">
        <v>2949</v>
      </c>
    </row>
    <row r="1301" spans="1:10" ht="19.5" customHeight="1" x14ac:dyDescent="0.35">
      <c r="A1301" s="29" t="s">
        <v>896</v>
      </c>
      <c r="B1301" s="29" t="s">
        <v>3297</v>
      </c>
      <c r="C1301" s="29" t="s">
        <v>921</v>
      </c>
      <c r="D1301" s="30">
        <v>1</v>
      </c>
      <c r="E1301" s="29" t="s">
        <v>3062</v>
      </c>
      <c r="F1301" s="29" t="s">
        <v>1885</v>
      </c>
      <c r="G1301" s="29" t="s">
        <v>901</v>
      </c>
      <c r="H1301" s="29" t="s">
        <v>902</v>
      </c>
      <c r="I1301" s="29" t="s">
        <v>656</v>
      </c>
      <c r="J1301" s="29" t="s">
        <v>3010</v>
      </c>
    </row>
    <row r="1302" spans="1:10" ht="19.5" customHeight="1" x14ac:dyDescent="0.35">
      <c r="A1302" s="29" t="s">
        <v>896</v>
      </c>
      <c r="B1302" s="29" t="s">
        <v>3298</v>
      </c>
      <c r="C1302" s="29" t="s">
        <v>963</v>
      </c>
      <c r="D1302" s="30">
        <v>1</v>
      </c>
      <c r="E1302" s="29" t="s">
        <v>3062</v>
      </c>
      <c r="F1302" s="29" t="s">
        <v>1885</v>
      </c>
      <c r="G1302" s="29" t="s">
        <v>901</v>
      </c>
      <c r="H1302" s="29" t="s">
        <v>902</v>
      </c>
      <c r="I1302" s="29" t="s">
        <v>656</v>
      </c>
      <c r="J1302" s="29" t="s">
        <v>3255</v>
      </c>
    </row>
    <row r="1303" spans="1:10" ht="19.5" customHeight="1" x14ac:dyDescent="0.35">
      <c r="A1303" s="29" t="s">
        <v>896</v>
      </c>
      <c r="B1303" s="29" t="s">
        <v>3299</v>
      </c>
      <c r="C1303" s="29" t="s">
        <v>1122</v>
      </c>
      <c r="D1303" s="30">
        <v>1</v>
      </c>
      <c r="E1303" s="29" t="s">
        <v>3062</v>
      </c>
      <c r="F1303" s="29" t="s">
        <v>1885</v>
      </c>
      <c r="G1303" s="29" t="s">
        <v>901</v>
      </c>
      <c r="H1303" s="29" t="s">
        <v>902</v>
      </c>
      <c r="I1303" s="29" t="s">
        <v>656</v>
      </c>
      <c r="J1303" s="29" t="s">
        <v>3274</v>
      </c>
    </row>
    <row r="1304" spans="1:10" ht="19.5" customHeight="1" x14ac:dyDescent="0.35">
      <c r="A1304" s="29" t="s">
        <v>896</v>
      </c>
      <c r="B1304" s="29" t="s">
        <v>3300</v>
      </c>
      <c r="C1304" s="29" t="s">
        <v>1077</v>
      </c>
      <c r="D1304" s="30">
        <v>1</v>
      </c>
      <c r="E1304" s="29" t="s">
        <v>3062</v>
      </c>
      <c r="F1304" s="29" t="s">
        <v>1885</v>
      </c>
      <c r="G1304" s="29" t="s">
        <v>901</v>
      </c>
      <c r="H1304" s="29" t="s">
        <v>902</v>
      </c>
      <c r="I1304" s="29" t="s">
        <v>656</v>
      </c>
      <c r="J1304" s="29" t="s">
        <v>3301</v>
      </c>
    </row>
    <row r="1305" spans="1:10" ht="19.5" customHeight="1" x14ac:dyDescent="0.35">
      <c r="A1305" s="29" t="s">
        <v>896</v>
      </c>
      <c r="B1305" s="29" t="s">
        <v>3302</v>
      </c>
      <c r="C1305" s="29" t="s">
        <v>1077</v>
      </c>
      <c r="D1305" s="30">
        <v>1</v>
      </c>
      <c r="E1305" s="29" t="s">
        <v>3062</v>
      </c>
      <c r="F1305" s="29" t="s">
        <v>1885</v>
      </c>
      <c r="G1305" s="29" t="s">
        <v>901</v>
      </c>
      <c r="H1305" s="29" t="s">
        <v>902</v>
      </c>
      <c r="I1305" s="29" t="s">
        <v>656</v>
      </c>
      <c r="J1305" s="29" t="s">
        <v>3295</v>
      </c>
    </row>
    <row r="1306" spans="1:10" ht="19.5" customHeight="1" x14ac:dyDescent="0.35">
      <c r="A1306" s="29" t="s">
        <v>896</v>
      </c>
      <c r="B1306" s="29" t="s">
        <v>3303</v>
      </c>
      <c r="C1306" s="29" t="s">
        <v>1122</v>
      </c>
      <c r="D1306" s="30">
        <v>1</v>
      </c>
      <c r="E1306" s="29" t="s">
        <v>3062</v>
      </c>
      <c r="F1306" s="29" t="s">
        <v>1885</v>
      </c>
      <c r="G1306" s="29" t="s">
        <v>901</v>
      </c>
      <c r="H1306" s="29" t="s">
        <v>902</v>
      </c>
      <c r="I1306" s="29" t="s">
        <v>656</v>
      </c>
      <c r="J1306" s="29" t="s">
        <v>3255</v>
      </c>
    </row>
    <row r="1307" spans="1:10" ht="19.5" customHeight="1" x14ac:dyDescent="0.35">
      <c r="A1307" s="29" t="s">
        <v>896</v>
      </c>
      <c r="B1307" s="29" t="s">
        <v>3304</v>
      </c>
      <c r="C1307" s="29" t="s">
        <v>1077</v>
      </c>
      <c r="D1307" s="30">
        <v>1</v>
      </c>
      <c r="E1307" s="29" t="s">
        <v>3062</v>
      </c>
      <c r="F1307" s="29" t="s">
        <v>1885</v>
      </c>
      <c r="G1307" s="29" t="s">
        <v>901</v>
      </c>
      <c r="H1307" s="29" t="s">
        <v>902</v>
      </c>
      <c r="I1307" s="29" t="s">
        <v>656</v>
      </c>
      <c r="J1307" s="29" t="s">
        <v>3255</v>
      </c>
    </row>
    <row r="1308" spans="1:10" ht="19.5" customHeight="1" x14ac:dyDescent="0.35">
      <c r="A1308" s="29" t="s">
        <v>896</v>
      </c>
      <c r="B1308" s="29" t="s">
        <v>3305</v>
      </c>
      <c r="C1308" s="29" t="s">
        <v>1077</v>
      </c>
      <c r="D1308" s="30">
        <v>1</v>
      </c>
      <c r="E1308" s="29" t="s">
        <v>3062</v>
      </c>
      <c r="F1308" s="29" t="s">
        <v>1885</v>
      </c>
      <c r="G1308" s="29" t="s">
        <v>901</v>
      </c>
      <c r="H1308" s="29" t="s">
        <v>902</v>
      </c>
      <c r="I1308" s="29" t="s">
        <v>656</v>
      </c>
      <c r="J1308" s="29" t="s">
        <v>3274</v>
      </c>
    </row>
    <row r="1309" spans="1:10" ht="19.5" customHeight="1" x14ac:dyDescent="0.35">
      <c r="A1309" s="29" t="s">
        <v>896</v>
      </c>
      <c r="B1309" s="29" t="s">
        <v>3306</v>
      </c>
      <c r="C1309" s="29" t="s">
        <v>1077</v>
      </c>
      <c r="D1309" s="30">
        <v>1</v>
      </c>
      <c r="E1309" s="29" t="s">
        <v>3062</v>
      </c>
      <c r="F1309" s="29" t="s">
        <v>1885</v>
      </c>
      <c r="G1309" s="29" t="s">
        <v>901</v>
      </c>
      <c r="H1309" s="29" t="s">
        <v>902</v>
      </c>
      <c r="I1309" s="29" t="s">
        <v>656</v>
      </c>
      <c r="J1309" s="29" t="s">
        <v>3307</v>
      </c>
    </row>
    <row r="1310" spans="1:10" ht="19.5" customHeight="1" x14ac:dyDescent="0.35">
      <c r="A1310" s="29" t="s">
        <v>896</v>
      </c>
      <c r="B1310" s="29" t="s">
        <v>3308</v>
      </c>
      <c r="C1310" s="29" t="s">
        <v>1122</v>
      </c>
      <c r="D1310" s="30">
        <v>1</v>
      </c>
      <c r="E1310" s="29" t="s">
        <v>3062</v>
      </c>
      <c r="F1310" s="29" t="s">
        <v>1885</v>
      </c>
      <c r="G1310" s="29" t="s">
        <v>901</v>
      </c>
      <c r="H1310" s="29" t="s">
        <v>902</v>
      </c>
      <c r="I1310" s="29" t="s">
        <v>656</v>
      </c>
      <c r="J1310" s="29" t="s">
        <v>3309</v>
      </c>
    </row>
    <row r="1311" spans="1:10" ht="19.5" customHeight="1" x14ac:dyDescent="0.35">
      <c r="A1311" s="29" t="s">
        <v>896</v>
      </c>
      <c r="B1311" s="29" t="s">
        <v>3310</v>
      </c>
      <c r="C1311" s="29" t="s">
        <v>1817</v>
      </c>
      <c r="D1311" s="30">
        <v>1</v>
      </c>
      <c r="E1311" s="29" t="s">
        <v>3065</v>
      </c>
      <c r="F1311" s="29" t="s">
        <v>1885</v>
      </c>
      <c r="G1311" s="29" t="s">
        <v>901</v>
      </c>
      <c r="H1311" s="29" t="s">
        <v>902</v>
      </c>
      <c r="I1311" s="29" t="s">
        <v>656</v>
      </c>
      <c r="J1311" s="29" t="s">
        <v>2825</v>
      </c>
    </row>
    <row r="1312" spans="1:10" ht="19.5" customHeight="1" x14ac:dyDescent="0.35">
      <c r="A1312" s="29" t="s">
        <v>896</v>
      </c>
      <c r="B1312" s="29" t="s">
        <v>3311</v>
      </c>
      <c r="C1312" s="29" t="s">
        <v>909</v>
      </c>
      <c r="D1312" s="30">
        <v>1</v>
      </c>
      <c r="E1312" s="29" t="s">
        <v>3065</v>
      </c>
      <c r="F1312" s="29" t="s">
        <v>1885</v>
      </c>
      <c r="G1312" s="29" t="s">
        <v>901</v>
      </c>
      <c r="H1312" s="29" t="s">
        <v>902</v>
      </c>
      <c r="I1312" s="29" t="s">
        <v>656</v>
      </c>
      <c r="J1312" s="29" t="s">
        <v>2734</v>
      </c>
    </row>
    <row r="1313" spans="1:10" ht="19.5" customHeight="1" x14ac:dyDescent="0.35">
      <c r="A1313" s="29" t="s">
        <v>896</v>
      </c>
      <c r="B1313" s="29" t="s">
        <v>3312</v>
      </c>
      <c r="C1313" s="29" t="s">
        <v>1143</v>
      </c>
      <c r="D1313" s="30">
        <v>1</v>
      </c>
      <c r="E1313" s="29" t="s">
        <v>3065</v>
      </c>
      <c r="F1313" s="29" t="s">
        <v>1885</v>
      </c>
      <c r="G1313" s="29" t="s">
        <v>901</v>
      </c>
      <c r="H1313" s="29" t="s">
        <v>902</v>
      </c>
      <c r="I1313" s="29" t="s">
        <v>656</v>
      </c>
      <c r="J1313" s="29" t="s">
        <v>3313</v>
      </c>
    </row>
    <row r="1314" spans="1:10" ht="19.5" customHeight="1" x14ac:dyDescent="0.35">
      <c r="A1314" s="29" t="s">
        <v>896</v>
      </c>
      <c r="B1314" s="29" t="s">
        <v>3314</v>
      </c>
      <c r="C1314" s="29" t="s">
        <v>921</v>
      </c>
      <c r="D1314" s="30">
        <v>1</v>
      </c>
      <c r="E1314" s="29" t="s">
        <v>3065</v>
      </c>
      <c r="F1314" s="29" t="s">
        <v>1885</v>
      </c>
      <c r="G1314" s="29" t="s">
        <v>901</v>
      </c>
      <c r="H1314" s="29" t="s">
        <v>902</v>
      </c>
      <c r="I1314" s="29" t="s">
        <v>656</v>
      </c>
      <c r="J1314" s="29" t="s">
        <v>3315</v>
      </c>
    </row>
    <row r="1315" spans="1:10" ht="19.5" customHeight="1" x14ac:dyDescent="0.35">
      <c r="A1315" s="29" t="s">
        <v>896</v>
      </c>
      <c r="B1315" s="29" t="s">
        <v>3316</v>
      </c>
      <c r="C1315" s="29" t="s">
        <v>1077</v>
      </c>
      <c r="D1315" s="30">
        <v>1</v>
      </c>
      <c r="E1315" s="29" t="s">
        <v>3065</v>
      </c>
      <c r="F1315" s="29" t="s">
        <v>1885</v>
      </c>
      <c r="G1315" s="29" t="s">
        <v>901</v>
      </c>
      <c r="H1315" s="29" t="s">
        <v>902</v>
      </c>
      <c r="I1315" s="29" t="s">
        <v>656</v>
      </c>
      <c r="J1315" s="29" t="s">
        <v>2956</v>
      </c>
    </row>
    <row r="1316" spans="1:10" ht="19.5" customHeight="1" x14ac:dyDescent="0.35">
      <c r="A1316" s="29" t="s">
        <v>896</v>
      </c>
      <c r="B1316" s="29" t="s">
        <v>3317</v>
      </c>
      <c r="C1316" s="29" t="s">
        <v>1077</v>
      </c>
      <c r="D1316" s="30">
        <v>1</v>
      </c>
      <c r="E1316" s="29" t="s">
        <v>3065</v>
      </c>
      <c r="F1316" s="29" t="s">
        <v>1885</v>
      </c>
      <c r="G1316" s="29" t="s">
        <v>901</v>
      </c>
      <c r="H1316" s="29" t="s">
        <v>902</v>
      </c>
      <c r="I1316" s="29" t="s">
        <v>656</v>
      </c>
      <c r="J1316" s="29" t="s">
        <v>3318</v>
      </c>
    </row>
    <row r="1317" spans="1:10" ht="19.5" customHeight="1" x14ac:dyDescent="0.35">
      <c r="A1317" s="29" t="s">
        <v>896</v>
      </c>
      <c r="B1317" s="29" t="s">
        <v>3319</v>
      </c>
      <c r="C1317" s="29" t="s">
        <v>3198</v>
      </c>
      <c r="D1317" s="30">
        <v>1</v>
      </c>
      <c r="E1317" s="29" t="s">
        <v>3065</v>
      </c>
      <c r="F1317" s="29" t="s">
        <v>1885</v>
      </c>
      <c r="G1317" s="29" t="s">
        <v>901</v>
      </c>
      <c r="H1317" s="29" t="s">
        <v>902</v>
      </c>
      <c r="I1317" s="29" t="s">
        <v>656</v>
      </c>
      <c r="J1317" s="29" t="s">
        <v>3320</v>
      </c>
    </row>
    <row r="1318" spans="1:10" ht="19.5" customHeight="1" x14ac:dyDescent="0.35">
      <c r="A1318" s="29" t="s">
        <v>896</v>
      </c>
      <c r="B1318" s="29" t="s">
        <v>3321</v>
      </c>
      <c r="C1318" s="29" t="s">
        <v>1118</v>
      </c>
      <c r="D1318" s="30">
        <v>1</v>
      </c>
      <c r="E1318" s="29" t="s">
        <v>3065</v>
      </c>
      <c r="F1318" s="29" t="s">
        <v>1885</v>
      </c>
      <c r="G1318" s="29" t="s">
        <v>901</v>
      </c>
      <c r="H1318" s="29" t="s">
        <v>902</v>
      </c>
      <c r="I1318" s="29" t="s">
        <v>656</v>
      </c>
      <c r="J1318" s="29" t="s">
        <v>1904</v>
      </c>
    </row>
    <row r="1319" spans="1:10" ht="19.5" customHeight="1" x14ac:dyDescent="0.35">
      <c r="A1319" s="29" t="s">
        <v>896</v>
      </c>
      <c r="B1319" s="29" t="s">
        <v>3322</v>
      </c>
      <c r="C1319" s="29" t="s">
        <v>1690</v>
      </c>
      <c r="D1319" s="30">
        <v>1</v>
      </c>
      <c r="E1319" s="29" t="s">
        <v>3065</v>
      </c>
      <c r="F1319" s="29" t="s">
        <v>1885</v>
      </c>
      <c r="G1319" s="29" t="s">
        <v>901</v>
      </c>
      <c r="H1319" s="29" t="s">
        <v>902</v>
      </c>
      <c r="I1319" s="29" t="s">
        <v>656</v>
      </c>
      <c r="J1319" s="29" t="s">
        <v>2956</v>
      </c>
    </row>
    <row r="1320" spans="1:10" ht="19.5" customHeight="1" x14ac:dyDescent="0.35">
      <c r="A1320" s="29" t="s">
        <v>896</v>
      </c>
      <c r="B1320" s="29" t="s">
        <v>3323</v>
      </c>
      <c r="C1320" s="29" t="s">
        <v>1136</v>
      </c>
      <c r="D1320" s="30">
        <v>1</v>
      </c>
      <c r="E1320" s="29" t="s">
        <v>3065</v>
      </c>
      <c r="F1320" s="29" t="s">
        <v>1885</v>
      </c>
      <c r="G1320" s="29" t="s">
        <v>901</v>
      </c>
      <c r="H1320" s="29" t="s">
        <v>902</v>
      </c>
      <c r="I1320" s="29" t="s">
        <v>656</v>
      </c>
      <c r="J1320" s="29" t="s">
        <v>2725</v>
      </c>
    </row>
    <row r="1321" spans="1:10" ht="19.5" customHeight="1" x14ac:dyDescent="0.35">
      <c r="A1321" s="29" t="s">
        <v>896</v>
      </c>
      <c r="B1321" s="29" t="s">
        <v>3324</v>
      </c>
      <c r="C1321" s="29" t="s">
        <v>1101</v>
      </c>
      <c r="D1321" s="30">
        <v>1</v>
      </c>
      <c r="E1321" s="29" t="s">
        <v>3065</v>
      </c>
      <c r="F1321" s="29" t="s">
        <v>1885</v>
      </c>
      <c r="G1321" s="29" t="s">
        <v>901</v>
      </c>
      <c r="H1321" s="29" t="s">
        <v>902</v>
      </c>
      <c r="I1321" s="29" t="s">
        <v>656</v>
      </c>
      <c r="J1321" s="29" t="s">
        <v>3325</v>
      </c>
    </row>
    <row r="1322" spans="1:10" ht="19.5" customHeight="1" x14ac:dyDescent="0.35">
      <c r="A1322" s="29" t="s">
        <v>896</v>
      </c>
      <c r="B1322" s="29" t="s">
        <v>3326</v>
      </c>
      <c r="C1322" s="29" t="s">
        <v>2257</v>
      </c>
      <c r="D1322" s="30">
        <v>1</v>
      </c>
      <c r="E1322" s="29" t="s">
        <v>3065</v>
      </c>
      <c r="F1322" s="29" t="s">
        <v>1885</v>
      </c>
      <c r="G1322" s="29" t="s">
        <v>901</v>
      </c>
      <c r="H1322" s="29" t="s">
        <v>902</v>
      </c>
      <c r="I1322" s="29" t="s">
        <v>656</v>
      </c>
      <c r="J1322" s="29" t="s">
        <v>2959</v>
      </c>
    </row>
    <row r="1323" spans="1:10" ht="19.5" customHeight="1" x14ac:dyDescent="0.35">
      <c r="A1323" s="29" t="s">
        <v>896</v>
      </c>
      <c r="B1323" s="29" t="s">
        <v>3327</v>
      </c>
      <c r="C1323" s="29" t="s">
        <v>1212</v>
      </c>
      <c r="D1323" s="30">
        <v>1</v>
      </c>
      <c r="E1323" s="29" t="s">
        <v>3065</v>
      </c>
      <c r="F1323" s="29" t="s">
        <v>1885</v>
      </c>
      <c r="G1323" s="29" t="s">
        <v>901</v>
      </c>
      <c r="H1323" s="29" t="s">
        <v>902</v>
      </c>
      <c r="I1323" s="29" t="s">
        <v>656</v>
      </c>
      <c r="J1323" s="29" t="s">
        <v>2825</v>
      </c>
    </row>
    <row r="1324" spans="1:10" ht="19.5" customHeight="1" x14ac:dyDescent="0.35">
      <c r="A1324" s="29" t="s">
        <v>896</v>
      </c>
      <c r="B1324" s="29" t="s">
        <v>3328</v>
      </c>
      <c r="C1324" s="29" t="s">
        <v>1091</v>
      </c>
      <c r="D1324" s="30">
        <v>1</v>
      </c>
      <c r="E1324" s="29" t="s">
        <v>3065</v>
      </c>
      <c r="F1324" s="29" t="s">
        <v>1885</v>
      </c>
      <c r="G1324" s="29" t="s">
        <v>901</v>
      </c>
      <c r="H1324" s="29" t="s">
        <v>902</v>
      </c>
      <c r="I1324" s="29" t="s">
        <v>656</v>
      </c>
      <c r="J1324" s="29" t="s">
        <v>2794</v>
      </c>
    </row>
    <row r="1325" spans="1:10" ht="19.5" customHeight="1" x14ac:dyDescent="0.35">
      <c r="A1325" s="29" t="s">
        <v>896</v>
      </c>
      <c r="B1325" s="29" t="s">
        <v>3329</v>
      </c>
      <c r="C1325" s="29" t="s">
        <v>1143</v>
      </c>
      <c r="D1325" s="30">
        <v>1</v>
      </c>
      <c r="E1325" s="29" t="s">
        <v>3065</v>
      </c>
      <c r="F1325" s="29" t="s">
        <v>1885</v>
      </c>
      <c r="G1325" s="29" t="s">
        <v>901</v>
      </c>
      <c r="H1325" s="29" t="s">
        <v>902</v>
      </c>
      <c r="I1325" s="29" t="s">
        <v>656</v>
      </c>
      <c r="J1325" s="29" t="s">
        <v>3330</v>
      </c>
    </row>
    <row r="1326" spans="1:10" ht="19.5" customHeight="1" x14ac:dyDescent="0.35">
      <c r="A1326" s="29" t="s">
        <v>896</v>
      </c>
      <c r="B1326" s="29" t="s">
        <v>3331</v>
      </c>
      <c r="C1326" s="29" t="s">
        <v>2792</v>
      </c>
      <c r="D1326" s="30">
        <v>1</v>
      </c>
      <c r="E1326" s="29" t="s">
        <v>3065</v>
      </c>
      <c r="F1326" s="29" t="s">
        <v>1885</v>
      </c>
      <c r="G1326" s="29" t="s">
        <v>901</v>
      </c>
      <c r="H1326" s="29" t="s">
        <v>902</v>
      </c>
      <c r="I1326" s="29" t="s">
        <v>656</v>
      </c>
      <c r="J1326" s="29" t="s">
        <v>2794</v>
      </c>
    </row>
    <row r="1327" spans="1:10" ht="19.5" customHeight="1" x14ac:dyDescent="0.35">
      <c r="A1327" s="29" t="s">
        <v>896</v>
      </c>
      <c r="B1327" s="29" t="s">
        <v>3332</v>
      </c>
      <c r="C1327" s="29" t="s">
        <v>1768</v>
      </c>
      <c r="D1327" s="30">
        <v>1</v>
      </c>
      <c r="E1327" s="29" t="s">
        <v>3065</v>
      </c>
      <c r="F1327" s="29" t="s">
        <v>1885</v>
      </c>
      <c r="G1327" s="29" t="s">
        <v>901</v>
      </c>
      <c r="H1327" s="29" t="s">
        <v>902</v>
      </c>
      <c r="I1327" s="29" t="s">
        <v>656</v>
      </c>
      <c r="J1327" s="29" t="s">
        <v>2794</v>
      </c>
    </row>
    <row r="1328" spans="1:10" ht="19.5" customHeight="1" x14ac:dyDescent="0.35">
      <c r="A1328" s="29" t="s">
        <v>896</v>
      </c>
      <c r="B1328" s="29" t="s">
        <v>3333</v>
      </c>
      <c r="C1328" s="29" t="s">
        <v>913</v>
      </c>
      <c r="D1328" s="30">
        <v>1</v>
      </c>
      <c r="E1328" s="29" t="s">
        <v>3065</v>
      </c>
      <c r="F1328" s="29" t="s">
        <v>1885</v>
      </c>
      <c r="G1328" s="29" t="s">
        <v>901</v>
      </c>
      <c r="H1328" s="29" t="s">
        <v>902</v>
      </c>
      <c r="I1328" s="29" t="s">
        <v>656</v>
      </c>
      <c r="J1328" s="29" t="s">
        <v>2825</v>
      </c>
    </row>
    <row r="1329" spans="1:10" ht="19.5" customHeight="1" x14ac:dyDescent="0.35">
      <c r="A1329" s="29" t="s">
        <v>896</v>
      </c>
      <c r="B1329" s="29" t="s">
        <v>3334</v>
      </c>
      <c r="C1329" s="29" t="s">
        <v>913</v>
      </c>
      <c r="D1329" s="30">
        <v>1</v>
      </c>
      <c r="E1329" s="29" t="s">
        <v>3065</v>
      </c>
      <c r="F1329" s="29" t="s">
        <v>1885</v>
      </c>
      <c r="G1329" s="29" t="s">
        <v>901</v>
      </c>
      <c r="H1329" s="29" t="s">
        <v>902</v>
      </c>
      <c r="I1329" s="29" t="s">
        <v>656</v>
      </c>
      <c r="J1329" s="29" t="s">
        <v>2734</v>
      </c>
    </row>
    <row r="1330" spans="1:10" ht="19.5" customHeight="1" x14ac:dyDescent="0.35">
      <c r="A1330" s="29" t="s">
        <v>896</v>
      </c>
      <c r="B1330" s="29" t="s">
        <v>3335</v>
      </c>
      <c r="C1330" s="29" t="s">
        <v>1143</v>
      </c>
      <c r="D1330" s="30">
        <v>1</v>
      </c>
      <c r="E1330" s="29" t="s">
        <v>3065</v>
      </c>
      <c r="F1330" s="29" t="s">
        <v>1885</v>
      </c>
      <c r="G1330" s="29" t="s">
        <v>901</v>
      </c>
      <c r="H1330" s="29" t="s">
        <v>902</v>
      </c>
      <c r="I1330" s="29" t="s">
        <v>656</v>
      </c>
      <c r="J1330" s="29" t="s">
        <v>2956</v>
      </c>
    </row>
    <row r="1331" spans="1:10" ht="19.5" customHeight="1" x14ac:dyDescent="0.35">
      <c r="A1331" s="29" t="s">
        <v>896</v>
      </c>
      <c r="B1331" s="29" t="s">
        <v>3336</v>
      </c>
      <c r="C1331" s="29" t="s">
        <v>1659</v>
      </c>
      <c r="D1331" s="30">
        <v>1</v>
      </c>
      <c r="E1331" s="29" t="s">
        <v>3065</v>
      </c>
      <c r="F1331" s="29" t="s">
        <v>1885</v>
      </c>
      <c r="G1331" s="29" t="s">
        <v>901</v>
      </c>
      <c r="H1331" s="29" t="s">
        <v>902</v>
      </c>
      <c r="I1331" s="29" t="s">
        <v>656</v>
      </c>
      <c r="J1331" s="29" t="s">
        <v>2956</v>
      </c>
    </row>
    <row r="1332" spans="1:10" ht="19.5" customHeight="1" x14ac:dyDescent="0.35">
      <c r="A1332" s="29" t="s">
        <v>896</v>
      </c>
      <c r="B1332" s="29" t="s">
        <v>3337</v>
      </c>
      <c r="C1332" s="29" t="s">
        <v>963</v>
      </c>
      <c r="D1332" s="30">
        <v>1</v>
      </c>
      <c r="E1332" s="29" t="s">
        <v>3065</v>
      </c>
      <c r="F1332" s="29" t="s">
        <v>1885</v>
      </c>
      <c r="G1332" s="29" t="s">
        <v>901</v>
      </c>
      <c r="H1332" s="29" t="s">
        <v>902</v>
      </c>
      <c r="I1332" s="29" t="s">
        <v>656</v>
      </c>
      <c r="J1332" s="29" t="s">
        <v>3338</v>
      </c>
    </row>
    <row r="1333" spans="1:10" ht="19.5" customHeight="1" x14ac:dyDescent="0.35">
      <c r="A1333" s="29" t="s">
        <v>896</v>
      </c>
      <c r="B1333" s="29" t="s">
        <v>3339</v>
      </c>
      <c r="C1333" s="29" t="s">
        <v>1084</v>
      </c>
      <c r="D1333" s="30">
        <v>1</v>
      </c>
      <c r="E1333" s="29" t="s">
        <v>3065</v>
      </c>
      <c r="F1333" s="29" t="s">
        <v>1885</v>
      </c>
      <c r="G1333" s="29" t="s">
        <v>901</v>
      </c>
      <c r="H1333" s="29" t="s">
        <v>902</v>
      </c>
      <c r="I1333" s="29" t="s">
        <v>656</v>
      </c>
      <c r="J1333" s="29" t="s">
        <v>3340</v>
      </c>
    </row>
    <row r="1334" spans="1:10" ht="19.5" customHeight="1" x14ac:dyDescent="0.35">
      <c r="A1334" s="29" t="s">
        <v>896</v>
      </c>
      <c r="B1334" s="29" t="s">
        <v>3341</v>
      </c>
      <c r="C1334" s="29" t="s">
        <v>1122</v>
      </c>
      <c r="D1334" s="30">
        <v>1</v>
      </c>
      <c r="E1334" s="29" t="s">
        <v>3065</v>
      </c>
      <c r="F1334" s="29" t="s">
        <v>1885</v>
      </c>
      <c r="G1334" s="29" t="s">
        <v>901</v>
      </c>
      <c r="H1334" s="29" t="s">
        <v>902</v>
      </c>
      <c r="I1334" s="29" t="s">
        <v>656</v>
      </c>
      <c r="J1334" s="29" t="s">
        <v>3342</v>
      </c>
    </row>
    <row r="1335" spans="1:10" ht="19.5" customHeight="1" x14ac:dyDescent="0.35">
      <c r="A1335" s="29" t="s">
        <v>896</v>
      </c>
      <c r="B1335" s="29" t="s">
        <v>3343</v>
      </c>
      <c r="C1335" s="29" t="s">
        <v>921</v>
      </c>
      <c r="D1335" s="30">
        <v>1</v>
      </c>
      <c r="E1335" s="29" t="s">
        <v>3065</v>
      </c>
      <c r="F1335" s="29" t="s">
        <v>1885</v>
      </c>
      <c r="G1335" s="29" t="s">
        <v>901</v>
      </c>
      <c r="H1335" s="29" t="s">
        <v>902</v>
      </c>
      <c r="I1335" s="29" t="s">
        <v>656</v>
      </c>
      <c r="J1335" s="29" t="s">
        <v>3344</v>
      </c>
    </row>
    <row r="1336" spans="1:10" ht="19.5" customHeight="1" x14ac:dyDescent="0.35">
      <c r="A1336" s="29" t="s">
        <v>896</v>
      </c>
      <c r="B1336" s="29" t="s">
        <v>3345</v>
      </c>
      <c r="C1336" s="29" t="s">
        <v>1143</v>
      </c>
      <c r="D1336" s="30">
        <v>1</v>
      </c>
      <c r="E1336" s="29" t="s">
        <v>3065</v>
      </c>
      <c r="F1336" s="29" t="s">
        <v>1885</v>
      </c>
      <c r="G1336" s="29" t="s">
        <v>901</v>
      </c>
      <c r="H1336" s="29" t="s">
        <v>902</v>
      </c>
      <c r="I1336" s="29" t="s">
        <v>656</v>
      </c>
      <c r="J1336" s="29" t="s">
        <v>2956</v>
      </c>
    </row>
    <row r="1337" spans="1:10" ht="19.5" customHeight="1" x14ac:dyDescent="0.35">
      <c r="A1337" s="29" t="s">
        <v>896</v>
      </c>
      <c r="B1337" s="29" t="s">
        <v>3346</v>
      </c>
      <c r="C1337" s="29" t="s">
        <v>1077</v>
      </c>
      <c r="D1337" s="30">
        <v>1</v>
      </c>
      <c r="E1337" s="29" t="s">
        <v>3065</v>
      </c>
      <c r="F1337" s="29" t="s">
        <v>1885</v>
      </c>
      <c r="G1337" s="29" t="s">
        <v>901</v>
      </c>
      <c r="H1337" s="29" t="s">
        <v>902</v>
      </c>
      <c r="I1337" s="29" t="s">
        <v>656</v>
      </c>
      <c r="J1337" s="29" t="s">
        <v>3347</v>
      </c>
    </row>
    <row r="1338" spans="1:10" ht="19.5" customHeight="1" x14ac:dyDescent="0.35">
      <c r="A1338" s="29" t="s">
        <v>896</v>
      </c>
      <c r="B1338" s="29" t="s">
        <v>3348</v>
      </c>
      <c r="C1338" s="29" t="s">
        <v>1157</v>
      </c>
      <c r="D1338" s="30">
        <v>1</v>
      </c>
      <c r="E1338" s="29" t="s">
        <v>3065</v>
      </c>
      <c r="F1338" s="29" t="s">
        <v>1885</v>
      </c>
      <c r="G1338" s="29" t="s">
        <v>901</v>
      </c>
      <c r="H1338" s="29" t="s">
        <v>902</v>
      </c>
      <c r="I1338" s="29" t="s">
        <v>656</v>
      </c>
      <c r="J1338" s="29" t="s">
        <v>3349</v>
      </c>
    </row>
    <row r="1339" spans="1:10" ht="19.5" customHeight="1" x14ac:dyDescent="0.35">
      <c r="A1339" s="29" t="s">
        <v>896</v>
      </c>
      <c r="B1339" s="29" t="s">
        <v>3350</v>
      </c>
      <c r="C1339" s="29" t="s">
        <v>996</v>
      </c>
      <c r="D1339" s="30">
        <v>1</v>
      </c>
      <c r="E1339" s="29" t="s">
        <v>3065</v>
      </c>
      <c r="F1339" s="29" t="s">
        <v>1885</v>
      </c>
      <c r="G1339" s="29" t="s">
        <v>901</v>
      </c>
      <c r="H1339" s="29" t="s">
        <v>902</v>
      </c>
      <c r="I1339" s="29" t="s">
        <v>656</v>
      </c>
      <c r="J1339" s="29" t="s">
        <v>2734</v>
      </c>
    </row>
    <row r="1340" spans="1:10" ht="19.5" customHeight="1" x14ac:dyDescent="0.35">
      <c r="A1340" s="29" t="s">
        <v>896</v>
      </c>
      <c r="B1340" s="29" t="s">
        <v>3351</v>
      </c>
      <c r="C1340" s="29" t="s">
        <v>2792</v>
      </c>
      <c r="D1340" s="30">
        <v>1</v>
      </c>
      <c r="E1340" s="29" t="s">
        <v>3065</v>
      </c>
      <c r="F1340" s="29" t="s">
        <v>1885</v>
      </c>
      <c r="G1340" s="29" t="s">
        <v>901</v>
      </c>
      <c r="H1340" s="29" t="s">
        <v>902</v>
      </c>
      <c r="I1340" s="29" t="s">
        <v>656</v>
      </c>
      <c r="J1340" s="29" t="s">
        <v>3352</v>
      </c>
    </row>
    <row r="1341" spans="1:10" ht="19.5" customHeight="1" x14ac:dyDescent="0.35">
      <c r="A1341" s="29" t="s">
        <v>896</v>
      </c>
      <c r="B1341" s="29" t="s">
        <v>3353</v>
      </c>
      <c r="C1341" s="29" t="s">
        <v>913</v>
      </c>
      <c r="D1341" s="30">
        <v>1</v>
      </c>
      <c r="E1341" s="29" t="s">
        <v>3065</v>
      </c>
      <c r="F1341" s="29" t="s">
        <v>1885</v>
      </c>
      <c r="G1341" s="29" t="s">
        <v>901</v>
      </c>
      <c r="H1341" s="29" t="s">
        <v>902</v>
      </c>
      <c r="I1341" s="29" t="s">
        <v>656</v>
      </c>
      <c r="J1341" s="29" t="s">
        <v>2734</v>
      </c>
    </row>
    <row r="1342" spans="1:10" ht="19.5" customHeight="1" x14ac:dyDescent="0.35">
      <c r="A1342" s="29" t="s">
        <v>896</v>
      </c>
      <c r="B1342" s="29" t="s">
        <v>3354</v>
      </c>
      <c r="C1342" s="29" t="s">
        <v>1101</v>
      </c>
      <c r="D1342" s="30">
        <v>1</v>
      </c>
      <c r="E1342" s="29" t="s">
        <v>3065</v>
      </c>
      <c r="F1342" s="29" t="s">
        <v>1885</v>
      </c>
      <c r="G1342" s="29" t="s">
        <v>901</v>
      </c>
      <c r="H1342" s="29" t="s">
        <v>902</v>
      </c>
      <c r="I1342" s="29" t="s">
        <v>656</v>
      </c>
      <c r="J1342" s="29" t="s">
        <v>2825</v>
      </c>
    </row>
    <row r="1343" spans="1:10" ht="19.5" customHeight="1" x14ac:dyDescent="0.35">
      <c r="A1343" s="29" t="s">
        <v>896</v>
      </c>
      <c r="B1343" s="29" t="s">
        <v>3355</v>
      </c>
      <c r="C1343" s="29" t="s">
        <v>921</v>
      </c>
      <c r="D1343" s="30">
        <v>1</v>
      </c>
      <c r="E1343" s="29" t="s">
        <v>3065</v>
      </c>
      <c r="F1343" s="29" t="s">
        <v>1885</v>
      </c>
      <c r="G1343" s="29" t="s">
        <v>901</v>
      </c>
      <c r="H1343" s="29" t="s">
        <v>902</v>
      </c>
      <c r="I1343" s="29" t="s">
        <v>656</v>
      </c>
      <c r="J1343" s="29" t="s">
        <v>3356</v>
      </c>
    </row>
    <row r="1344" spans="1:10" ht="19.5" customHeight="1" x14ac:dyDescent="0.35">
      <c r="A1344" s="29" t="s">
        <v>896</v>
      </c>
      <c r="B1344" s="29" t="s">
        <v>3357</v>
      </c>
      <c r="C1344" s="29" t="s">
        <v>1070</v>
      </c>
      <c r="D1344" s="30">
        <v>1</v>
      </c>
      <c r="E1344" s="29" t="s">
        <v>3065</v>
      </c>
      <c r="F1344" s="29" t="s">
        <v>1885</v>
      </c>
      <c r="G1344" s="29" t="s">
        <v>901</v>
      </c>
      <c r="H1344" s="29" t="s">
        <v>902</v>
      </c>
      <c r="I1344" s="29" t="s">
        <v>656</v>
      </c>
      <c r="J1344" s="29" t="s">
        <v>3315</v>
      </c>
    </row>
    <row r="1345" spans="1:10" ht="19.5" customHeight="1" x14ac:dyDescent="0.35">
      <c r="A1345" s="29" t="s">
        <v>896</v>
      </c>
      <c r="B1345" s="29" t="s">
        <v>3358</v>
      </c>
      <c r="C1345" s="29" t="s">
        <v>1817</v>
      </c>
      <c r="D1345" s="30">
        <v>1</v>
      </c>
      <c r="E1345" s="29" t="s">
        <v>3065</v>
      </c>
      <c r="F1345" s="29" t="s">
        <v>1885</v>
      </c>
      <c r="G1345" s="29" t="s">
        <v>901</v>
      </c>
      <c r="H1345" s="29" t="s">
        <v>902</v>
      </c>
      <c r="I1345" s="29" t="s">
        <v>656</v>
      </c>
      <c r="J1345" s="29" t="s">
        <v>3359</v>
      </c>
    </row>
    <row r="1346" spans="1:10" ht="19.5" customHeight="1" x14ac:dyDescent="0.35">
      <c r="A1346" s="29" t="s">
        <v>896</v>
      </c>
      <c r="B1346" s="29" t="s">
        <v>3360</v>
      </c>
      <c r="C1346" s="29" t="s">
        <v>1009</v>
      </c>
      <c r="D1346" s="30">
        <v>1</v>
      </c>
      <c r="E1346" s="29" t="s">
        <v>3065</v>
      </c>
      <c r="F1346" s="29" t="s">
        <v>1885</v>
      </c>
      <c r="G1346" s="29" t="s">
        <v>901</v>
      </c>
      <c r="H1346" s="29" t="s">
        <v>902</v>
      </c>
      <c r="I1346" s="29" t="s">
        <v>656</v>
      </c>
      <c r="J1346" s="29" t="s">
        <v>2959</v>
      </c>
    </row>
    <row r="1347" spans="1:10" ht="19.5" customHeight="1" x14ac:dyDescent="0.35">
      <c r="A1347" s="29" t="s">
        <v>896</v>
      </c>
      <c r="B1347" s="29" t="s">
        <v>3361</v>
      </c>
      <c r="C1347" s="29" t="s">
        <v>921</v>
      </c>
      <c r="D1347" s="30">
        <v>1</v>
      </c>
      <c r="E1347" s="29" t="s">
        <v>3065</v>
      </c>
      <c r="F1347" s="29" t="s">
        <v>1885</v>
      </c>
      <c r="G1347" s="29" t="s">
        <v>901</v>
      </c>
      <c r="H1347" s="29" t="s">
        <v>902</v>
      </c>
      <c r="I1347" s="29" t="s">
        <v>656</v>
      </c>
      <c r="J1347" s="29" t="s">
        <v>3344</v>
      </c>
    </row>
    <row r="1348" spans="1:10" ht="19.5" customHeight="1" x14ac:dyDescent="0.35">
      <c r="A1348" s="29" t="s">
        <v>896</v>
      </c>
      <c r="B1348" s="29" t="s">
        <v>3362</v>
      </c>
      <c r="C1348" s="29" t="s">
        <v>989</v>
      </c>
      <c r="D1348" s="30">
        <v>1</v>
      </c>
      <c r="E1348" s="29" t="s">
        <v>3065</v>
      </c>
      <c r="F1348" s="29" t="s">
        <v>1885</v>
      </c>
      <c r="G1348" s="29" t="s">
        <v>901</v>
      </c>
      <c r="H1348" s="29" t="s">
        <v>902</v>
      </c>
      <c r="I1348" s="29" t="s">
        <v>656</v>
      </c>
      <c r="J1348" s="29" t="s">
        <v>3363</v>
      </c>
    </row>
    <row r="1349" spans="1:10" ht="19.5" customHeight="1" x14ac:dyDescent="0.35">
      <c r="A1349" s="29" t="s">
        <v>896</v>
      </c>
      <c r="B1349" s="29" t="s">
        <v>3364</v>
      </c>
      <c r="C1349" s="29" t="s">
        <v>1817</v>
      </c>
      <c r="D1349" s="30">
        <v>1</v>
      </c>
      <c r="E1349" s="29" t="s">
        <v>3065</v>
      </c>
      <c r="F1349" s="29" t="s">
        <v>1885</v>
      </c>
      <c r="G1349" s="29" t="s">
        <v>901</v>
      </c>
      <c r="H1349" s="29" t="s">
        <v>902</v>
      </c>
      <c r="I1349" s="29" t="s">
        <v>656</v>
      </c>
      <c r="J1349" s="29" t="s">
        <v>1904</v>
      </c>
    </row>
    <row r="1350" spans="1:10" ht="19.5" customHeight="1" x14ac:dyDescent="0.35">
      <c r="A1350" s="29" t="s">
        <v>896</v>
      </c>
      <c r="B1350" s="29" t="s">
        <v>3365</v>
      </c>
      <c r="C1350" s="29" t="s">
        <v>2792</v>
      </c>
      <c r="D1350" s="30">
        <v>1</v>
      </c>
      <c r="E1350" s="29" t="s">
        <v>3065</v>
      </c>
      <c r="F1350" s="29" t="s">
        <v>1885</v>
      </c>
      <c r="G1350" s="29" t="s">
        <v>901</v>
      </c>
      <c r="H1350" s="29" t="s">
        <v>902</v>
      </c>
      <c r="I1350" s="29" t="s">
        <v>656</v>
      </c>
      <c r="J1350" s="29" t="s">
        <v>2794</v>
      </c>
    </row>
    <row r="1351" spans="1:10" ht="19.5" customHeight="1" x14ac:dyDescent="0.35">
      <c r="A1351" s="29" t="s">
        <v>896</v>
      </c>
      <c r="B1351" s="29" t="s">
        <v>3366</v>
      </c>
      <c r="C1351" s="29" t="s">
        <v>1122</v>
      </c>
      <c r="D1351" s="30">
        <v>1</v>
      </c>
      <c r="E1351" s="29" t="s">
        <v>3065</v>
      </c>
      <c r="F1351" s="29" t="s">
        <v>1885</v>
      </c>
      <c r="G1351" s="29" t="s">
        <v>901</v>
      </c>
      <c r="H1351" s="29" t="s">
        <v>902</v>
      </c>
      <c r="I1351" s="29" t="s">
        <v>656</v>
      </c>
      <c r="J1351" s="29" t="s">
        <v>2956</v>
      </c>
    </row>
    <row r="1352" spans="1:10" ht="19.5" customHeight="1" x14ac:dyDescent="0.35">
      <c r="A1352" s="29" t="s">
        <v>896</v>
      </c>
      <c r="B1352" s="29" t="s">
        <v>3367</v>
      </c>
      <c r="C1352" s="29" t="s">
        <v>1077</v>
      </c>
      <c r="D1352" s="30">
        <v>1</v>
      </c>
      <c r="E1352" s="29" t="s">
        <v>3065</v>
      </c>
      <c r="F1352" s="29" t="s">
        <v>1885</v>
      </c>
      <c r="G1352" s="29" t="s">
        <v>901</v>
      </c>
      <c r="H1352" s="29" t="s">
        <v>902</v>
      </c>
      <c r="I1352" s="29" t="s">
        <v>656</v>
      </c>
      <c r="J1352" s="29" t="s">
        <v>2621</v>
      </c>
    </row>
    <row r="1353" spans="1:10" ht="19.5" customHeight="1" x14ac:dyDescent="0.35">
      <c r="A1353" s="29" t="s">
        <v>896</v>
      </c>
      <c r="B1353" s="29" t="s">
        <v>3368</v>
      </c>
      <c r="C1353" s="29" t="s">
        <v>1136</v>
      </c>
      <c r="D1353" s="30">
        <v>1</v>
      </c>
      <c r="E1353" s="29" t="s">
        <v>3065</v>
      </c>
      <c r="F1353" s="29" t="s">
        <v>1885</v>
      </c>
      <c r="G1353" s="29" t="s">
        <v>901</v>
      </c>
      <c r="H1353" s="29" t="s">
        <v>902</v>
      </c>
      <c r="I1353" s="29" t="s">
        <v>656</v>
      </c>
      <c r="J1353" s="29" t="s">
        <v>2954</v>
      </c>
    </row>
    <row r="1354" spans="1:10" ht="19.5" customHeight="1" x14ac:dyDescent="0.35">
      <c r="A1354" s="29" t="s">
        <v>896</v>
      </c>
      <c r="B1354" s="29" t="s">
        <v>3369</v>
      </c>
      <c r="C1354" s="29" t="s">
        <v>1009</v>
      </c>
      <c r="D1354" s="30">
        <v>1</v>
      </c>
      <c r="E1354" s="29" t="s">
        <v>3065</v>
      </c>
      <c r="F1354" s="29" t="s">
        <v>1885</v>
      </c>
      <c r="G1354" s="29" t="s">
        <v>901</v>
      </c>
      <c r="H1354" s="29" t="s">
        <v>902</v>
      </c>
      <c r="I1354" s="29" t="s">
        <v>656</v>
      </c>
      <c r="J1354" s="29" t="s">
        <v>1904</v>
      </c>
    </row>
    <row r="1355" spans="1:10" ht="19.5" customHeight="1" x14ac:dyDescent="0.35">
      <c r="A1355" s="29" t="s">
        <v>896</v>
      </c>
      <c r="B1355" s="29" t="s">
        <v>3370</v>
      </c>
      <c r="C1355" s="29" t="s">
        <v>989</v>
      </c>
      <c r="D1355" s="30">
        <v>1</v>
      </c>
      <c r="E1355" s="29" t="s">
        <v>3065</v>
      </c>
      <c r="F1355" s="29" t="s">
        <v>1885</v>
      </c>
      <c r="G1355" s="29" t="s">
        <v>901</v>
      </c>
      <c r="H1355" s="29" t="s">
        <v>902</v>
      </c>
      <c r="I1355" s="29" t="s">
        <v>656</v>
      </c>
      <c r="J1355" s="29" t="s">
        <v>2734</v>
      </c>
    </row>
    <row r="1356" spans="1:10" ht="19.5" customHeight="1" x14ac:dyDescent="0.35">
      <c r="A1356" s="29" t="s">
        <v>896</v>
      </c>
      <c r="B1356" s="29" t="s">
        <v>3371</v>
      </c>
      <c r="C1356" s="29" t="s">
        <v>963</v>
      </c>
      <c r="D1356" s="30">
        <v>1</v>
      </c>
      <c r="E1356" s="29" t="s">
        <v>3065</v>
      </c>
      <c r="F1356" s="29" t="s">
        <v>1885</v>
      </c>
      <c r="G1356" s="29" t="s">
        <v>901</v>
      </c>
      <c r="H1356" s="29" t="s">
        <v>902</v>
      </c>
      <c r="I1356" s="29" t="s">
        <v>656</v>
      </c>
      <c r="J1356" s="29" t="s">
        <v>3372</v>
      </c>
    </row>
    <row r="1357" spans="1:10" ht="19.5" customHeight="1" x14ac:dyDescent="0.35">
      <c r="A1357" s="29" t="s">
        <v>896</v>
      </c>
      <c r="B1357" s="29" t="s">
        <v>3373</v>
      </c>
      <c r="C1357" s="29" t="s">
        <v>921</v>
      </c>
      <c r="D1357" s="30">
        <v>1</v>
      </c>
      <c r="E1357" s="29" t="s">
        <v>3065</v>
      </c>
      <c r="F1357" s="29" t="s">
        <v>1885</v>
      </c>
      <c r="G1357" s="29" t="s">
        <v>901</v>
      </c>
      <c r="H1357" s="29" t="s">
        <v>902</v>
      </c>
      <c r="I1357" s="29" t="s">
        <v>656</v>
      </c>
      <c r="J1357" s="29" t="s">
        <v>3356</v>
      </c>
    </row>
    <row r="1358" spans="1:10" ht="19.5" customHeight="1" x14ac:dyDescent="0.35">
      <c r="A1358" s="29" t="s">
        <v>896</v>
      </c>
      <c r="B1358" s="29" t="s">
        <v>3374</v>
      </c>
      <c r="C1358" s="29" t="s">
        <v>989</v>
      </c>
      <c r="D1358" s="30">
        <v>1</v>
      </c>
      <c r="E1358" s="29" t="s">
        <v>3065</v>
      </c>
      <c r="F1358" s="29" t="s">
        <v>1885</v>
      </c>
      <c r="G1358" s="29" t="s">
        <v>901</v>
      </c>
      <c r="H1358" s="29" t="s">
        <v>902</v>
      </c>
      <c r="I1358" s="29" t="s">
        <v>656</v>
      </c>
      <c r="J1358" s="29" t="s">
        <v>2825</v>
      </c>
    </row>
    <row r="1359" spans="1:10" ht="19.5" customHeight="1" x14ac:dyDescent="0.35">
      <c r="A1359" s="29" t="s">
        <v>896</v>
      </c>
      <c r="B1359" s="29" t="s">
        <v>3375</v>
      </c>
      <c r="C1359" s="29" t="s">
        <v>3052</v>
      </c>
      <c r="D1359" s="30">
        <v>1</v>
      </c>
      <c r="E1359" s="29" t="s">
        <v>3065</v>
      </c>
      <c r="F1359" s="29" t="s">
        <v>1885</v>
      </c>
      <c r="G1359" s="29" t="s">
        <v>901</v>
      </c>
      <c r="H1359" s="29" t="s">
        <v>902</v>
      </c>
      <c r="I1359" s="29" t="s">
        <v>656</v>
      </c>
      <c r="J1359" s="29" t="s">
        <v>3376</v>
      </c>
    </row>
    <row r="1360" spans="1:10" ht="19.5" customHeight="1" x14ac:dyDescent="0.35">
      <c r="A1360" s="29" t="s">
        <v>896</v>
      </c>
      <c r="B1360" s="29" t="s">
        <v>3377</v>
      </c>
      <c r="C1360" s="29" t="s">
        <v>1494</v>
      </c>
      <c r="D1360" s="30">
        <v>1</v>
      </c>
      <c r="E1360" s="29" t="s">
        <v>3065</v>
      </c>
      <c r="F1360" s="29" t="s">
        <v>1885</v>
      </c>
      <c r="G1360" s="29" t="s">
        <v>901</v>
      </c>
      <c r="H1360" s="29" t="s">
        <v>902</v>
      </c>
      <c r="I1360" s="29" t="s">
        <v>656</v>
      </c>
      <c r="J1360" s="29" t="s">
        <v>3378</v>
      </c>
    </row>
    <row r="1361" spans="1:10" ht="19.5" customHeight="1" x14ac:dyDescent="0.35">
      <c r="A1361" s="29" t="s">
        <v>896</v>
      </c>
      <c r="B1361" s="29" t="s">
        <v>3379</v>
      </c>
      <c r="C1361" s="29" t="s">
        <v>921</v>
      </c>
      <c r="D1361" s="30">
        <v>1</v>
      </c>
      <c r="E1361" s="29" t="s">
        <v>3065</v>
      </c>
      <c r="F1361" s="29" t="s">
        <v>1885</v>
      </c>
      <c r="G1361" s="29" t="s">
        <v>901</v>
      </c>
      <c r="H1361" s="29" t="s">
        <v>902</v>
      </c>
      <c r="I1361" s="29" t="s">
        <v>656</v>
      </c>
      <c r="J1361" s="29" t="s">
        <v>3380</v>
      </c>
    </row>
    <row r="1362" spans="1:10" ht="19.5" customHeight="1" x14ac:dyDescent="0.35">
      <c r="A1362" s="29" t="s">
        <v>896</v>
      </c>
      <c r="B1362" s="29" t="s">
        <v>3381</v>
      </c>
      <c r="C1362" s="29" t="s">
        <v>989</v>
      </c>
      <c r="D1362" s="30">
        <v>1</v>
      </c>
      <c r="E1362" s="29" t="s">
        <v>3065</v>
      </c>
      <c r="F1362" s="29" t="s">
        <v>1885</v>
      </c>
      <c r="G1362" s="29" t="s">
        <v>901</v>
      </c>
      <c r="H1362" s="29" t="s">
        <v>902</v>
      </c>
      <c r="I1362" s="29" t="s">
        <v>656</v>
      </c>
      <c r="J1362" s="29" t="s">
        <v>3382</v>
      </c>
    </row>
    <row r="1363" spans="1:10" ht="19.5" customHeight="1" x14ac:dyDescent="0.35">
      <c r="A1363" s="29" t="s">
        <v>896</v>
      </c>
      <c r="B1363" s="29" t="s">
        <v>3383</v>
      </c>
      <c r="C1363" s="29" t="s">
        <v>1101</v>
      </c>
      <c r="D1363" s="30">
        <v>1</v>
      </c>
      <c r="E1363" s="29" t="s">
        <v>3065</v>
      </c>
      <c r="F1363" s="29" t="s">
        <v>1885</v>
      </c>
      <c r="G1363" s="29" t="s">
        <v>901</v>
      </c>
      <c r="H1363" s="29" t="s">
        <v>902</v>
      </c>
      <c r="I1363" s="29" t="s">
        <v>656</v>
      </c>
      <c r="J1363" s="29" t="s">
        <v>3384</v>
      </c>
    </row>
    <row r="1364" spans="1:10" ht="19.5" customHeight="1" x14ac:dyDescent="0.35">
      <c r="A1364" s="29" t="s">
        <v>896</v>
      </c>
      <c r="B1364" s="29" t="s">
        <v>3385</v>
      </c>
      <c r="C1364" s="29" t="s">
        <v>1077</v>
      </c>
      <c r="D1364" s="30">
        <v>1</v>
      </c>
      <c r="E1364" s="29" t="s">
        <v>3065</v>
      </c>
      <c r="F1364" s="29" t="s">
        <v>1885</v>
      </c>
      <c r="G1364" s="29" t="s">
        <v>901</v>
      </c>
      <c r="H1364" s="29" t="s">
        <v>902</v>
      </c>
      <c r="I1364" s="29" t="s">
        <v>656</v>
      </c>
      <c r="J1364" s="29" t="s">
        <v>3386</v>
      </c>
    </row>
    <row r="1365" spans="1:10" ht="19.5" customHeight="1" x14ac:dyDescent="0.35">
      <c r="A1365" s="29" t="s">
        <v>896</v>
      </c>
      <c r="B1365" s="29" t="s">
        <v>3387</v>
      </c>
      <c r="C1365" s="29" t="s">
        <v>1077</v>
      </c>
      <c r="D1365" s="30">
        <v>1</v>
      </c>
      <c r="E1365" s="29" t="s">
        <v>3065</v>
      </c>
      <c r="F1365" s="29" t="s">
        <v>1885</v>
      </c>
      <c r="G1365" s="29" t="s">
        <v>901</v>
      </c>
      <c r="H1365" s="29" t="s">
        <v>902</v>
      </c>
      <c r="I1365" s="29" t="s">
        <v>656</v>
      </c>
      <c r="J1365" s="29" t="s">
        <v>2800</v>
      </c>
    </row>
    <row r="1366" spans="1:10" ht="19.5" customHeight="1" x14ac:dyDescent="0.35">
      <c r="A1366" s="29" t="s">
        <v>896</v>
      </c>
      <c r="B1366" s="29" t="s">
        <v>3388</v>
      </c>
      <c r="C1366" s="29" t="s">
        <v>1077</v>
      </c>
      <c r="D1366" s="30">
        <v>1</v>
      </c>
      <c r="E1366" s="29" t="s">
        <v>3065</v>
      </c>
      <c r="F1366" s="29" t="s">
        <v>1885</v>
      </c>
      <c r="G1366" s="29" t="s">
        <v>901</v>
      </c>
      <c r="H1366" s="29" t="s">
        <v>902</v>
      </c>
      <c r="I1366" s="29" t="s">
        <v>656</v>
      </c>
      <c r="J1366" s="29" t="s">
        <v>2621</v>
      </c>
    </row>
    <row r="1367" spans="1:10" ht="19.5" customHeight="1" x14ac:dyDescent="0.35">
      <c r="A1367" s="29" t="s">
        <v>896</v>
      </c>
      <c r="B1367" s="29" t="s">
        <v>3389</v>
      </c>
      <c r="C1367" s="29" t="s">
        <v>1077</v>
      </c>
      <c r="D1367" s="30">
        <v>1</v>
      </c>
      <c r="E1367" s="29" t="s">
        <v>3065</v>
      </c>
      <c r="F1367" s="29" t="s">
        <v>1885</v>
      </c>
      <c r="G1367" s="29" t="s">
        <v>901</v>
      </c>
      <c r="H1367" s="29" t="s">
        <v>902</v>
      </c>
      <c r="I1367" s="29" t="s">
        <v>656</v>
      </c>
      <c r="J1367" s="29" t="s">
        <v>2621</v>
      </c>
    </row>
    <row r="1368" spans="1:10" ht="19.5" customHeight="1" x14ac:dyDescent="0.35">
      <c r="A1368" s="29" t="s">
        <v>896</v>
      </c>
      <c r="B1368" s="29" t="s">
        <v>3390</v>
      </c>
      <c r="C1368" s="29" t="s">
        <v>963</v>
      </c>
      <c r="D1368" s="30">
        <v>1</v>
      </c>
      <c r="E1368" s="29" t="s">
        <v>3065</v>
      </c>
      <c r="F1368" s="29" t="s">
        <v>1885</v>
      </c>
      <c r="G1368" s="29" t="s">
        <v>901</v>
      </c>
      <c r="H1368" s="29" t="s">
        <v>902</v>
      </c>
      <c r="I1368" s="29" t="s">
        <v>656</v>
      </c>
      <c r="J1368" s="29" t="s">
        <v>2954</v>
      </c>
    </row>
    <row r="1369" spans="1:10" ht="19.5" customHeight="1" x14ac:dyDescent="0.35">
      <c r="A1369" s="29" t="s">
        <v>896</v>
      </c>
      <c r="B1369" s="29" t="s">
        <v>3391</v>
      </c>
      <c r="C1369" s="29" t="s">
        <v>1817</v>
      </c>
      <c r="D1369" s="30">
        <v>1</v>
      </c>
      <c r="E1369" s="29" t="s">
        <v>3065</v>
      </c>
      <c r="F1369" s="29" t="s">
        <v>1885</v>
      </c>
      <c r="G1369" s="29" t="s">
        <v>901</v>
      </c>
      <c r="H1369" s="29" t="s">
        <v>902</v>
      </c>
      <c r="I1369" s="29" t="s">
        <v>656</v>
      </c>
      <c r="J1369" s="29" t="s">
        <v>2794</v>
      </c>
    </row>
    <row r="1370" spans="1:10" ht="19.5" customHeight="1" x14ac:dyDescent="0.35">
      <c r="A1370" s="29" t="s">
        <v>896</v>
      </c>
      <c r="B1370" s="29" t="s">
        <v>3392</v>
      </c>
      <c r="C1370" s="29" t="s">
        <v>1077</v>
      </c>
      <c r="D1370" s="30">
        <v>1</v>
      </c>
      <c r="E1370" s="29" t="s">
        <v>3065</v>
      </c>
      <c r="F1370" s="29" t="s">
        <v>1885</v>
      </c>
      <c r="G1370" s="29" t="s">
        <v>901</v>
      </c>
      <c r="H1370" s="29" t="s">
        <v>902</v>
      </c>
      <c r="I1370" s="29" t="s">
        <v>656</v>
      </c>
      <c r="J1370" s="29" t="s">
        <v>2825</v>
      </c>
    </row>
    <row r="1371" spans="1:10" ht="19.5" customHeight="1" x14ac:dyDescent="0.35">
      <c r="A1371" s="29" t="s">
        <v>896</v>
      </c>
      <c r="B1371" s="29" t="s">
        <v>3393</v>
      </c>
      <c r="C1371" s="29" t="s">
        <v>1143</v>
      </c>
      <c r="D1371" s="30">
        <v>1</v>
      </c>
      <c r="E1371" s="29" t="s">
        <v>3065</v>
      </c>
      <c r="F1371" s="29" t="s">
        <v>1885</v>
      </c>
      <c r="G1371" s="29" t="s">
        <v>901</v>
      </c>
      <c r="H1371" s="29" t="s">
        <v>902</v>
      </c>
      <c r="I1371" s="29" t="s">
        <v>656</v>
      </c>
      <c r="J1371" s="29" t="s">
        <v>2956</v>
      </c>
    </row>
    <row r="1372" spans="1:10" ht="19.5" customHeight="1" x14ac:dyDescent="0.35">
      <c r="A1372" s="29" t="s">
        <v>896</v>
      </c>
      <c r="B1372" s="29" t="s">
        <v>3394</v>
      </c>
      <c r="C1372" s="29" t="s">
        <v>1582</v>
      </c>
      <c r="D1372" s="30">
        <v>1</v>
      </c>
      <c r="E1372" s="29" t="s">
        <v>3065</v>
      </c>
      <c r="F1372" s="29" t="s">
        <v>1885</v>
      </c>
      <c r="G1372" s="29" t="s">
        <v>901</v>
      </c>
      <c r="H1372" s="29" t="s">
        <v>902</v>
      </c>
      <c r="I1372" s="29" t="s">
        <v>656</v>
      </c>
      <c r="J1372" s="29" t="s">
        <v>2825</v>
      </c>
    </row>
    <row r="1373" spans="1:10" ht="19.5" customHeight="1" x14ac:dyDescent="0.35">
      <c r="A1373" s="29" t="s">
        <v>896</v>
      </c>
      <c r="B1373" s="29" t="s">
        <v>3395</v>
      </c>
      <c r="C1373" s="29" t="s">
        <v>925</v>
      </c>
      <c r="D1373" s="30">
        <v>1</v>
      </c>
      <c r="E1373" s="29" t="s">
        <v>3065</v>
      </c>
      <c r="F1373" s="29" t="s">
        <v>1885</v>
      </c>
      <c r="G1373" s="29" t="s">
        <v>901</v>
      </c>
      <c r="H1373" s="29" t="s">
        <v>902</v>
      </c>
      <c r="I1373" s="29" t="s">
        <v>656</v>
      </c>
      <c r="J1373" s="29" t="s">
        <v>3396</v>
      </c>
    </row>
    <row r="1374" spans="1:10" ht="19.5" customHeight="1" x14ac:dyDescent="0.35">
      <c r="A1374" s="29" t="s">
        <v>896</v>
      </c>
      <c r="B1374" s="29" t="s">
        <v>3397</v>
      </c>
      <c r="C1374" s="29" t="s">
        <v>2160</v>
      </c>
      <c r="D1374" s="30">
        <v>1</v>
      </c>
      <c r="E1374" s="29" t="s">
        <v>3065</v>
      </c>
      <c r="F1374" s="29" t="s">
        <v>1885</v>
      </c>
      <c r="G1374" s="29" t="s">
        <v>901</v>
      </c>
      <c r="H1374" s="29" t="s">
        <v>902</v>
      </c>
      <c r="I1374" s="29" t="s">
        <v>656</v>
      </c>
      <c r="J1374" s="29" t="s">
        <v>2794</v>
      </c>
    </row>
    <row r="1375" spans="1:10" ht="19.5" customHeight="1" x14ac:dyDescent="0.35">
      <c r="A1375" s="29" t="s">
        <v>896</v>
      </c>
      <c r="B1375" s="29" t="s">
        <v>3398</v>
      </c>
      <c r="C1375" s="29" t="s">
        <v>1077</v>
      </c>
      <c r="D1375" s="30">
        <v>1</v>
      </c>
      <c r="E1375" s="29" t="s">
        <v>3065</v>
      </c>
      <c r="F1375" s="29" t="s">
        <v>1885</v>
      </c>
      <c r="G1375" s="29" t="s">
        <v>901</v>
      </c>
      <c r="H1375" s="29" t="s">
        <v>902</v>
      </c>
      <c r="I1375" s="29" t="s">
        <v>656</v>
      </c>
      <c r="J1375" s="29" t="s">
        <v>2621</v>
      </c>
    </row>
    <row r="1376" spans="1:10" ht="19.5" customHeight="1" x14ac:dyDescent="0.35">
      <c r="A1376" s="29" t="s">
        <v>896</v>
      </c>
      <c r="B1376" s="29" t="s">
        <v>3399</v>
      </c>
      <c r="C1376" s="29" t="s">
        <v>1490</v>
      </c>
      <c r="D1376" s="30">
        <v>1</v>
      </c>
      <c r="E1376" s="29" t="s">
        <v>3065</v>
      </c>
      <c r="F1376" s="29" t="s">
        <v>1885</v>
      </c>
      <c r="G1376" s="29" t="s">
        <v>901</v>
      </c>
      <c r="H1376" s="29" t="s">
        <v>902</v>
      </c>
      <c r="I1376" s="29" t="s">
        <v>656</v>
      </c>
      <c r="J1376" s="29" t="s">
        <v>2794</v>
      </c>
    </row>
    <row r="1377" spans="1:10" ht="19.5" customHeight="1" x14ac:dyDescent="0.35">
      <c r="A1377" s="29" t="s">
        <v>896</v>
      </c>
      <c r="B1377" s="29" t="s">
        <v>3400</v>
      </c>
      <c r="C1377" s="29" t="s">
        <v>1077</v>
      </c>
      <c r="D1377" s="30">
        <v>1</v>
      </c>
      <c r="E1377" s="29" t="s">
        <v>3065</v>
      </c>
      <c r="F1377" s="29" t="s">
        <v>1885</v>
      </c>
      <c r="G1377" s="29" t="s">
        <v>901</v>
      </c>
      <c r="H1377" s="29" t="s">
        <v>902</v>
      </c>
      <c r="I1377" s="29" t="s">
        <v>656</v>
      </c>
      <c r="J1377" s="29" t="s">
        <v>3401</v>
      </c>
    </row>
    <row r="1378" spans="1:10" ht="19.5" customHeight="1" x14ac:dyDescent="0.35">
      <c r="A1378" s="29" t="s">
        <v>896</v>
      </c>
      <c r="B1378" s="29" t="s">
        <v>3402</v>
      </c>
      <c r="C1378" s="29"/>
      <c r="D1378" s="30">
        <v>1</v>
      </c>
      <c r="E1378" s="29" t="s">
        <v>3065</v>
      </c>
      <c r="F1378" s="29" t="s">
        <v>1885</v>
      </c>
      <c r="G1378" s="29" t="s">
        <v>901</v>
      </c>
      <c r="H1378" s="29" t="s">
        <v>902</v>
      </c>
      <c r="I1378" s="29" t="s">
        <v>656</v>
      </c>
      <c r="J1378" s="29" t="s">
        <v>2956</v>
      </c>
    </row>
    <row r="1379" spans="1:10" ht="19.5" customHeight="1" x14ac:dyDescent="0.35">
      <c r="A1379" s="29" t="s">
        <v>896</v>
      </c>
      <c r="B1379" s="29" t="s">
        <v>3403</v>
      </c>
      <c r="C1379" s="29" t="s">
        <v>3404</v>
      </c>
      <c r="D1379" s="30">
        <v>1</v>
      </c>
      <c r="E1379" s="29" t="s">
        <v>3070</v>
      </c>
      <c r="F1379" s="29" t="s">
        <v>1885</v>
      </c>
      <c r="G1379" s="29" t="s">
        <v>901</v>
      </c>
      <c r="H1379" s="29" t="s">
        <v>902</v>
      </c>
      <c r="I1379" s="29" t="s">
        <v>656</v>
      </c>
      <c r="J1379" s="29" t="s">
        <v>2649</v>
      </c>
    </row>
    <row r="1380" spans="1:10" ht="19.5" customHeight="1" x14ac:dyDescent="0.35">
      <c r="A1380" s="29" t="s">
        <v>896</v>
      </c>
      <c r="B1380" s="29" t="s">
        <v>3405</v>
      </c>
      <c r="C1380" s="29" t="s">
        <v>1240</v>
      </c>
      <c r="D1380" s="30">
        <v>1</v>
      </c>
      <c r="E1380" s="29" t="s">
        <v>3070</v>
      </c>
      <c r="F1380" s="29" t="s">
        <v>1885</v>
      </c>
      <c r="G1380" s="29" t="s">
        <v>901</v>
      </c>
      <c r="H1380" s="29" t="s">
        <v>902</v>
      </c>
      <c r="I1380" s="29" t="s">
        <v>656</v>
      </c>
      <c r="J1380" s="29" t="s">
        <v>2443</v>
      </c>
    </row>
    <row r="1381" spans="1:10" ht="19.5" customHeight="1" x14ac:dyDescent="0.35">
      <c r="A1381" s="29" t="s">
        <v>896</v>
      </c>
      <c r="B1381" s="29" t="s">
        <v>3406</v>
      </c>
      <c r="C1381" s="29" t="s">
        <v>1009</v>
      </c>
      <c r="D1381" s="30">
        <v>1</v>
      </c>
      <c r="E1381" s="29" t="s">
        <v>3070</v>
      </c>
      <c r="F1381" s="29" t="s">
        <v>1885</v>
      </c>
      <c r="G1381" s="29" t="s">
        <v>901</v>
      </c>
      <c r="H1381" s="29" t="s">
        <v>902</v>
      </c>
      <c r="I1381" s="29" t="s">
        <v>656</v>
      </c>
      <c r="J1381" s="29" t="s">
        <v>2443</v>
      </c>
    </row>
    <row r="1382" spans="1:10" ht="19.5" customHeight="1" x14ac:dyDescent="0.35">
      <c r="A1382" s="29" t="s">
        <v>896</v>
      </c>
      <c r="B1382" s="29" t="s">
        <v>3407</v>
      </c>
      <c r="C1382" s="29" t="s">
        <v>1009</v>
      </c>
      <c r="D1382" s="30">
        <v>1</v>
      </c>
      <c r="E1382" s="29" t="s">
        <v>3070</v>
      </c>
      <c r="F1382" s="29" t="s">
        <v>1885</v>
      </c>
      <c r="G1382" s="29" t="s">
        <v>901</v>
      </c>
      <c r="H1382" s="29" t="s">
        <v>902</v>
      </c>
      <c r="I1382" s="29" t="s">
        <v>656</v>
      </c>
      <c r="J1382" s="29" t="s">
        <v>2965</v>
      </c>
    </row>
    <row r="1383" spans="1:10" ht="19.5" customHeight="1" x14ac:dyDescent="0.35">
      <c r="A1383" s="29" t="s">
        <v>896</v>
      </c>
      <c r="B1383" s="29" t="s">
        <v>3408</v>
      </c>
      <c r="C1383" s="29" t="s">
        <v>909</v>
      </c>
      <c r="D1383" s="30">
        <v>1</v>
      </c>
      <c r="E1383" s="29" t="s">
        <v>3070</v>
      </c>
      <c r="F1383" s="29" t="s">
        <v>1885</v>
      </c>
      <c r="G1383" s="29" t="s">
        <v>901</v>
      </c>
      <c r="H1383" s="29" t="s">
        <v>902</v>
      </c>
      <c r="I1383" s="29" t="s">
        <v>656</v>
      </c>
      <c r="J1383" s="29" t="s">
        <v>2222</v>
      </c>
    </row>
    <row r="1384" spans="1:10" ht="19.5" customHeight="1" x14ac:dyDescent="0.35">
      <c r="A1384" s="29" t="s">
        <v>896</v>
      </c>
      <c r="B1384" s="29" t="s">
        <v>3409</v>
      </c>
      <c r="C1384" s="29" t="s">
        <v>946</v>
      </c>
      <c r="D1384" s="30">
        <v>1</v>
      </c>
      <c r="E1384" s="29" t="s">
        <v>3070</v>
      </c>
      <c r="F1384" s="29" t="s">
        <v>1885</v>
      </c>
      <c r="G1384" s="29" t="s">
        <v>901</v>
      </c>
      <c r="H1384" s="29" t="s">
        <v>902</v>
      </c>
      <c r="I1384" s="29" t="s">
        <v>656</v>
      </c>
      <c r="J1384" s="29" t="s">
        <v>2222</v>
      </c>
    </row>
    <row r="1385" spans="1:10" ht="19.5" customHeight="1" x14ac:dyDescent="0.35">
      <c r="A1385" s="29" t="s">
        <v>896</v>
      </c>
      <c r="B1385" s="29" t="s">
        <v>3410</v>
      </c>
      <c r="C1385" s="29" t="s">
        <v>3411</v>
      </c>
      <c r="D1385" s="30">
        <v>1</v>
      </c>
      <c r="E1385" s="29" t="s">
        <v>3070</v>
      </c>
      <c r="F1385" s="29" t="s">
        <v>1885</v>
      </c>
      <c r="G1385" s="29" t="s">
        <v>901</v>
      </c>
      <c r="H1385" s="29" t="s">
        <v>902</v>
      </c>
      <c r="I1385" s="29" t="s">
        <v>656</v>
      </c>
      <c r="J1385" s="29" t="s">
        <v>2222</v>
      </c>
    </row>
    <row r="1386" spans="1:10" ht="19.5" customHeight="1" x14ac:dyDescent="0.35">
      <c r="A1386" s="29" t="s">
        <v>896</v>
      </c>
      <c r="B1386" s="29" t="s">
        <v>3412</v>
      </c>
      <c r="C1386" s="29" t="s">
        <v>3413</v>
      </c>
      <c r="D1386" s="30">
        <v>1</v>
      </c>
      <c r="E1386" s="29" t="s">
        <v>3070</v>
      </c>
      <c r="F1386" s="29" t="s">
        <v>1885</v>
      </c>
      <c r="G1386" s="29" t="s">
        <v>901</v>
      </c>
      <c r="H1386" s="29" t="s">
        <v>902</v>
      </c>
      <c r="I1386" s="29" t="s">
        <v>656</v>
      </c>
      <c r="J1386" s="29" t="s">
        <v>2222</v>
      </c>
    </row>
    <row r="1387" spans="1:10" ht="19.5" customHeight="1" x14ac:dyDescent="0.35">
      <c r="A1387" s="29" t="s">
        <v>896</v>
      </c>
      <c r="B1387" s="29" t="s">
        <v>3414</v>
      </c>
      <c r="C1387" s="29" t="s">
        <v>2971</v>
      </c>
      <c r="D1387" s="30">
        <v>1</v>
      </c>
      <c r="E1387" s="29" t="s">
        <v>3070</v>
      </c>
      <c r="F1387" s="29" t="s">
        <v>1885</v>
      </c>
      <c r="G1387" s="29" t="s">
        <v>901</v>
      </c>
      <c r="H1387" s="29" t="s">
        <v>902</v>
      </c>
      <c r="I1387" s="29" t="s">
        <v>656</v>
      </c>
      <c r="J1387" s="29" t="s">
        <v>2222</v>
      </c>
    </row>
    <row r="1388" spans="1:10" ht="19.5" customHeight="1" x14ac:dyDescent="0.35">
      <c r="A1388" s="29" t="s">
        <v>896</v>
      </c>
      <c r="B1388" s="29" t="s">
        <v>3415</v>
      </c>
      <c r="C1388" s="29" t="s">
        <v>1136</v>
      </c>
      <c r="D1388" s="30">
        <v>1</v>
      </c>
      <c r="E1388" s="29" t="s">
        <v>3070</v>
      </c>
      <c r="F1388" s="29" t="s">
        <v>1885</v>
      </c>
      <c r="G1388" s="29" t="s">
        <v>901</v>
      </c>
      <c r="H1388" s="29" t="s">
        <v>902</v>
      </c>
      <c r="I1388" s="29" t="s">
        <v>656</v>
      </c>
      <c r="J1388" s="29" t="s">
        <v>2965</v>
      </c>
    </row>
    <row r="1389" spans="1:10" ht="19.5" customHeight="1" x14ac:dyDescent="0.35">
      <c r="A1389" s="29" t="s">
        <v>896</v>
      </c>
      <c r="B1389" s="29" t="s">
        <v>3416</v>
      </c>
      <c r="C1389" s="29" t="s">
        <v>1136</v>
      </c>
      <c r="D1389" s="30">
        <v>1</v>
      </c>
      <c r="E1389" s="29" t="s">
        <v>3070</v>
      </c>
      <c r="F1389" s="29" t="s">
        <v>1885</v>
      </c>
      <c r="G1389" s="29" t="s">
        <v>901</v>
      </c>
      <c r="H1389" s="29" t="s">
        <v>902</v>
      </c>
      <c r="I1389" s="29" t="s">
        <v>656</v>
      </c>
      <c r="J1389" s="29" t="s">
        <v>2965</v>
      </c>
    </row>
    <row r="1390" spans="1:10" ht="19.5" customHeight="1" x14ac:dyDescent="0.35">
      <c r="A1390" s="29" t="s">
        <v>896</v>
      </c>
      <c r="B1390" s="29" t="s">
        <v>3417</v>
      </c>
      <c r="C1390" s="29" t="s">
        <v>905</v>
      </c>
      <c r="D1390" s="30">
        <v>1</v>
      </c>
      <c r="E1390" s="29" t="s">
        <v>3070</v>
      </c>
      <c r="F1390" s="29" t="s">
        <v>1885</v>
      </c>
      <c r="G1390" s="29" t="s">
        <v>901</v>
      </c>
      <c r="H1390" s="29" t="s">
        <v>902</v>
      </c>
      <c r="I1390" s="29" t="s">
        <v>656</v>
      </c>
      <c r="J1390" s="29" t="s">
        <v>2692</v>
      </c>
    </row>
    <row r="1391" spans="1:10" ht="19.5" customHeight="1" x14ac:dyDescent="0.35">
      <c r="A1391" s="29" t="s">
        <v>896</v>
      </c>
      <c r="B1391" s="29" t="s">
        <v>3418</v>
      </c>
      <c r="C1391" s="29" t="s">
        <v>1118</v>
      </c>
      <c r="D1391" s="30">
        <v>1</v>
      </c>
      <c r="E1391" s="29" t="s">
        <v>3070</v>
      </c>
      <c r="F1391" s="29" t="s">
        <v>1885</v>
      </c>
      <c r="G1391" s="29" t="s">
        <v>901</v>
      </c>
      <c r="H1391" s="29" t="s">
        <v>902</v>
      </c>
      <c r="I1391" s="29" t="s">
        <v>656</v>
      </c>
      <c r="J1391" s="29" t="s">
        <v>2443</v>
      </c>
    </row>
    <row r="1392" spans="1:10" ht="19.5" customHeight="1" x14ac:dyDescent="0.35">
      <c r="A1392" s="29" t="s">
        <v>896</v>
      </c>
      <c r="B1392" s="29" t="s">
        <v>3419</v>
      </c>
      <c r="C1392" s="29" t="s">
        <v>3404</v>
      </c>
      <c r="D1392" s="30">
        <v>1</v>
      </c>
      <c r="E1392" s="29" t="s">
        <v>3070</v>
      </c>
      <c r="F1392" s="29" t="s">
        <v>1885</v>
      </c>
      <c r="G1392" s="29" t="s">
        <v>901</v>
      </c>
      <c r="H1392" s="29" t="s">
        <v>902</v>
      </c>
      <c r="I1392" s="29" t="s">
        <v>656</v>
      </c>
      <c r="J1392" s="29" t="s">
        <v>2829</v>
      </c>
    </row>
    <row r="1393" spans="1:10" ht="19.5" customHeight="1" x14ac:dyDescent="0.35">
      <c r="A1393" s="29" t="s">
        <v>896</v>
      </c>
      <c r="B1393" s="29" t="s">
        <v>3420</v>
      </c>
      <c r="C1393" s="29" t="s">
        <v>1118</v>
      </c>
      <c r="D1393" s="30">
        <v>1</v>
      </c>
      <c r="E1393" s="29" t="s">
        <v>3070</v>
      </c>
      <c r="F1393" s="29" t="s">
        <v>1885</v>
      </c>
      <c r="G1393" s="29" t="s">
        <v>901</v>
      </c>
      <c r="H1393" s="29" t="s">
        <v>902</v>
      </c>
      <c r="I1393" s="29" t="s">
        <v>656</v>
      </c>
      <c r="J1393" s="29" t="s">
        <v>2965</v>
      </c>
    </row>
    <row r="1394" spans="1:10" ht="19.5" customHeight="1" x14ac:dyDescent="0.35">
      <c r="A1394" s="29" t="s">
        <v>896</v>
      </c>
      <c r="B1394" s="29" t="s">
        <v>3421</v>
      </c>
      <c r="C1394" s="29" t="s">
        <v>3404</v>
      </c>
      <c r="D1394" s="30">
        <v>1</v>
      </c>
      <c r="E1394" s="29" t="s">
        <v>3070</v>
      </c>
      <c r="F1394" s="29" t="s">
        <v>1885</v>
      </c>
      <c r="G1394" s="29" t="s">
        <v>901</v>
      </c>
      <c r="H1394" s="29" t="s">
        <v>902</v>
      </c>
      <c r="I1394" s="29" t="s">
        <v>656</v>
      </c>
      <c r="J1394" s="29" t="s">
        <v>2829</v>
      </c>
    </row>
    <row r="1395" spans="1:10" ht="19.5" customHeight="1" x14ac:dyDescent="0.35">
      <c r="A1395" s="29" t="s">
        <v>896</v>
      </c>
      <c r="B1395" s="29" t="s">
        <v>3422</v>
      </c>
      <c r="C1395" s="29" t="s">
        <v>1118</v>
      </c>
      <c r="D1395" s="30">
        <v>1</v>
      </c>
      <c r="E1395" s="29" t="s">
        <v>3070</v>
      </c>
      <c r="F1395" s="29" t="s">
        <v>1885</v>
      </c>
      <c r="G1395" s="29" t="s">
        <v>901</v>
      </c>
      <c r="H1395" s="29" t="s">
        <v>902</v>
      </c>
      <c r="I1395" s="29" t="s">
        <v>656</v>
      </c>
      <c r="J1395" s="29" t="s">
        <v>2222</v>
      </c>
    </row>
    <row r="1396" spans="1:10" ht="19.5" customHeight="1" x14ac:dyDescent="0.35">
      <c r="A1396" s="29" t="s">
        <v>896</v>
      </c>
      <c r="B1396" s="29" t="s">
        <v>3423</v>
      </c>
      <c r="C1396" s="29" t="s">
        <v>1143</v>
      </c>
      <c r="D1396" s="30">
        <v>1</v>
      </c>
      <c r="E1396" s="29" t="s">
        <v>3070</v>
      </c>
      <c r="F1396" s="29" t="s">
        <v>1885</v>
      </c>
      <c r="G1396" s="29" t="s">
        <v>901</v>
      </c>
      <c r="H1396" s="29" t="s">
        <v>902</v>
      </c>
      <c r="I1396" s="29" t="s">
        <v>656</v>
      </c>
      <c r="J1396" s="29" t="s">
        <v>2985</v>
      </c>
    </row>
    <row r="1397" spans="1:10" ht="19.5" customHeight="1" x14ac:dyDescent="0.35">
      <c r="A1397" s="29" t="s">
        <v>896</v>
      </c>
      <c r="B1397" s="29" t="s">
        <v>3424</v>
      </c>
      <c r="C1397" s="29" t="s">
        <v>929</v>
      </c>
      <c r="D1397" s="30">
        <v>1</v>
      </c>
      <c r="E1397" s="29" t="s">
        <v>3070</v>
      </c>
      <c r="F1397" s="29" t="s">
        <v>1885</v>
      </c>
      <c r="G1397" s="29" t="s">
        <v>901</v>
      </c>
      <c r="H1397" s="29" t="s">
        <v>902</v>
      </c>
      <c r="I1397" s="29" t="s">
        <v>656</v>
      </c>
      <c r="J1397" s="29" t="s">
        <v>2829</v>
      </c>
    </row>
    <row r="1398" spans="1:10" ht="19.5" customHeight="1" x14ac:dyDescent="0.35">
      <c r="A1398" s="29" t="s">
        <v>896</v>
      </c>
      <c r="B1398" s="29" t="s">
        <v>3425</v>
      </c>
      <c r="C1398" s="29" t="s">
        <v>1077</v>
      </c>
      <c r="D1398" s="30">
        <v>1</v>
      </c>
      <c r="E1398" s="29" t="s">
        <v>3070</v>
      </c>
      <c r="F1398" s="29" t="s">
        <v>1885</v>
      </c>
      <c r="G1398" s="29" t="s">
        <v>901</v>
      </c>
      <c r="H1398" s="29" t="s">
        <v>902</v>
      </c>
      <c r="I1398" s="29" t="s">
        <v>656</v>
      </c>
      <c r="J1398" s="29" t="s">
        <v>2222</v>
      </c>
    </row>
    <row r="1399" spans="1:10" ht="19.5" customHeight="1" x14ac:dyDescent="0.35">
      <c r="A1399" s="29" t="s">
        <v>896</v>
      </c>
      <c r="B1399" s="29" t="s">
        <v>3426</v>
      </c>
      <c r="C1399" s="29" t="s">
        <v>1077</v>
      </c>
      <c r="D1399" s="30">
        <v>1</v>
      </c>
      <c r="E1399" s="29" t="s">
        <v>3070</v>
      </c>
      <c r="F1399" s="29" t="s">
        <v>1885</v>
      </c>
      <c r="G1399" s="29" t="s">
        <v>901</v>
      </c>
      <c r="H1399" s="29" t="s">
        <v>902</v>
      </c>
      <c r="I1399" s="29" t="s">
        <v>656</v>
      </c>
      <c r="J1399" s="29" t="s">
        <v>2649</v>
      </c>
    </row>
    <row r="1400" spans="1:10" ht="19.5" customHeight="1" x14ac:dyDescent="0.35">
      <c r="A1400" s="29" t="s">
        <v>896</v>
      </c>
      <c r="B1400" s="29" t="s">
        <v>3427</v>
      </c>
      <c r="C1400" s="29" t="s">
        <v>2257</v>
      </c>
      <c r="D1400" s="30">
        <v>1</v>
      </c>
      <c r="E1400" s="29" t="s">
        <v>3070</v>
      </c>
      <c r="F1400" s="29" t="s">
        <v>1885</v>
      </c>
      <c r="G1400" s="29" t="s">
        <v>901</v>
      </c>
      <c r="H1400" s="29" t="s">
        <v>902</v>
      </c>
      <c r="I1400" s="29" t="s">
        <v>656</v>
      </c>
      <c r="J1400" s="29" t="s">
        <v>2443</v>
      </c>
    </row>
    <row r="1401" spans="1:10" ht="19.5" customHeight="1" x14ac:dyDescent="0.35">
      <c r="A1401" s="29" t="s">
        <v>896</v>
      </c>
      <c r="B1401" s="29" t="s">
        <v>3428</v>
      </c>
      <c r="C1401" s="29" t="s">
        <v>1817</v>
      </c>
      <c r="D1401" s="30">
        <v>1</v>
      </c>
      <c r="E1401" s="29" t="s">
        <v>3070</v>
      </c>
      <c r="F1401" s="29" t="s">
        <v>1885</v>
      </c>
      <c r="G1401" s="29" t="s">
        <v>901</v>
      </c>
      <c r="H1401" s="29" t="s">
        <v>902</v>
      </c>
      <c r="I1401" s="29" t="s">
        <v>656</v>
      </c>
      <c r="J1401" s="29" t="s">
        <v>2803</v>
      </c>
    </row>
    <row r="1402" spans="1:10" ht="19.5" customHeight="1" x14ac:dyDescent="0.35">
      <c r="A1402" s="29" t="s">
        <v>896</v>
      </c>
      <c r="B1402" s="29" t="s">
        <v>3429</v>
      </c>
      <c r="C1402" s="29" t="s">
        <v>1817</v>
      </c>
      <c r="D1402" s="30">
        <v>1</v>
      </c>
      <c r="E1402" s="29" t="s">
        <v>3070</v>
      </c>
      <c r="F1402" s="29" t="s">
        <v>1885</v>
      </c>
      <c r="G1402" s="29" t="s">
        <v>901</v>
      </c>
      <c r="H1402" s="29" t="s">
        <v>902</v>
      </c>
      <c r="I1402" s="29" t="s">
        <v>656</v>
      </c>
      <c r="J1402" s="29" t="s">
        <v>2443</v>
      </c>
    </row>
    <row r="1403" spans="1:10" ht="19.5" customHeight="1" x14ac:dyDescent="0.35">
      <c r="A1403" s="29" t="s">
        <v>896</v>
      </c>
      <c r="B1403" s="29" t="s">
        <v>3430</v>
      </c>
      <c r="C1403" s="29" t="s">
        <v>2602</v>
      </c>
      <c r="D1403" s="30">
        <v>1</v>
      </c>
      <c r="E1403" s="29" t="s">
        <v>3070</v>
      </c>
      <c r="F1403" s="29" t="s">
        <v>1885</v>
      </c>
      <c r="G1403" s="29" t="s">
        <v>901</v>
      </c>
      <c r="H1403" s="29" t="s">
        <v>902</v>
      </c>
      <c r="I1403" s="29" t="s">
        <v>656</v>
      </c>
      <c r="J1403" s="29" t="s">
        <v>2222</v>
      </c>
    </row>
    <row r="1404" spans="1:10" ht="19.5" customHeight="1" x14ac:dyDescent="0.35">
      <c r="A1404" s="29" t="s">
        <v>896</v>
      </c>
      <c r="B1404" s="29" t="s">
        <v>3431</v>
      </c>
      <c r="C1404" s="29" t="s">
        <v>1690</v>
      </c>
      <c r="D1404" s="30">
        <v>1</v>
      </c>
      <c r="E1404" s="29" t="s">
        <v>3070</v>
      </c>
      <c r="F1404" s="29" t="s">
        <v>1885</v>
      </c>
      <c r="G1404" s="29" t="s">
        <v>901</v>
      </c>
      <c r="H1404" s="29" t="s">
        <v>902</v>
      </c>
      <c r="I1404" s="29" t="s">
        <v>656</v>
      </c>
      <c r="J1404" s="29" t="s">
        <v>2803</v>
      </c>
    </row>
    <row r="1405" spans="1:10" ht="19.5" customHeight="1" x14ac:dyDescent="0.35">
      <c r="A1405" s="29" t="s">
        <v>896</v>
      </c>
      <c r="B1405" s="29" t="s">
        <v>3432</v>
      </c>
      <c r="C1405" s="29" t="s">
        <v>1136</v>
      </c>
      <c r="D1405" s="30">
        <v>1</v>
      </c>
      <c r="E1405" s="29" t="s">
        <v>3070</v>
      </c>
      <c r="F1405" s="29" t="s">
        <v>1885</v>
      </c>
      <c r="G1405" s="29" t="s">
        <v>901</v>
      </c>
      <c r="H1405" s="29" t="s">
        <v>902</v>
      </c>
      <c r="I1405" s="29" t="s">
        <v>656</v>
      </c>
      <c r="J1405" s="29" t="s">
        <v>2095</v>
      </c>
    </row>
    <row r="1406" spans="1:10" ht="19.5" customHeight="1" x14ac:dyDescent="0.35">
      <c r="A1406" s="29" t="s">
        <v>896</v>
      </c>
      <c r="B1406" s="29" t="s">
        <v>3433</v>
      </c>
      <c r="C1406" s="29" t="s">
        <v>913</v>
      </c>
      <c r="D1406" s="30">
        <v>1</v>
      </c>
      <c r="E1406" s="29" t="s">
        <v>3070</v>
      </c>
      <c r="F1406" s="29" t="s">
        <v>1885</v>
      </c>
      <c r="G1406" s="29" t="s">
        <v>901</v>
      </c>
      <c r="H1406" s="29" t="s">
        <v>902</v>
      </c>
      <c r="I1406" s="29" t="s">
        <v>656</v>
      </c>
      <c r="J1406" s="29" t="s">
        <v>2692</v>
      </c>
    </row>
    <row r="1407" spans="1:10" ht="19.5" customHeight="1" x14ac:dyDescent="0.35">
      <c r="A1407" s="29" t="s">
        <v>896</v>
      </c>
      <c r="B1407" s="29" t="s">
        <v>3434</v>
      </c>
      <c r="C1407" s="29" t="s">
        <v>1817</v>
      </c>
      <c r="D1407" s="30">
        <v>1</v>
      </c>
      <c r="E1407" s="29" t="s">
        <v>3070</v>
      </c>
      <c r="F1407" s="29" t="s">
        <v>1885</v>
      </c>
      <c r="G1407" s="29" t="s">
        <v>901</v>
      </c>
      <c r="H1407" s="29" t="s">
        <v>902</v>
      </c>
      <c r="I1407" s="29" t="s">
        <v>656</v>
      </c>
      <c r="J1407" s="29" t="s">
        <v>2649</v>
      </c>
    </row>
    <row r="1408" spans="1:10" ht="19.5" customHeight="1" x14ac:dyDescent="0.35">
      <c r="A1408" s="29" t="s">
        <v>896</v>
      </c>
      <c r="B1408" s="29" t="s">
        <v>3435</v>
      </c>
      <c r="C1408" s="29" t="s">
        <v>1077</v>
      </c>
      <c r="D1408" s="30">
        <v>1</v>
      </c>
      <c r="E1408" s="29" t="s">
        <v>3070</v>
      </c>
      <c r="F1408" s="29" t="s">
        <v>1885</v>
      </c>
      <c r="G1408" s="29" t="s">
        <v>901</v>
      </c>
      <c r="H1408" s="29" t="s">
        <v>902</v>
      </c>
      <c r="I1408" s="29" t="s">
        <v>656</v>
      </c>
      <c r="J1408" s="29" t="s">
        <v>2443</v>
      </c>
    </row>
    <row r="1409" spans="1:10" ht="19.5" customHeight="1" x14ac:dyDescent="0.35">
      <c r="A1409" s="29" t="s">
        <v>896</v>
      </c>
      <c r="B1409" s="29" t="s">
        <v>3436</v>
      </c>
      <c r="C1409" s="29" t="s">
        <v>2257</v>
      </c>
      <c r="D1409" s="30">
        <v>1</v>
      </c>
      <c r="E1409" s="29" t="s">
        <v>3070</v>
      </c>
      <c r="F1409" s="29" t="s">
        <v>1885</v>
      </c>
      <c r="G1409" s="29" t="s">
        <v>901</v>
      </c>
      <c r="H1409" s="29" t="s">
        <v>902</v>
      </c>
      <c r="I1409" s="29" t="s">
        <v>656</v>
      </c>
      <c r="J1409" s="29" t="s">
        <v>2443</v>
      </c>
    </row>
    <row r="1410" spans="1:10" ht="19.5" customHeight="1" x14ac:dyDescent="0.35">
      <c r="A1410" s="29" t="s">
        <v>896</v>
      </c>
      <c r="B1410" s="29" t="s">
        <v>3437</v>
      </c>
      <c r="C1410" s="29" t="s">
        <v>2257</v>
      </c>
      <c r="D1410" s="30">
        <v>1</v>
      </c>
      <c r="E1410" s="29" t="s">
        <v>3070</v>
      </c>
      <c r="F1410" s="29" t="s">
        <v>1885</v>
      </c>
      <c r="G1410" s="29" t="s">
        <v>901</v>
      </c>
      <c r="H1410" s="29" t="s">
        <v>902</v>
      </c>
      <c r="I1410" s="29" t="s">
        <v>656</v>
      </c>
      <c r="J1410" s="29" t="s">
        <v>2095</v>
      </c>
    </row>
    <row r="1411" spans="1:10" ht="19.5" customHeight="1" x14ac:dyDescent="0.35">
      <c r="A1411" s="29" t="s">
        <v>896</v>
      </c>
      <c r="B1411" s="29" t="s">
        <v>3438</v>
      </c>
      <c r="C1411" s="29" t="s">
        <v>2598</v>
      </c>
      <c r="D1411" s="30">
        <v>1</v>
      </c>
      <c r="E1411" s="29" t="s">
        <v>3070</v>
      </c>
      <c r="F1411" s="29" t="s">
        <v>1885</v>
      </c>
      <c r="G1411" s="29" t="s">
        <v>901</v>
      </c>
      <c r="H1411" s="29" t="s">
        <v>902</v>
      </c>
      <c r="I1411" s="29" t="s">
        <v>656</v>
      </c>
      <c r="J1411" s="29" t="s">
        <v>2443</v>
      </c>
    </row>
    <row r="1412" spans="1:10" ht="19.5" customHeight="1" x14ac:dyDescent="0.35">
      <c r="A1412" s="29" t="s">
        <v>896</v>
      </c>
      <c r="B1412" s="29" t="s">
        <v>3439</v>
      </c>
      <c r="C1412" s="29" t="s">
        <v>2598</v>
      </c>
      <c r="D1412" s="30">
        <v>1</v>
      </c>
      <c r="E1412" s="29" t="s">
        <v>3070</v>
      </c>
      <c r="F1412" s="29" t="s">
        <v>1885</v>
      </c>
      <c r="G1412" s="29" t="s">
        <v>901</v>
      </c>
      <c r="H1412" s="29" t="s">
        <v>902</v>
      </c>
      <c r="I1412" s="29" t="s">
        <v>656</v>
      </c>
      <c r="J1412" s="29" t="s">
        <v>2443</v>
      </c>
    </row>
    <row r="1413" spans="1:10" ht="19.5" customHeight="1" x14ac:dyDescent="0.35">
      <c r="A1413" s="29" t="s">
        <v>896</v>
      </c>
      <c r="B1413" s="29" t="s">
        <v>3440</v>
      </c>
      <c r="C1413" s="29" t="s">
        <v>1077</v>
      </c>
      <c r="D1413" s="30">
        <v>1</v>
      </c>
      <c r="E1413" s="29" t="s">
        <v>3070</v>
      </c>
      <c r="F1413" s="29" t="s">
        <v>1885</v>
      </c>
      <c r="G1413" s="29" t="s">
        <v>901</v>
      </c>
      <c r="H1413" s="29" t="s">
        <v>902</v>
      </c>
      <c r="I1413" s="29" t="s">
        <v>656</v>
      </c>
      <c r="J1413" s="29" t="s">
        <v>2222</v>
      </c>
    </row>
    <row r="1414" spans="1:10" ht="19.5" customHeight="1" x14ac:dyDescent="0.35">
      <c r="A1414" s="29" t="s">
        <v>896</v>
      </c>
      <c r="B1414" s="29" t="s">
        <v>3441</v>
      </c>
      <c r="C1414" s="29" t="s">
        <v>1143</v>
      </c>
      <c r="D1414" s="30">
        <v>1</v>
      </c>
      <c r="E1414" s="29" t="s">
        <v>3070</v>
      </c>
      <c r="F1414" s="29" t="s">
        <v>1885</v>
      </c>
      <c r="G1414" s="29" t="s">
        <v>901</v>
      </c>
      <c r="H1414" s="29" t="s">
        <v>902</v>
      </c>
      <c r="I1414" s="29" t="s">
        <v>656</v>
      </c>
      <c r="J1414" s="29" t="s">
        <v>2222</v>
      </c>
    </row>
    <row r="1415" spans="1:10" ht="19.5" customHeight="1" x14ac:dyDescent="0.35">
      <c r="A1415" s="29" t="s">
        <v>896</v>
      </c>
      <c r="B1415" s="29" t="s">
        <v>3442</v>
      </c>
      <c r="C1415" s="29" t="s">
        <v>1143</v>
      </c>
      <c r="D1415" s="30">
        <v>1</v>
      </c>
      <c r="E1415" s="29" t="s">
        <v>3070</v>
      </c>
      <c r="F1415" s="29" t="s">
        <v>1885</v>
      </c>
      <c r="G1415" s="29" t="s">
        <v>901</v>
      </c>
      <c r="H1415" s="29" t="s">
        <v>902</v>
      </c>
      <c r="I1415" s="29" t="s">
        <v>656</v>
      </c>
      <c r="J1415" s="29" t="s">
        <v>2222</v>
      </c>
    </row>
    <row r="1416" spans="1:10" ht="19.5" customHeight="1" x14ac:dyDescent="0.35">
      <c r="A1416" s="29" t="s">
        <v>896</v>
      </c>
      <c r="B1416" s="29" t="s">
        <v>3443</v>
      </c>
      <c r="C1416" s="29" t="s">
        <v>2792</v>
      </c>
      <c r="D1416" s="30">
        <v>1</v>
      </c>
      <c r="E1416" s="29" t="s">
        <v>3070</v>
      </c>
      <c r="F1416" s="29" t="s">
        <v>1885</v>
      </c>
      <c r="G1416" s="29" t="s">
        <v>901</v>
      </c>
      <c r="H1416" s="29" t="s">
        <v>902</v>
      </c>
      <c r="I1416" s="29" t="s">
        <v>656</v>
      </c>
      <c r="J1416" s="29" t="s">
        <v>2649</v>
      </c>
    </row>
    <row r="1417" spans="1:10" ht="19.5" customHeight="1" x14ac:dyDescent="0.35">
      <c r="A1417" s="29" t="s">
        <v>896</v>
      </c>
      <c r="B1417" s="29" t="s">
        <v>3444</v>
      </c>
      <c r="C1417" s="29" t="s">
        <v>1817</v>
      </c>
      <c r="D1417" s="30">
        <v>1</v>
      </c>
      <c r="E1417" s="29" t="s">
        <v>3070</v>
      </c>
      <c r="F1417" s="29" t="s">
        <v>1885</v>
      </c>
      <c r="G1417" s="29" t="s">
        <v>901</v>
      </c>
      <c r="H1417" s="29" t="s">
        <v>902</v>
      </c>
      <c r="I1417" s="29" t="s">
        <v>656</v>
      </c>
      <c r="J1417" s="29" t="s">
        <v>2965</v>
      </c>
    </row>
    <row r="1418" spans="1:10" ht="19.5" customHeight="1" x14ac:dyDescent="0.35">
      <c r="A1418" s="29" t="s">
        <v>896</v>
      </c>
      <c r="B1418" s="29" t="s">
        <v>3445</v>
      </c>
      <c r="C1418" s="29" t="s">
        <v>1817</v>
      </c>
      <c r="D1418" s="30">
        <v>1</v>
      </c>
      <c r="E1418" s="29" t="s">
        <v>3070</v>
      </c>
      <c r="F1418" s="29" t="s">
        <v>1885</v>
      </c>
      <c r="G1418" s="29" t="s">
        <v>901</v>
      </c>
      <c r="H1418" s="29" t="s">
        <v>902</v>
      </c>
      <c r="I1418" s="29" t="s">
        <v>656</v>
      </c>
      <c r="J1418" s="29" t="s">
        <v>2443</v>
      </c>
    </row>
    <row r="1419" spans="1:10" ht="19.5" customHeight="1" x14ac:dyDescent="0.35">
      <c r="A1419" s="29" t="s">
        <v>896</v>
      </c>
      <c r="B1419" s="29" t="s">
        <v>3446</v>
      </c>
      <c r="C1419" s="29" t="s">
        <v>1091</v>
      </c>
      <c r="D1419" s="30">
        <v>1</v>
      </c>
      <c r="E1419" s="29" t="s">
        <v>3070</v>
      </c>
      <c r="F1419" s="29" t="s">
        <v>1885</v>
      </c>
      <c r="G1419" s="29" t="s">
        <v>901</v>
      </c>
      <c r="H1419" s="29" t="s">
        <v>902</v>
      </c>
      <c r="I1419" s="29" t="s">
        <v>656</v>
      </c>
      <c r="J1419" s="29" t="s">
        <v>2649</v>
      </c>
    </row>
    <row r="1420" spans="1:10" ht="19.5" customHeight="1" x14ac:dyDescent="0.35">
      <c r="A1420" s="29" t="s">
        <v>896</v>
      </c>
      <c r="B1420" s="29" t="s">
        <v>3447</v>
      </c>
      <c r="C1420" s="29" t="s">
        <v>1136</v>
      </c>
      <c r="D1420" s="30">
        <v>1</v>
      </c>
      <c r="E1420" s="29" t="s">
        <v>3070</v>
      </c>
      <c r="F1420" s="29" t="s">
        <v>1885</v>
      </c>
      <c r="G1420" s="29" t="s">
        <v>901</v>
      </c>
      <c r="H1420" s="29" t="s">
        <v>902</v>
      </c>
      <c r="I1420" s="29" t="s">
        <v>656</v>
      </c>
      <c r="J1420" s="29" t="s">
        <v>2222</v>
      </c>
    </row>
    <row r="1421" spans="1:10" ht="19.5" customHeight="1" x14ac:dyDescent="0.35">
      <c r="A1421" s="29" t="s">
        <v>896</v>
      </c>
      <c r="B1421" s="29" t="s">
        <v>3448</v>
      </c>
      <c r="C1421" s="29" t="s">
        <v>1143</v>
      </c>
      <c r="D1421" s="30">
        <v>1</v>
      </c>
      <c r="E1421" s="29" t="s">
        <v>3070</v>
      </c>
      <c r="F1421" s="29" t="s">
        <v>1885</v>
      </c>
      <c r="G1421" s="29" t="s">
        <v>901</v>
      </c>
      <c r="H1421" s="29" t="s">
        <v>902</v>
      </c>
      <c r="I1421" s="29" t="s">
        <v>656</v>
      </c>
      <c r="J1421" s="29" t="s">
        <v>2222</v>
      </c>
    </row>
    <row r="1422" spans="1:10" ht="19.5" customHeight="1" x14ac:dyDescent="0.35">
      <c r="A1422" s="29" t="s">
        <v>896</v>
      </c>
      <c r="B1422" s="29" t="s">
        <v>3449</v>
      </c>
      <c r="C1422" s="29" t="s">
        <v>2971</v>
      </c>
      <c r="D1422" s="30">
        <v>1</v>
      </c>
      <c r="E1422" s="29" t="s">
        <v>3070</v>
      </c>
      <c r="F1422" s="29" t="s">
        <v>1885</v>
      </c>
      <c r="G1422" s="29" t="s">
        <v>901</v>
      </c>
      <c r="H1422" s="29" t="s">
        <v>902</v>
      </c>
      <c r="I1422" s="29" t="s">
        <v>656</v>
      </c>
      <c r="J1422" s="29" t="s">
        <v>2222</v>
      </c>
    </row>
    <row r="1423" spans="1:10" ht="19.5" customHeight="1" x14ac:dyDescent="0.35">
      <c r="A1423" s="29" t="s">
        <v>896</v>
      </c>
      <c r="B1423" s="29" t="s">
        <v>3450</v>
      </c>
      <c r="C1423" s="29" t="s">
        <v>2971</v>
      </c>
      <c r="D1423" s="30">
        <v>1</v>
      </c>
      <c r="E1423" s="29" t="s">
        <v>3070</v>
      </c>
      <c r="F1423" s="29" t="s">
        <v>1885</v>
      </c>
      <c r="G1423" s="29" t="s">
        <v>901</v>
      </c>
      <c r="H1423" s="29" t="s">
        <v>902</v>
      </c>
      <c r="I1423" s="29" t="s">
        <v>656</v>
      </c>
      <c r="J1423" s="29" t="s">
        <v>2443</v>
      </c>
    </row>
    <row r="1424" spans="1:10" ht="19.5" customHeight="1" x14ac:dyDescent="0.35">
      <c r="A1424" s="29" t="s">
        <v>896</v>
      </c>
      <c r="B1424" s="29" t="s">
        <v>3451</v>
      </c>
      <c r="C1424" s="29" t="s">
        <v>913</v>
      </c>
      <c r="D1424" s="30">
        <v>1</v>
      </c>
      <c r="E1424" s="29" t="s">
        <v>3070</v>
      </c>
      <c r="F1424" s="29" t="s">
        <v>1885</v>
      </c>
      <c r="G1424" s="29" t="s">
        <v>901</v>
      </c>
      <c r="H1424" s="29" t="s">
        <v>902</v>
      </c>
      <c r="I1424" s="29" t="s">
        <v>656</v>
      </c>
      <c r="J1424" s="29" t="s">
        <v>2965</v>
      </c>
    </row>
    <row r="1425" spans="1:10" ht="19.5" customHeight="1" x14ac:dyDescent="0.35">
      <c r="A1425" s="29" t="s">
        <v>896</v>
      </c>
      <c r="B1425" s="29" t="s">
        <v>3452</v>
      </c>
      <c r="C1425" s="29" t="s">
        <v>946</v>
      </c>
      <c r="D1425" s="30">
        <v>1</v>
      </c>
      <c r="E1425" s="29" t="s">
        <v>3070</v>
      </c>
      <c r="F1425" s="29" t="s">
        <v>1885</v>
      </c>
      <c r="G1425" s="29" t="s">
        <v>901</v>
      </c>
      <c r="H1425" s="29" t="s">
        <v>902</v>
      </c>
      <c r="I1425" s="29" t="s">
        <v>656</v>
      </c>
      <c r="J1425" s="29" t="s">
        <v>2692</v>
      </c>
    </row>
    <row r="1426" spans="1:10" ht="19.5" customHeight="1" x14ac:dyDescent="0.35">
      <c r="A1426" s="29" t="s">
        <v>896</v>
      </c>
      <c r="B1426" s="29" t="s">
        <v>3453</v>
      </c>
      <c r="C1426" s="29" t="s">
        <v>1009</v>
      </c>
      <c r="D1426" s="30">
        <v>1</v>
      </c>
      <c r="E1426" s="29" t="s">
        <v>3070</v>
      </c>
      <c r="F1426" s="29" t="s">
        <v>1885</v>
      </c>
      <c r="G1426" s="29" t="s">
        <v>901</v>
      </c>
      <c r="H1426" s="29" t="s">
        <v>902</v>
      </c>
      <c r="I1426" s="29" t="s">
        <v>656</v>
      </c>
      <c r="J1426" s="29" t="s">
        <v>2443</v>
      </c>
    </row>
    <row r="1427" spans="1:10" ht="19.5" customHeight="1" x14ac:dyDescent="0.35">
      <c r="A1427" s="29" t="s">
        <v>896</v>
      </c>
      <c r="B1427" s="29" t="s">
        <v>3454</v>
      </c>
      <c r="C1427" s="29" t="s">
        <v>946</v>
      </c>
      <c r="D1427" s="30">
        <v>1</v>
      </c>
      <c r="E1427" s="29" t="s">
        <v>3070</v>
      </c>
      <c r="F1427" s="29" t="s">
        <v>1885</v>
      </c>
      <c r="G1427" s="29" t="s">
        <v>901</v>
      </c>
      <c r="H1427" s="29" t="s">
        <v>902</v>
      </c>
      <c r="I1427" s="29" t="s">
        <v>656</v>
      </c>
      <c r="J1427" s="29" t="s">
        <v>2443</v>
      </c>
    </row>
    <row r="1428" spans="1:10" ht="19.5" customHeight="1" x14ac:dyDescent="0.35">
      <c r="A1428" s="29" t="s">
        <v>896</v>
      </c>
      <c r="B1428" s="29" t="s">
        <v>3455</v>
      </c>
      <c r="C1428" s="29" t="s">
        <v>1157</v>
      </c>
      <c r="D1428" s="30">
        <v>1</v>
      </c>
      <c r="E1428" s="29" t="s">
        <v>3070</v>
      </c>
      <c r="F1428" s="29" t="s">
        <v>1885</v>
      </c>
      <c r="G1428" s="29" t="s">
        <v>901</v>
      </c>
      <c r="H1428" s="29" t="s">
        <v>902</v>
      </c>
      <c r="I1428" s="29" t="s">
        <v>656</v>
      </c>
      <c r="J1428" s="29" t="s">
        <v>2443</v>
      </c>
    </row>
    <row r="1429" spans="1:10" ht="19.5" customHeight="1" x14ac:dyDescent="0.35">
      <c r="A1429" s="29" t="s">
        <v>896</v>
      </c>
      <c r="B1429" s="29" t="s">
        <v>3456</v>
      </c>
      <c r="C1429" s="29" t="s">
        <v>2971</v>
      </c>
      <c r="D1429" s="30">
        <v>1</v>
      </c>
      <c r="E1429" s="29" t="s">
        <v>3070</v>
      </c>
      <c r="F1429" s="29" t="s">
        <v>1885</v>
      </c>
      <c r="G1429" s="29" t="s">
        <v>901</v>
      </c>
      <c r="H1429" s="29" t="s">
        <v>902</v>
      </c>
      <c r="I1429" s="29" t="s">
        <v>656</v>
      </c>
      <c r="J1429" s="29" t="s">
        <v>2965</v>
      </c>
    </row>
    <row r="1430" spans="1:10" ht="19.5" customHeight="1" x14ac:dyDescent="0.35">
      <c r="A1430" s="29" t="s">
        <v>896</v>
      </c>
      <c r="B1430" s="29" t="s">
        <v>3457</v>
      </c>
      <c r="C1430" s="29" t="s">
        <v>2602</v>
      </c>
      <c r="D1430" s="30">
        <v>1</v>
      </c>
      <c r="E1430" s="29" t="s">
        <v>3070</v>
      </c>
      <c r="F1430" s="29" t="s">
        <v>1885</v>
      </c>
      <c r="G1430" s="29" t="s">
        <v>901</v>
      </c>
      <c r="H1430" s="29" t="s">
        <v>902</v>
      </c>
      <c r="I1430" s="29" t="s">
        <v>656</v>
      </c>
      <c r="J1430" s="29" t="s">
        <v>2222</v>
      </c>
    </row>
    <row r="1431" spans="1:10" ht="19.5" customHeight="1" x14ac:dyDescent="0.35">
      <c r="A1431" s="29" t="s">
        <v>896</v>
      </c>
      <c r="B1431" s="29" t="s">
        <v>3458</v>
      </c>
      <c r="C1431" s="29" t="s">
        <v>2971</v>
      </c>
      <c r="D1431" s="30">
        <v>1</v>
      </c>
      <c r="E1431" s="29" t="s">
        <v>3070</v>
      </c>
      <c r="F1431" s="29" t="s">
        <v>1885</v>
      </c>
      <c r="G1431" s="29" t="s">
        <v>901</v>
      </c>
      <c r="H1431" s="29" t="s">
        <v>902</v>
      </c>
      <c r="I1431" s="29" t="s">
        <v>656</v>
      </c>
      <c r="J1431" s="29" t="s">
        <v>2222</v>
      </c>
    </row>
    <row r="1432" spans="1:10" ht="19.5" customHeight="1" x14ac:dyDescent="0.35">
      <c r="A1432" s="29" t="s">
        <v>896</v>
      </c>
      <c r="B1432" s="29" t="s">
        <v>3459</v>
      </c>
      <c r="C1432" s="29" t="s">
        <v>1240</v>
      </c>
      <c r="D1432" s="30">
        <v>1</v>
      </c>
      <c r="E1432" s="29" t="s">
        <v>3070</v>
      </c>
      <c r="F1432" s="29" t="s">
        <v>1885</v>
      </c>
      <c r="G1432" s="29" t="s">
        <v>901</v>
      </c>
      <c r="H1432" s="29" t="s">
        <v>902</v>
      </c>
      <c r="I1432" s="29" t="s">
        <v>656</v>
      </c>
      <c r="J1432" s="29" t="s">
        <v>2866</v>
      </c>
    </row>
    <row r="1433" spans="1:10" ht="19.5" customHeight="1" x14ac:dyDescent="0.35">
      <c r="A1433" s="29" t="s">
        <v>896</v>
      </c>
      <c r="B1433" s="29" t="s">
        <v>3460</v>
      </c>
      <c r="C1433" s="29" t="s">
        <v>2971</v>
      </c>
      <c r="D1433" s="30">
        <v>1</v>
      </c>
      <c r="E1433" s="29" t="s">
        <v>3070</v>
      </c>
      <c r="F1433" s="29" t="s">
        <v>1885</v>
      </c>
      <c r="G1433" s="29" t="s">
        <v>901</v>
      </c>
      <c r="H1433" s="29" t="s">
        <v>902</v>
      </c>
      <c r="I1433" s="29" t="s">
        <v>656</v>
      </c>
      <c r="J1433" s="29" t="s">
        <v>2965</v>
      </c>
    </row>
    <row r="1434" spans="1:10" ht="19.5" customHeight="1" x14ac:dyDescent="0.35">
      <c r="A1434" s="29" t="s">
        <v>896</v>
      </c>
      <c r="B1434" s="29" t="s">
        <v>3461</v>
      </c>
      <c r="C1434" s="29" t="s">
        <v>2971</v>
      </c>
      <c r="D1434" s="30">
        <v>1</v>
      </c>
      <c r="E1434" s="29" t="s">
        <v>3070</v>
      </c>
      <c r="F1434" s="29" t="s">
        <v>1885</v>
      </c>
      <c r="G1434" s="29" t="s">
        <v>901</v>
      </c>
      <c r="H1434" s="29" t="s">
        <v>902</v>
      </c>
      <c r="I1434" s="29" t="s">
        <v>656</v>
      </c>
      <c r="J1434" s="29" t="s">
        <v>2443</v>
      </c>
    </row>
    <row r="1435" spans="1:10" ht="19.5" customHeight="1" x14ac:dyDescent="0.35">
      <c r="A1435" s="29" t="s">
        <v>896</v>
      </c>
      <c r="B1435" s="29" t="s">
        <v>3462</v>
      </c>
      <c r="C1435" s="29" t="s">
        <v>2971</v>
      </c>
      <c r="D1435" s="30">
        <v>1</v>
      </c>
      <c r="E1435" s="29" t="s">
        <v>3070</v>
      </c>
      <c r="F1435" s="29" t="s">
        <v>1885</v>
      </c>
      <c r="G1435" s="29" t="s">
        <v>901</v>
      </c>
      <c r="H1435" s="29" t="s">
        <v>902</v>
      </c>
      <c r="I1435" s="29" t="s">
        <v>656</v>
      </c>
      <c r="J1435" s="29" t="s">
        <v>2222</v>
      </c>
    </row>
    <row r="1436" spans="1:10" ht="19.5" customHeight="1" x14ac:dyDescent="0.35">
      <c r="A1436" s="29" t="s">
        <v>896</v>
      </c>
      <c r="B1436" s="29" t="s">
        <v>3463</v>
      </c>
      <c r="C1436" s="29" t="s">
        <v>913</v>
      </c>
      <c r="D1436" s="30">
        <v>1</v>
      </c>
      <c r="E1436" s="29" t="s">
        <v>3070</v>
      </c>
      <c r="F1436" s="29" t="s">
        <v>1885</v>
      </c>
      <c r="G1436" s="29" t="s">
        <v>901</v>
      </c>
      <c r="H1436" s="29" t="s">
        <v>902</v>
      </c>
      <c r="I1436" s="29" t="s">
        <v>656</v>
      </c>
      <c r="J1436" s="29" t="s">
        <v>2692</v>
      </c>
    </row>
    <row r="1437" spans="1:10" ht="19.5" customHeight="1" x14ac:dyDescent="0.35">
      <c r="A1437" s="29" t="s">
        <v>896</v>
      </c>
      <c r="B1437" s="29" t="s">
        <v>3464</v>
      </c>
      <c r="C1437" s="29" t="s">
        <v>1077</v>
      </c>
      <c r="D1437" s="30">
        <v>1</v>
      </c>
      <c r="E1437" s="29" t="s">
        <v>3070</v>
      </c>
      <c r="F1437" s="29" t="s">
        <v>1885</v>
      </c>
      <c r="G1437" s="29" t="s">
        <v>901</v>
      </c>
      <c r="H1437" s="29" t="s">
        <v>902</v>
      </c>
      <c r="I1437" s="29" t="s">
        <v>656</v>
      </c>
      <c r="J1437" s="29" t="s">
        <v>2222</v>
      </c>
    </row>
    <row r="1438" spans="1:10" ht="19.5" customHeight="1" x14ac:dyDescent="0.35">
      <c r="A1438" s="29" t="s">
        <v>896</v>
      </c>
      <c r="B1438" s="29" t="s">
        <v>3465</v>
      </c>
      <c r="C1438" s="29" t="s">
        <v>2602</v>
      </c>
      <c r="D1438" s="30">
        <v>1</v>
      </c>
      <c r="E1438" s="29" t="s">
        <v>3070</v>
      </c>
      <c r="F1438" s="29" t="s">
        <v>1885</v>
      </c>
      <c r="G1438" s="29" t="s">
        <v>901</v>
      </c>
      <c r="H1438" s="29" t="s">
        <v>902</v>
      </c>
      <c r="I1438" s="29" t="s">
        <v>656</v>
      </c>
      <c r="J1438" s="29" t="s">
        <v>2222</v>
      </c>
    </row>
    <row r="1439" spans="1:10" ht="19.5" customHeight="1" x14ac:dyDescent="0.35">
      <c r="A1439" s="29" t="s">
        <v>896</v>
      </c>
      <c r="B1439" s="29" t="s">
        <v>3466</v>
      </c>
      <c r="C1439" s="29" t="s">
        <v>2971</v>
      </c>
      <c r="D1439" s="30">
        <v>1</v>
      </c>
      <c r="E1439" s="29" t="s">
        <v>3070</v>
      </c>
      <c r="F1439" s="29" t="s">
        <v>1885</v>
      </c>
      <c r="G1439" s="29" t="s">
        <v>901</v>
      </c>
      <c r="H1439" s="29" t="s">
        <v>902</v>
      </c>
      <c r="I1439" s="29" t="s">
        <v>656</v>
      </c>
      <c r="J1439" s="29" t="s">
        <v>2222</v>
      </c>
    </row>
    <row r="1440" spans="1:10" ht="19.5" customHeight="1" x14ac:dyDescent="0.35">
      <c r="A1440" s="29" t="s">
        <v>896</v>
      </c>
      <c r="B1440" s="29" t="s">
        <v>3467</v>
      </c>
      <c r="C1440" s="29" t="s">
        <v>1077</v>
      </c>
      <c r="D1440" s="30">
        <v>1</v>
      </c>
      <c r="E1440" s="29" t="s">
        <v>3070</v>
      </c>
      <c r="F1440" s="29" t="s">
        <v>1885</v>
      </c>
      <c r="G1440" s="29" t="s">
        <v>901</v>
      </c>
      <c r="H1440" s="29" t="s">
        <v>902</v>
      </c>
      <c r="I1440" s="29" t="s">
        <v>656</v>
      </c>
      <c r="J1440" s="29" t="s">
        <v>2222</v>
      </c>
    </row>
    <row r="1441" spans="1:10" ht="19.5" customHeight="1" x14ac:dyDescent="0.35">
      <c r="A1441" s="29" t="s">
        <v>896</v>
      </c>
      <c r="B1441" s="29" t="s">
        <v>3468</v>
      </c>
      <c r="C1441" s="29" t="s">
        <v>1646</v>
      </c>
      <c r="D1441" s="30">
        <v>1</v>
      </c>
      <c r="E1441" s="29" t="s">
        <v>3070</v>
      </c>
      <c r="F1441" s="29" t="s">
        <v>1885</v>
      </c>
      <c r="G1441" s="29" t="s">
        <v>901</v>
      </c>
      <c r="H1441" s="29" t="s">
        <v>902</v>
      </c>
      <c r="I1441" s="29" t="s">
        <v>656</v>
      </c>
      <c r="J1441" s="29" t="s">
        <v>2222</v>
      </c>
    </row>
    <row r="1442" spans="1:10" ht="19.5" customHeight="1" x14ac:dyDescent="0.35">
      <c r="A1442" s="29" t="s">
        <v>896</v>
      </c>
      <c r="B1442" s="29" t="s">
        <v>3469</v>
      </c>
      <c r="C1442" s="29" t="s">
        <v>909</v>
      </c>
      <c r="D1442" s="30">
        <v>1</v>
      </c>
      <c r="E1442" s="29" t="s">
        <v>3070</v>
      </c>
      <c r="F1442" s="29" t="s">
        <v>1885</v>
      </c>
      <c r="G1442" s="29" t="s">
        <v>901</v>
      </c>
      <c r="H1442" s="29" t="s">
        <v>902</v>
      </c>
      <c r="I1442" s="29" t="s">
        <v>656</v>
      </c>
      <c r="J1442" s="29" t="s">
        <v>2985</v>
      </c>
    </row>
    <row r="1443" spans="1:10" ht="19.5" customHeight="1" x14ac:dyDescent="0.35">
      <c r="A1443" s="29" t="s">
        <v>896</v>
      </c>
      <c r="B1443" s="29" t="s">
        <v>3470</v>
      </c>
      <c r="C1443" s="29" t="s">
        <v>909</v>
      </c>
      <c r="D1443" s="30">
        <v>1</v>
      </c>
      <c r="E1443" s="29" t="s">
        <v>3070</v>
      </c>
      <c r="F1443" s="29" t="s">
        <v>1885</v>
      </c>
      <c r="G1443" s="29" t="s">
        <v>901</v>
      </c>
      <c r="H1443" s="29" t="s">
        <v>902</v>
      </c>
      <c r="I1443" s="29" t="s">
        <v>656</v>
      </c>
      <c r="J1443" s="29" t="s">
        <v>2222</v>
      </c>
    </row>
    <row r="1444" spans="1:10" ht="19.5" customHeight="1" x14ac:dyDescent="0.35">
      <c r="A1444" s="29" t="s">
        <v>896</v>
      </c>
      <c r="B1444" s="29" t="s">
        <v>3471</v>
      </c>
      <c r="C1444" s="29" t="s">
        <v>909</v>
      </c>
      <c r="D1444" s="30">
        <v>1</v>
      </c>
      <c r="E1444" s="29" t="s">
        <v>3070</v>
      </c>
      <c r="F1444" s="29" t="s">
        <v>1885</v>
      </c>
      <c r="G1444" s="29" t="s">
        <v>901</v>
      </c>
      <c r="H1444" s="29" t="s">
        <v>902</v>
      </c>
      <c r="I1444" s="29" t="s">
        <v>656</v>
      </c>
      <c r="J1444" s="29" t="s">
        <v>2222</v>
      </c>
    </row>
    <row r="1445" spans="1:10" ht="19.5" customHeight="1" x14ac:dyDescent="0.35">
      <c r="A1445" s="29" t="s">
        <v>896</v>
      </c>
      <c r="B1445" s="29" t="s">
        <v>3472</v>
      </c>
      <c r="C1445" s="29" t="s">
        <v>2971</v>
      </c>
      <c r="D1445" s="30">
        <v>1</v>
      </c>
      <c r="E1445" s="29" t="s">
        <v>3070</v>
      </c>
      <c r="F1445" s="29" t="s">
        <v>1885</v>
      </c>
      <c r="G1445" s="29" t="s">
        <v>901</v>
      </c>
      <c r="H1445" s="29" t="s">
        <v>902</v>
      </c>
      <c r="I1445" s="29" t="s">
        <v>656</v>
      </c>
      <c r="J1445" s="29" t="s">
        <v>2692</v>
      </c>
    </row>
    <row r="1446" spans="1:10" ht="19.5" customHeight="1" x14ac:dyDescent="0.35">
      <c r="A1446" s="29" t="s">
        <v>896</v>
      </c>
      <c r="B1446" s="29" t="s">
        <v>3473</v>
      </c>
      <c r="C1446" s="29" t="s">
        <v>921</v>
      </c>
      <c r="D1446" s="30">
        <v>1</v>
      </c>
      <c r="E1446" s="29" t="s">
        <v>3070</v>
      </c>
      <c r="F1446" s="29" t="s">
        <v>1885</v>
      </c>
      <c r="G1446" s="29" t="s">
        <v>901</v>
      </c>
      <c r="H1446" s="29" t="s">
        <v>902</v>
      </c>
      <c r="I1446" s="29" t="s">
        <v>656</v>
      </c>
      <c r="J1446" s="29" t="s">
        <v>2222</v>
      </c>
    </row>
    <row r="1447" spans="1:10" ht="19.5" customHeight="1" x14ac:dyDescent="0.35">
      <c r="A1447" s="29" t="s">
        <v>896</v>
      </c>
      <c r="B1447" s="29" t="s">
        <v>3474</v>
      </c>
      <c r="C1447" s="29" t="s">
        <v>1143</v>
      </c>
      <c r="D1447" s="30">
        <v>1</v>
      </c>
      <c r="E1447" s="29" t="s">
        <v>3070</v>
      </c>
      <c r="F1447" s="29" t="s">
        <v>1885</v>
      </c>
      <c r="G1447" s="29" t="s">
        <v>901</v>
      </c>
      <c r="H1447" s="29" t="s">
        <v>902</v>
      </c>
      <c r="I1447" s="29" t="s">
        <v>656</v>
      </c>
      <c r="J1447" s="29" t="s">
        <v>2222</v>
      </c>
    </row>
    <row r="1448" spans="1:10" ht="19.5" customHeight="1" x14ac:dyDescent="0.35">
      <c r="A1448" s="29" t="s">
        <v>896</v>
      </c>
      <c r="B1448" s="29" t="s">
        <v>3475</v>
      </c>
      <c r="C1448" s="29" t="s">
        <v>2602</v>
      </c>
      <c r="D1448" s="30">
        <v>1</v>
      </c>
      <c r="E1448" s="29" t="s">
        <v>3070</v>
      </c>
      <c r="F1448" s="29" t="s">
        <v>1885</v>
      </c>
      <c r="G1448" s="29" t="s">
        <v>901</v>
      </c>
      <c r="H1448" s="29" t="s">
        <v>902</v>
      </c>
      <c r="I1448" s="29" t="s">
        <v>656</v>
      </c>
      <c r="J1448" s="29" t="s">
        <v>2222</v>
      </c>
    </row>
    <row r="1449" spans="1:10" ht="19.5" customHeight="1" x14ac:dyDescent="0.35">
      <c r="A1449" s="29" t="s">
        <v>896</v>
      </c>
      <c r="B1449" s="29" t="s">
        <v>3476</v>
      </c>
      <c r="C1449" s="29" t="s">
        <v>1143</v>
      </c>
      <c r="D1449" s="30">
        <v>1</v>
      </c>
      <c r="E1449" s="29" t="s">
        <v>3070</v>
      </c>
      <c r="F1449" s="29" t="s">
        <v>1885</v>
      </c>
      <c r="G1449" s="29" t="s">
        <v>901</v>
      </c>
      <c r="H1449" s="29" t="s">
        <v>902</v>
      </c>
      <c r="I1449" s="29" t="s">
        <v>656</v>
      </c>
      <c r="J1449" s="29" t="s">
        <v>2222</v>
      </c>
    </row>
    <row r="1450" spans="1:10" ht="19.5" customHeight="1" x14ac:dyDescent="0.35">
      <c r="A1450" s="29" t="s">
        <v>896</v>
      </c>
      <c r="B1450" s="29" t="s">
        <v>3477</v>
      </c>
      <c r="C1450" s="29" t="s">
        <v>2598</v>
      </c>
      <c r="D1450" s="30">
        <v>1</v>
      </c>
      <c r="E1450" s="29" t="s">
        <v>3070</v>
      </c>
      <c r="F1450" s="29" t="s">
        <v>1885</v>
      </c>
      <c r="G1450" s="29" t="s">
        <v>901</v>
      </c>
      <c r="H1450" s="29" t="s">
        <v>902</v>
      </c>
      <c r="I1450" s="29" t="s">
        <v>656</v>
      </c>
      <c r="J1450" s="29" t="s">
        <v>2443</v>
      </c>
    </row>
    <row r="1451" spans="1:10" ht="19.5" customHeight="1" x14ac:dyDescent="0.35">
      <c r="A1451" s="29" t="s">
        <v>896</v>
      </c>
      <c r="B1451" s="29" t="s">
        <v>3478</v>
      </c>
      <c r="C1451" s="29" t="s">
        <v>909</v>
      </c>
      <c r="D1451" s="30">
        <v>1</v>
      </c>
      <c r="E1451" s="29" t="s">
        <v>3070</v>
      </c>
      <c r="F1451" s="29" t="s">
        <v>1885</v>
      </c>
      <c r="G1451" s="29" t="s">
        <v>901</v>
      </c>
      <c r="H1451" s="29" t="s">
        <v>902</v>
      </c>
      <c r="I1451" s="29" t="s">
        <v>656</v>
      </c>
      <c r="J1451" s="29" t="s">
        <v>2222</v>
      </c>
    </row>
    <row r="1452" spans="1:10" ht="19.5" customHeight="1" x14ac:dyDescent="0.35">
      <c r="A1452" s="29" t="s">
        <v>896</v>
      </c>
      <c r="B1452" s="29" t="s">
        <v>3479</v>
      </c>
      <c r="C1452" s="29" t="s">
        <v>1122</v>
      </c>
      <c r="D1452" s="30">
        <v>1</v>
      </c>
      <c r="E1452" s="29" t="s">
        <v>3070</v>
      </c>
      <c r="F1452" s="29" t="s">
        <v>1885</v>
      </c>
      <c r="G1452" s="29" t="s">
        <v>901</v>
      </c>
      <c r="H1452" s="29" t="s">
        <v>902</v>
      </c>
      <c r="I1452" s="29" t="s">
        <v>656</v>
      </c>
      <c r="J1452" s="29" t="s">
        <v>2222</v>
      </c>
    </row>
    <row r="1453" spans="1:10" ht="19.5" customHeight="1" x14ac:dyDescent="0.35">
      <c r="A1453" s="29" t="s">
        <v>896</v>
      </c>
      <c r="B1453" s="29" t="s">
        <v>3480</v>
      </c>
      <c r="C1453" s="29" t="s">
        <v>1122</v>
      </c>
      <c r="D1453" s="30">
        <v>1</v>
      </c>
      <c r="E1453" s="29" t="s">
        <v>3070</v>
      </c>
      <c r="F1453" s="29" t="s">
        <v>1885</v>
      </c>
      <c r="G1453" s="29" t="s">
        <v>901</v>
      </c>
      <c r="H1453" s="29" t="s">
        <v>902</v>
      </c>
      <c r="I1453" s="29" t="s">
        <v>656</v>
      </c>
      <c r="J1453" s="29" t="s">
        <v>2222</v>
      </c>
    </row>
    <row r="1454" spans="1:10" ht="19.5" customHeight="1" x14ac:dyDescent="0.35">
      <c r="A1454" s="29" t="s">
        <v>896</v>
      </c>
      <c r="B1454" s="29" t="s">
        <v>3481</v>
      </c>
      <c r="C1454" s="29" t="s">
        <v>1050</v>
      </c>
      <c r="D1454" s="30">
        <v>1</v>
      </c>
      <c r="E1454" s="29" t="s">
        <v>3070</v>
      </c>
      <c r="F1454" s="29" t="s">
        <v>1885</v>
      </c>
      <c r="G1454" s="29" t="s">
        <v>901</v>
      </c>
      <c r="H1454" s="29" t="s">
        <v>902</v>
      </c>
      <c r="I1454" s="29" t="s">
        <v>656</v>
      </c>
      <c r="J1454" s="29" t="s">
        <v>2692</v>
      </c>
    </row>
    <row r="1455" spans="1:10" ht="19.5" customHeight="1" x14ac:dyDescent="0.35">
      <c r="A1455" s="29" t="s">
        <v>896</v>
      </c>
      <c r="B1455" s="29" t="s">
        <v>3482</v>
      </c>
      <c r="C1455" s="29" t="s">
        <v>1157</v>
      </c>
      <c r="D1455" s="30">
        <v>1</v>
      </c>
      <c r="E1455" s="29" t="s">
        <v>3070</v>
      </c>
      <c r="F1455" s="29" t="s">
        <v>1885</v>
      </c>
      <c r="G1455" s="29" t="s">
        <v>901</v>
      </c>
      <c r="H1455" s="29" t="s">
        <v>902</v>
      </c>
      <c r="I1455" s="29" t="s">
        <v>656</v>
      </c>
      <c r="J1455" s="29" t="s">
        <v>2443</v>
      </c>
    </row>
    <row r="1456" spans="1:10" ht="19.5" customHeight="1" x14ac:dyDescent="0.35">
      <c r="A1456" s="29" t="s">
        <v>896</v>
      </c>
      <c r="B1456" s="29" t="s">
        <v>3483</v>
      </c>
      <c r="C1456" s="29" t="s">
        <v>1009</v>
      </c>
      <c r="D1456" s="30">
        <v>1</v>
      </c>
      <c r="E1456" s="29" t="s">
        <v>3070</v>
      </c>
      <c r="F1456" s="29" t="s">
        <v>1885</v>
      </c>
      <c r="G1456" s="29" t="s">
        <v>901</v>
      </c>
      <c r="H1456" s="29" t="s">
        <v>902</v>
      </c>
      <c r="I1456" s="29" t="s">
        <v>656</v>
      </c>
      <c r="J1456" s="29" t="s">
        <v>2443</v>
      </c>
    </row>
    <row r="1457" spans="1:10" ht="19.5" customHeight="1" x14ac:dyDescent="0.35">
      <c r="A1457" s="29" t="s">
        <v>896</v>
      </c>
      <c r="B1457" s="29" t="s">
        <v>3484</v>
      </c>
      <c r="C1457" s="29" t="s">
        <v>3411</v>
      </c>
      <c r="D1457" s="30">
        <v>1</v>
      </c>
      <c r="E1457" s="29" t="s">
        <v>3070</v>
      </c>
      <c r="F1457" s="29" t="s">
        <v>1885</v>
      </c>
      <c r="G1457" s="29" t="s">
        <v>901</v>
      </c>
      <c r="H1457" s="29" t="s">
        <v>902</v>
      </c>
      <c r="I1457" s="29" t="s">
        <v>656</v>
      </c>
      <c r="J1457" s="29" t="s">
        <v>2222</v>
      </c>
    </row>
    <row r="1458" spans="1:10" ht="19.5" customHeight="1" x14ac:dyDescent="0.35">
      <c r="A1458" s="29" t="s">
        <v>896</v>
      </c>
      <c r="B1458" s="29" t="s">
        <v>3485</v>
      </c>
      <c r="C1458" s="29" t="s">
        <v>1659</v>
      </c>
      <c r="D1458" s="30">
        <v>1</v>
      </c>
      <c r="E1458" s="29" t="s">
        <v>3070</v>
      </c>
      <c r="F1458" s="29" t="s">
        <v>1885</v>
      </c>
      <c r="G1458" s="29" t="s">
        <v>901</v>
      </c>
      <c r="H1458" s="29" t="s">
        <v>902</v>
      </c>
      <c r="I1458" s="29" t="s">
        <v>656</v>
      </c>
      <c r="J1458" s="29" t="s">
        <v>2222</v>
      </c>
    </row>
    <row r="1459" spans="1:10" ht="19.5" customHeight="1" x14ac:dyDescent="0.35">
      <c r="A1459" s="29" t="s">
        <v>896</v>
      </c>
      <c r="B1459" s="29" t="s">
        <v>3486</v>
      </c>
      <c r="C1459" s="29" t="s">
        <v>1084</v>
      </c>
      <c r="D1459" s="30">
        <v>1</v>
      </c>
      <c r="E1459" s="29" t="s">
        <v>3070</v>
      </c>
      <c r="F1459" s="29" t="s">
        <v>1885</v>
      </c>
      <c r="G1459" s="29" t="s">
        <v>901</v>
      </c>
      <c r="H1459" s="29" t="s">
        <v>902</v>
      </c>
      <c r="I1459" s="29" t="s">
        <v>656</v>
      </c>
      <c r="J1459" s="29" t="s">
        <v>2866</v>
      </c>
    </row>
    <row r="1460" spans="1:10" ht="19.5" customHeight="1" x14ac:dyDescent="0.35">
      <c r="A1460" s="29" t="s">
        <v>896</v>
      </c>
      <c r="B1460" s="29" t="s">
        <v>3487</v>
      </c>
      <c r="C1460" s="29" t="s">
        <v>1077</v>
      </c>
      <c r="D1460" s="30">
        <v>1</v>
      </c>
      <c r="E1460" s="29" t="s">
        <v>3070</v>
      </c>
      <c r="F1460" s="29" t="s">
        <v>1885</v>
      </c>
      <c r="G1460" s="29" t="s">
        <v>901</v>
      </c>
      <c r="H1460" s="29" t="s">
        <v>902</v>
      </c>
      <c r="I1460" s="29" t="s">
        <v>656</v>
      </c>
      <c r="J1460" s="29" t="s">
        <v>2222</v>
      </c>
    </row>
    <row r="1461" spans="1:10" ht="19.5" customHeight="1" x14ac:dyDescent="0.35">
      <c r="A1461" s="29" t="s">
        <v>896</v>
      </c>
      <c r="B1461" s="29" t="s">
        <v>3488</v>
      </c>
      <c r="C1461" s="29" t="s">
        <v>921</v>
      </c>
      <c r="D1461" s="30">
        <v>1</v>
      </c>
      <c r="E1461" s="29" t="s">
        <v>3070</v>
      </c>
      <c r="F1461" s="29" t="s">
        <v>1885</v>
      </c>
      <c r="G1461" s="29" t="s">
        <v>901</v>
      </c>
      <c r="H1461" s="29" t="s">
        <v>902</v>
      </c>
      <c r="I1461" s="29" t="s">
        <v>656</v>
      </c>
      <c r="J1461" s="29" t="s">
        <v>2803</v>
      </c>
    </row>
    <row r="1462" spans="1:10" ht="19.5" customHeight="1" x14ac:dyDescent="0.35">
      <c r="A1462" s="29" t="s">
        <v>896</v>
      </c>
      <c r="B1462" s="29" t="s">
        <v>3489</v>
      </c>
      <c r="C1462" s="29" t="s">
        <v>929</v>
      </c>
      <c r="D1462" s="30">
        <v>1</v>
      </c>
      <c r="E1462" s="29" t="s">
        <v>3070</v>
      </c>
      <c r="F1462" s="29" t="s">
        <v>1885</v>
      </c>
      <c r="G1462" s="29" t="s">
        <v>901</v>
      </c>
      <c r="H1462" s="29" t="s">
        <v>902</v>
      </c>
      <c r="I1462" s="29" t="s">
        <v>656</v>
      </c>
      <c r="J1462" s="29" t="s">
        <v>2095</v>
      </c>
    </row>
    <row r="1463" spans="1:10" ht="19.5" customHeight="1" x14ac:dyDescent="0.35">
      <c r="A1463" s="29" t="s">
        <v>896</v>
      </c>
      <c r="B1463" s="29" t="s">
        <v>3490</v>
      </c>
      <c r="C1463" s="29" t="s">
        <v>1077</v>
      </c>
      <c r="D1463" s="30">
        <v>1</v>
      </c>
      <c r="E1463" s="29" t="s">
        <v>3070</v>
      </c>
      <c r="F1463" s="29" t="s">
        <v>1885</v>
      </c>
      <c r="G1463" s="29" t="s">
        <v>901</v>
      </c>
      <c r="H1463" s="29" t="s">
        <v>902</v>
      </c>
      <c r="I1463" s="29" t="s">
        <v>656</v>
      </c>
      <c r="J1463" s="29" t="s">
        <v>2803</v>
      </c>
    </row>
    <row r="1464" spans="1:10" ht="19.5" customHeight="1" x14ac:dyDescent="0.35">
      <c r="A1464" s="29" t="s">
        <v>896</v>
      </c>
      <c r="B1464" s="29" t="s">
        <v>3491</v>
      </c>
      <c r="C1464" s="29" t="s">
        <v>2257</v>
      </c>
      <c r="D1464" s="30">
        <v>1</v>
      </c>
      <c r="E1464" s="29" t="s">
        <v>3070</v>
      </c>
      <c r="F1464" s="29" t="s">
        <v>1885</v>
      </c>
      <c r="G1464" s="29" t="s">
        <v>901</v>
      </c>
      <c r="H1464" s="29" t="s">
        <v>902</v>
      </c>
      <c r="I1464" s="29" t="s">
        <v>656</v>
      </c>
      <c r="J1464" s="29" t="s">
        <v>2443</v>
      </c>
    </row>
    <row r="1465" spans="1:10" ht="19.5" customHeight="1" x14ac:dyDescent="0.35">
      <c r="A1465" s="29" t="s">
        <v>896</v>
      </c>
      <c r="B1465" s="29" t="s">
        <v>3492</v>
      </c>
      <c r="C1465" s="29" t="s">
        <v>1111</v>
      </c>
      <c r="D1465" s="30">
        <v>1</v>
      </c>
      <c r="E1465" s="29" t="s">
        <v>3070</v>
      </c>
      <c r="F1465" s="29" t="s">
        <v>1885</v>
      </c>
      <c r="G1465" s="29" t="s">
        <v>901</v>
      </c>
      <c r="H1465" s="29" t="s">
        <v>902</v>
      </c>
      <c r="I1465" s="29" t="s">
        <v>656</v>
      </c>
      <c r="J1465" s="29" t="s">
        <v>2649</v>
      </c>
    </row>
    <row r="1466" spans="1:10" ht="19.5" customHeight="1" x14ac:dyDescent="0.35">
      <c r="A1466" s="29" t="s">
        <v>896</v>
      </c>
      <c r="B1466" s="29" t="s">
        <v>3493</v>
      </c>
      <c r="C1466" s="29" t="s">
        <v>1817</v>
      </c>
      <c r="D1466" s="30">
        <v>1</v>
      </c>
      <c r="E1466" s="29" t="s">
        <v>3070</v>
      </c>
      <c r="F1466" s="29" t="s">
        <v>1885</v>
      </c>
      <c r="G1466" s="29" t="s">
        <v>901</v>
      </c>
      <c r="H1466" s="29" t="s">
        <v>902</v>
      </c>
      <c r="I1466" s="29" t="s">
        <v>656</v>
      </c>
      <c r="J1466" s="29" t="s">
        <v>2649</v>
      </c>
    </row>
    <row r="1467" spans="1:10" ht="19.5" customHeight="1" x14ac:dyDescent="0.35">
      <c r="A1467" s="29" t="s">
        <v>896</v>
      </c>
      <c r="B1467" s="29" t="s">
        <v>3494</v>
      </c>
      <c r="C1467" s="29" t="s">
        <v>1077</v>
      </c>
      <c r="D1467" s="30">
        <v>1</v>
      </c>
      <c r="E1467" s="29" t="s">
        <v>3070</v>
      </c>
      <c r="F1467" s="29" t="s">
        <v>1885</v>
      </c>
      <c r="G1467" s="29" t="s">
        <v>901</v>
      </c>
      <c r="H1467" s="29" t="s">
        <v>902</v>
      </c>
      <c r="I1467" s="29" t="s">
        <v>656</v>
      </c>
      <c r="J1467" s="29" t="s">
        <v>2649</v>
      </c>
    </row>
    <row r="1468" spans="1:10" ht="19.5" customHeight="1" x14ac:dyDescent="0.35">
      <c r="A1468" s="29" t="s">
        <v>896</v>
      </c>
      <c r="B1468" s="29" t="s">
        <v>3495</v>
      </c>
      <c r="C1468" s="29" t="s">
        <v>2257</v>
      </c>
      <c r="D1468" s="30">
        <v>1</v>
      </c>
      <c r="E1468" s="29" t="s">
        <v>3070</v>
      </c>
      <c r="F1468" s="29" t="s">
        <v>1885</v>
      </c>
      <c r="G1468" s="29" t="s">
        <v>901</v>
      </c>
      <c r="H1468" s="29" t="s">
        <v>902</v>
      </c>
      <c r="I1468" s="29" t="s">
        <v>656</v>
      </c>
      <c r="J1468" s="29" t="s">
        <v>2649</v>
      </c>
    </row>
    <row r="1469" spans="1:10" ht="19.5" customHeight="1" x14ac:dyDescent="0.35">
      <c r="A1469" s="29" t="s">
        <v>896</v>
      </c>
      <c r="B1469" s="29" t="s">
        <v>3496</v>
      </c>
      <c r="C1469" s="29" t="s">
        <v>1101</v>
      </c>
      <c r="D1469" s="30">
        <v>1</v>
      </c>
      <c r="E1469" s="29" t="s">
        <v>3070</v>
      </c>
      <c r="F1469" s="29" t="s">
        <v>1885</v>
      </c>
      <c r="G1469" s="29" t="s">
        <v>901</v>
      </c>
      <c r="H1469" s="29" t="s">
        <v>902</v>
      </c>
      <c r="I1469" s="29" t="s">
        <v>656</v>
      </c>
      <c r="J1469" s="29" t="s">
        <v>2095</v>
      </c>
    </row>
    <row r="1470" spans="1:10" ht="19.5" customHeight="1" x14ac:dyDescent="0.35">
      <c r="A1470" s="29" t="s">
        <v>896</v>
      </c>
      <c r="B1470" s="29" t="s">
        <v>3497</v>
      </c>
      <c r="C1470" s="29" t="s">
        <v>909</v>
      </c>
      <c r="D1470" s="30">
        <v>1</v>
      </c>
      <c r="E1470" s="29" t="s">
        <v>3070</v>
      </c>
      <c r="F1470" s="29" t="s">
        <v>1885</v>
      </c>
      <c r="G1470" s="29" t="s">
        <v>901</v>
      </c>
      <c r="H1470" s="29" t="s">
        <v>902</v>
      </c>
      <c r="I1470" s="29" t="s">
        <v>656</v>
      </c>
      <c r="J1470" s="29" t="s">
        <v>2222</v>
      </c>
    </row>
    <row r="1471" spans="1:10" ht="19.5" customHeight="1" x14ac:dyDescent="0.35">
      <c r="A1471" s="29" t="s">
        <v>896</v>
      </c>
      <c r="B1471" s="29" t="s">
        <v>3498</v>
      </c>
      <c r="C1471" s="29" t="s">
        <v>2602</v>
      </c>
      <c r="D1471" s="30">
        <v>1</v>
      </c>
      <c r="E1471" s="29" t="s">
        <v>3070</v>
      </c>
      <c r="F1471" s="29" t="s">
        <v>1885</v>
      </c>
      <c r="G1471" s="29" t="s">
        <v>901</v>
      </c>
      <c r="H1471" s="29" t="s">
        <v>902</v>
      </c>
      <c r="I1471" s="29" t="s">
        <v>656</v>
      </c>
      <c r="J1471" s="29" t="s">
        <v>2222</v>
      </c>
    </row>
    <row r="1472" spans="1:10" ht="19.5" customHeight="1" x14ac:dyDescent="0.35">
      <c r="A1472" s="29" t="s">
        <v>896</v>
      </c>
      <c r="B1472" s="29" t="s">
        <v>3499</v>
      </c>
      <c r="C1472" s="29" t="s">
        <v>1240</v>
      </c>
      <c r="D1472" s="30">
        <v>1</v>
      </c>
      <c r="E1472" s="29" t="s">
        <v>3070</v>
      </c>
      <c r="F1472" s="29" t="s">
        <v>1885</v>
      </c>
      <c r="G1472" s="29" t="s">
        <v>901</v>
      </c>
      <c r="H1472" s="29" t="s">
        <v>902</v>
      </c>
      <c r="I1472" s="29" t="s">
        <v>656</v>
      </c>
      <c r="J1472" s="29" t="s">
        <v>2443</v>
      </c>
    </row>
    <row r="1473" spans="1:10" ht="19.5" customHeight="1" x14ac:dyDescent="0.35">
      <c r="A1473" s="29" t="s">
        <v>896</v>
      </c>
      <c r="B1473" s="29" t="s">
        <v>3500</v>
      </c>
      <c r="C1473" s="29" t="s">
        <v>2792</v>
      </c>
      <c r="D1473" s="30">
        <v>1</v>
      </c>
      <c r="E1473" s="29" t="s">
        <v>3070</v>
      </c>
      <c r="F1473" s="29" t="s">
        <v>1885</v>
      </c>
      <c r="G1473" s="29" t="s">
        <v>901</v>
      </c>
      <c r="H1473" s="29" t="s">
        <v>902</v>
      </c>
      <c r="I1473" s="29" t="s">
        <v>656</v>
      </c>
      <c r="J1473" s="29" t="s">
        <v>2649</v>
      </c>
    </row>
    <row r="1474" spans="1:10" ht="19.5" customHeight="1" x14ac:dyDescent="0.35">
      <c r="A1474" s="29" t="s">
        <v>896</v>
      </c>
      <c r="B1474" s="29" t="s">
        <v>3501</v>
      </c>
      <c r="C1474" s="29" t="s">
        <v>989</v>
      </c>
      <c r="D1474" s="30">
        <v>1</v>
      </c>
      <c r="E1474" s="29" t="s">
        <v>3070</v>
      </c>
      <c r="F1474" s="29" t="s">
        <v>1885</v>
      </c>
      <c r="G1474" s="29" t="s">
        <v>901</v>
      </c>
      <c r="H1474" s="29" t="s">
        <v>902</v>
      </c>
      <c r="I1474" s="29" t="s">
        <v>656</v>
      </c>
      <c r="J1474" s="29" t="s">
        <v>2692</v>
      </c>
    </row>
    <row r="1475" spans="1:10" ht="19.5" customHeight="1" x14ac:dyDescent="0.35">
      <c r="A1475" s="29" t="s">
        <v>896</v>
      </c>
      <c r="B1475" s="29" t="s">
        <v>3502</v>
      </c>
      <c r="C1475" s="29" t="s">
        <v>963</v>
      </c>
      <c r="D1475" s="30">
        <v>1</v>
      </c>
      <c r="E1475" s="29" t="s">
        <v>3070</v>
      </c>
      <c r="F1475" s="29" t="s">
        <v>1885</v>
      </c>
      <c r="G1475" s="29" t="s">
        <v>901</v>
      </c>
      <c r="H1475" s="29" t="s">
        <v>902</v>
      </c>
      <c r="I1475" s="29" t="s">
        <v>656</v>
      </c>
      <c r="J1475" s="29" t="s">
        <v>2222</v>
      </c>
    </row>
    <row r="1476" spans="1:10" ht="19.5" customHeight="1" x14ac:dyDescent="0.35">
      <c r="A1476" s="29" t="s">
        <v>896</v>
      </c>
      <c r="B1476" s="29" t="s">
        <v>3503</v>
      </c>
      <c r="C1476" s="29" t="s">
        <v>989</v>
      </c>
      <c r="D1476" s="30">
        <v>1</v>
      </c>
      <c r="E1476" s="29" t="s">
        <v>3070</v>
      </c>
      <c r="F1476" s="29" t="s">
        <v>1885</v>
      </c>
      <c r="G1476" s="29" t="s">
        <v>901</v>
      </c>
      <c r="H1476" s="29" t="s">
        <v>902</v>
      </c>
      <c r="I1476" s="29" t="s">
        <v>656</v>
      </c>
      <c r="J1476" s="29" t="s">
        <v>2692</v>
      </c>
    </row>
    <row r="1477" spans="1:10" ht="19.5" customHeight="1" x14ac:dyDescent="0.35">
      <c r="A1477" s="29" t="s">
        <v>896</v>
      </c>
      <c r="B1477" s="29" t="s">
        <v>3504</v>
      </c>
      <c r="C1477" s="29" t="s">
        <v>2971</v>
      </c>
      <c r="D1477" s="30">
        <v>1</v>
      </c>
      <c r="E1477" s="29" t="s">
        <v>3070</v>
      </c>
      <c r="F1477" s="29" t="s">
        <v>1885</v>
      </c>
      <c r="G1477" s="29" t="s">
        <v>901</v>
      </c>
      <c r="H1477" s="29" t="s">
        <v>902</v>
      </c>
      <c r="I1477" s="29" t="s">
        <v>656</v>
      </c>
      <c r="J1477" s="29" t="s">
        <v>2222</v>
      </c>
    </row>
    <row r="1478" spans="1:10" ht="19.5" customHeight="1" x14ac:dyDescent="0.35">
      <c r="A1478" s="29" t="s">
        <v>896</v>
      </c>
      <c r="B1478" s="29" t="s">
        <v>3505</v>
      </c>
      <c r="C1478" s="29" t="s">
        <v>989</v>
      </c>
      <c r="D1478" s="30">
        <v>1</v>
      </c>
      <c r="E1478" s="29" t="s">
        <v>3070</v>
      </c>
      <c r="F1478" s="29" t="s">
        <v>1885</v>
      </c>
      <c r="G1478" s="29" t="s">
        <v>901</v>
      </c>
      <c r="H1478" s="29" t="s">
        <v>902</v>
      </c>
      <c r="I1478" s="29" t="s">
        <v>656</v>
      </c>
      <c r="J1478" s="29" t="s">
        <v>2692</v>
      </c>
    </row>
    <row r="1479" spans="1:10" ht="19.5" customHeight="1" x14ac:dyDescent="0.35">
      <c r="A1479" s="29" t="s">
        <v>896</v>
      </c>
      <c r="B1479" s="29" t="s">
        <v>3506</v>
      </c>
      <c r="C1479" s="29" t="s">
        <v>1299</v>
      </c>
      <c r="D1479" s="30">
        <v>1</v>
      </c>
      <c r="E1479" s="29" t="s">
        <v>3070</v>
      </c>
      <c r="F1479" s="29" t="s">
        <v>1885</v>
      </c>
      <c r="G1479" s="29" t="s">
        <v>901</v>
      </c>
      <c r="H1479" s="29" t="s">
        <v>902</v>
      </c>
      <c r="I1479" s="29" t="s">
        <v>656</v>
      </c>
      <c r="J1479" s="29" t="s">
        <v>2692</v>
      </c>
    </row>
    <row r="1480" spans="1:10" ht="19.5" customHeight="1" x14ac:dyDescent="0.35">
      <c r="A1480" s="29" t="s">
        <v>896</v>
      </c>
      <c r="B1480" s="29" t="s">
        <v>3507</v>
      </c>
      <c r="C1480" s="29" t="s">
        <v>996</v>
      </c>
      <c r="D1480" s="30">
        <v>1</v>
      </c>
      <c r="E1480" s="29" t="s">
        <v>3070</v>
      </c>
      <c r="F1480" s="29" t="s">
        <v>1885</v>
      </c>
      <c r="G1480" s="29" t="s">
        <v>901</v>
      </c>
      <c r="H1480" s="29" t="s">
        <v>902</v>
      </c>
      <c r="I1480" s="29" t="s">
        <v>656</v>
      </c>
      <c r="J1480" s="29" t="s">
        <v>2443</v>
      </c>
    </row>
    <row r="1481" spans="1:10" ht="19.5" customHeight="1" x14ac:dyDescent="0.35">
      <c r="A1481" s="29" t="s">
        <v>896</v>
      </c>
      <c r="B1481" s="29" t="s">
        <v>3508</v>
      </c>
      <c r="C1481" s="29" t="s">
        <v>925</v>
      </c>
      <c r="D1481" s="30">
        <v>1</v>
      </c>
      <c r="E1481" s="29" t="s">
        <v>3070</v>
      </c>
      <c r="F1481" s="29" t="s">
        <v>1885</v>
      </c>
      <c r="G1481" s="29" t="s">
        <v>901</v>
      </c>
      <c r="H1481" s="29" t="s">
        <v>902</v>
      </c>
      <c r="I1481" s="29" t="s">
        <v>656</v>
      </c>
      <c r="J1481" s="29" t="s">
        <v>2222</v>
      </c>
    </row>
    <row r="1482" spans="1:10" ht="19.5" customHeight="1" x14ac:dyDescent="0.35">
      <c r="A1482" s="29" t="s">
        <v>896</v>
      </c>
      <c r="B1482" s="29" t="s">
        <v>3509</v>
      </c>
      <c r="C1482" s="29" t="s">
        <v>946</v>
      </c>
      <c r="D1482" s="30">
        <v>1</v>
      </c>
      <c r="E1482" s="29" t="s">
        <v>3070</v>
      </c>
      <c r="F1482" s="29" t="s">
        <v>1885</v>
      </c>
      <c r="G1482" s="29" t="s">
        <v>901</v>
      </c>
      <c r="H1482" s="29" t="s">
        <v>902</v>
      </c>
      <c r="I1482" s="29" t="s">
        <v>656</v>
      </c>
      <c r="J1482" s="29" t="s">
        <v>2692</v>
      </c>
    </row>
    <row r="1483" spans="1:10" ht="19.5" customHeight="1" x14ac:dyDescent="0.35">
      <c r="A1483" s="29" t="s">
        <v>896</v>
      </c>
      <c r="B1483" s="29" t="s">
        <v>3510</v>
      </c>
      <c r="C1483" s="29" t="s">
        <v>1118</v>
      </c>
      <c r="D1483" s="30">
        <v>1</v>
      </c>
      <c r="E1483" s="29" t="s">
        <v>3070</v>
      </c>
      <c r="F1483" s="29" t="s">
        <v>1885</v>
      </c>
      <c r="G1483" s="29" t="s">
        <v>901</v>
      </c>
      <c r="H1483" s="29" t="s">
        <v>902</v>
      </c>
      <c r="I1483" s="29" t="s">
        <v>656</v>
      </c>
      <c r="J1483" s="29" t="s">
        <v>2443</v>
      </c>
    </row>
    <row r="1484" spans="1:10" ht="19.5" customHeight="1" x14ac:dyDescent="0.35">
      <c r="A1484" s="29" t="s">
        <v>896</v>
      </c>
      <c r="B1484" s="29" t="s">
        <v>3511</v>
      </c>
      <c r="C1484" s="29" t="s">
        <v>925</v>
      </c>
      <c r="D1484" s="30">
        <v>1</v>
      </c>
      <c r="E1484" s="29" t="s">
        <v>3070</v>
      </c>
      <c r="F1484" s="29" t="s">
        <v>1885</v>
      </c>
      <c r="G1484" s="29" t="s">
        <v>901</v>
      </c>
      <c r="H1484" s="29" t="s">
        <v>902</v>
      </c>
      <c r="I1484" s="29" t="s">
        <v>656</v>
      </c>
      <c r="J1484" s="29" t="s">
        <v>2803</v>
      </c>
    </row>
    <row r="1485" spans="1:10" ht="19.5" customHeight="1" x14ac:dyDescent="0.35">
      <c r="A1485" s="29" t="s">
        <v>896</v>
      </c>
      <c r="B1485" s="29" t="s">
        <v>3512</v>
      </c>
      <c r="C1485" s="29" t="s">
        <v>913</v>
      </c>
      <c r="D1485" s="30">
        <v>1</v>
      </c>
      <c r="E1485" s="29" t="s">
        <v>3070</v>
      </c>
      <c r="F1485" s="29" t="s">
        <v>1885</v>
      </c>
      <c r="G1485" s="29" t="s">
        <v>901</v>
      </c>
      <c r="H1485" s="29" t="s">
        <v>902</v>
      </c>
      <c r="I1485" s="29" t="s">
        <v>656</v>
      </c>
      <c r="J1485" s="29" t="s">
        <v>2692</v>
      </c>
    </row>
    <row r="1486" spans="1:10" ht="19.5" customHeight="1" x14ac:dyDescent="0.35">
      <c r="A1486" s="29" t="s">
        <v>896</v>
      </c>
      <c r="B1486" s="29" t="s">
        <v>3513</v>
      </c>
      <c r="C1486" s="29" t="s">
        <v>1050</v>
      </c>
      <c r="D1486" s="30">
        <v>1</v>
      </c>
      <c r="E1486" s="29" t="s">
        <v>3070</v>
      </c>
      <c r="F1486" s="29" t="s">
        <v>1885</v>
      </c>
      <c r="G1486" s="29" t="s">
        <v>901</v>
      </c>
      <c r="H1486" s="29" t="s">
        <v>902</v>
      </c>
      <c r="I1486" s="29" t="s">
        <v>656</v>
      </c>
      <c r="J1486" s="29" t="s">
        <v>2692</v>
      </c>
    </row>
    <row r="1487" spans="1:10" ht="19.5" customHeight="1" x14ac:dyDescent="0.35">
      <c r="A1487" s="29" t="s">
        <v>896</v>
      </c>
      <c r="B1487" s="29" t="s">
        <v>3514</v>
      </c>
      <c r="C1487" s="29" t="s">
        <v>1077</v>
      </c>
      <c r="D1487" s="30">
        <v>1</v>
      </c>
      <c r="E1487" s="29" t="s">
        <v>3070</v>
      </c>
      <c r="F1487" s="29" t="s">
        <v>1885</v>
      </c>
      <c r="G1487" s="29" t="s">
        <v>901</v>
      </c>
      <c r="H1487" s="29" t="s">
        <v>902</v>
      </c>
      <c r="I1487" s="29" t="s">
        <v>656</v>
      </c>
      <c r="J1487" s="29" t="s">
        <v>2222</v>
      </c>
    </row>
    <row r="1488" spans="1:10" ht="19.5" customHeight="1" x14ac:dyDescent="0.35">
      <c r="A1488" s="29" t="s">
        <v>896</v>
      </c>
      <c r="B1488" s="29" t="s">
        <v>3515</v>
      </c>
      <c r="C1488" s="29" t="s">
        <v>921</v>
      </c>
      <c r="D1488" s="30">
        <v>1</v>
      </c>
      <c r="E1488" s="29" t="s">
        <v>3070</v>
      </c>
      <c r="F1488" s="29" t="s">
        <v>1885</v>
      </c>
      <c r="G1488" s="29" t="s">
        <v>901</v>
      </c>
      <c r="H1488" s="29" t="s">
        <v>902</v>
      </c>
      <c r="I1488" s="29" t="s">
        <v>656</v>
      </c>
      <c r="J1488" s="29" t="s">
        <v>2095</v>
      </c>
    </row>
    <row r="1489" spans="1:10" ht="19.5" customHeight="1" x14ac:dyDescent="0.35">
      <c r="A1489" s="29" t="s">
        <v>896</v>
      </c>
      <c r="B1489" s="29" t="s">
        <v>3516</v>
      </c>
      <c r="C1489" s="29" t="s">
        <v>925</v>
      </c>
      <c r="D1489" s="30">
        <v>1</v>
      </c>
      <c r="E1489" s="29" t="s">
        <v>3070</v>
      </c>
      <c r="F1489" s="29" t="s">
        <v>1885</v>
      </c>
      <c r="G1489" s="29" t="s">
        <v>901</v>
      </c>
      <c r="H1489" s="29" t="s">
        <v>902</v>
      </c>
      <c r="I1489" s="29" t="s">
        <v>656</v>
      </c>
      <c r="J1489" s="29" t="s">
        <v>2222</v>
      </c>
    </row>
    <row r="1490" spans="1:10" ht="19.5" customHeight="1" x14ac:dyDescent="0.35">
      <c r="A1490" s="29" t="s">
        <v>896</v>
      </c>
      <c r="B1490" s="29" t="s">
        <v>3517</v>
      </c>
      <c r="C1490" s="29" t="s">
        <v>909</v>
      </c>
      <c r="D1490" s="30">
        <v>1</v>
      </c>
      <c r="E1490" s="29" t="s">
        <v>3070</v>
      </c>
      <c r="F1490" s="29" t="s">
        <v>1885</v>
      </c>
      <c r="G1490" s="29" t="s">
        <v>901</v>
      </c>
      <c r="H1490" s="29" t="s">
        <v>902</v>
      </c>
      <c r="I1490" s="29" t="s">
        <v>656</v>
      </c>
      <c r="J1490" s="29" t="s">
        <v>2222</v>
      </c>
    </row>
    <row r="1491" spans="1:10" ht="19.5" customHeight="1" x14ac:dyDescent="0.35">
      <c r="A1491" s="29" t="s">
        <v>896</v>
      </c>
      <c r="B1491" s="29" t="s">
        <v>3518</v>
      </c>
      <c r="C1491" s="29" t="s">
        <v>909</v>
      </c>
      <c r="D1491" s="30">
        <v>1</v>
      </c>
      <c r="E1491" s="29" t="s">
        <v>3070</v>
      </c>
      <c r="F1491" s="29" t="s">
        <v>1885</v>
      </c>
      <c r="G1491" s="29" t="s">
        <v>901</v>
      </c>
      <c r="H1491" s="29" t="s">
        <v>902</v>
      </c>
      <c r="I1491" s="29" t="s">
        <v>656</v>
      </c>
      <c r="J1491" s="29" t="s">
        <v>2222</v>
      </c>
    </row>
    <row r="1492" spans="1:10" ht="19.5" customHeight="1" x14ac:dyDescent="0.35">
      <c r="A1492" s="29" t="s">
        <v>896</v>
      </c>
      <c r="B1492" s="29" t="s">
        <v>3519</v>
      </c>
      <c r="C1492" s="29" t="s">
        <v>946</v>
      </c>
      <c r="D1492" s="30">
        <v>1</v>
      </c>
      <c r="E1492" s="29" t="s">
        <v>3070</v>
      </c>
      <c r="F1492" s="29" t="s">
        <v>1885</v>
      </c>
      <c r="G1492" s="29" t="s">
        <v>901</v>
      </c>
      <c r="H1492" s="29" t="s">
        <v>902</v>
      </c>
      <c r="I1492" s="29" t="s">
        <v>656</v>
      </c>
      <c r="J1492" s="29" t="s">
        <v>2222</v>
      </c>
    </row>
    <row r="1493" spans="1:10" ht="19.5" customHeight="1" x14ac:dyDescent="0.35">
      <c r="A1493" s="29" t="s">
        <v>896</v>
      </c>
      <c r="B1493" s="29" t="s">
        <v>3520</v>
      </c>
      <c r="C1493" s="29" t="s">
        <v>909</v>
      </c>
      <c r="D1493" s="30">
        <v>1</v>
      </c>
      <c r="E1493" s="29" t="s">
        <v>3070</v>
      </c>
      <c r="F1493" s="29" t="s">
        <v>1885</v>
      </c>
      <c r="G1493" s="29" t="s">
        <v>901</v>
      </c>
      <c r="H1493" s="29" t="s">
        <v>902</v>
      </c>
      <c r="I1493" s="29" t="s">
        <v>656</v>
      </c>
      <c r="J1493" s="29" t="s">
        <v>2222</v>
      </c>
    </row>
    <row r="1494" spans="1:10" ht="19.5" customHeight="1" x14ac:dyDescent="0.35">
      <c r="A1494" s="29" t="s">
        <v>896</v>
      </c>
      <c r="B1494" s="29" t="s">
        <v>3521</v>
      </c>
      <c r="C1494" s="29" t="s">
        <v>909</v>
      </c>
      <c r="D1494" s="30">
        <v>1</v>
      </c>
      <c r="E1494" s="29" t="s">
        <v>3070</v>
      </c>
      <c r="F1494" s="29" t="s">
        <v>1885</v>
      </c>
      <c r="G1494" s="29" t="s">
        <v>901</v>
      </c>
      <c r="H1494" s="29" t="s">
        <v>902</v>
      </c>
      <c r="I1494" s="29" t="s">
        <v>656</v>
      </c>
      <c r="J1494" s="29" t="s">
        <v>2222</v>
      </c>
    </row>
    <row r="1495" spans="1:10" ht="19.5" customHeight="1" x14ac:dyDescent="0.35">
      <c r="A1495" s="29" t="s">
        <v>896</v>
      </c>
      <c r="B1495" s="29" t="s">
        <v>3522</v>
      </c>
      <c r="C1495" s="29" t="s">
        <v>1077</v>
      </c>
      <c r="D1495" s="30">
        <v>1</v>
      </c>
      <c r="E1495" s="29" t="s">
        <v>3070</v>
      </c>
      <c r="F1495" s="29" t="s">
        <v>1885</v>
      </c>
      <c r="G1495" s="29" t="s">
        <v>901</v>
      </c>
      <c r="H1495" s="29" t="s">
        <v>902</v>
      </c>
      <c r="I1495" s="29" t="s">
        <v>656</v>
      </c>
      <c r="J1495" s="29" t="s">
        <v>2972</v>
      </c>
    </row>
    <row r="1496" spans="1:10" ht="19.5" customHeight="1" x14ac:dyDescent="0.35">
      <c r="A1496" s="29" t="s">
        <v>896</v>
      </c>
      <c r="B1496" s="29" t="s">
        <v>3523</v>
      </c>
      <c r="C1496" s="29" t="s">
        <v>1050</v>
      </c>
      <c r="D1496" s="30">
        <v>1</v>
      </c>
      <c r="E1496" s="29" t="s">
        <v>3070</v>
      </c>
      <c r="F1496" s="29" t="s">
        <v>1885</v>
      </c>
      <c r="G1496" s="29" t="s">
        <v>901</v>
      </c>
      <c r="H1496" s="29" t="s">
        <v>902</v>
      </c>
      <c r="I1496" s="29" t="s">
        <v>656</v>
      </c>
      <c r="J1496" s="29" t="s">
        <v>2692</v>
      </c>
    </row>
    <row r="1497" spans="1:10" ht="19.5" customHeight="1" x14ac:dyDescent="0.35">
      <c r="A1497" s="29" t="s">
        <v>896</v>
      </c>
      <c r="B1497" s="29" t="s">
        <v>3524</v>
      </c>
      <c r="C1497" s="29" t="s">
        <v>1111</v>
      </c>
      <c r="D1497" s="30">
        <v>1</v>
      </c>
      <c r="E1497" s="29" t="s">
        <v>3070</v>
      </c>
      <c r="F1497" s="29" t="s">
        <v>1885</v>
      </c>
      <c r="G1497" s="29" t="s">
        <v>901</v>
      </c>
      <c r="H1497" s="29" t="s">
        <v>902</v>
      </c>
      <c r="I1497" s="29" t="s">
        <v>656</v>
      </c>
      <c r="J1497" s="29" t="s">
        <v>2866</v>
      </c>
    </row>
    <row r="1498" spans="1:10" ht="19.5" customHeight="1" x14ac:dyDescent="0.35">
      <c r="A1498" s="29" t="s">
        <v>896</v>
      </c>
      <c r="B1498" s="29" t="s">
        <v>3525</v>
      </c>
      <c r="C1498" s="29" t="s">
        <v>1143</v>
      </c>
      <c r="D1498" s="30">
        <v>1</v>
      </c>
      <c r="E1498" s="29" t="s">
        <v>3070</v>
      </c>
      <c r="F1498" s="29" t="s">
        <v>1885</v>
      </c>
      <c r="G1498" s="29" t="s">
        <v>901</v>
      </c>
      <c r="H1498" s="29" t="s">
        <v>902</v>
      </c>
      <c r="I1498" s="29" t="s">
        <v>656</v>
      </c>
      <c r="J1498" s="29" t="s">
        <v>2222</v>
      </c>
    </row>
    <row r="1499" spans="1:10" ht="19.5" customHeight="1" x14ac:dyDescent="0.35">
      <c r="A1499" s="29" t="s">
        <v>896</v>
      </c>
      <c r="B1499" s="29" t="s">
        <v>3526</v>
      </c>
      <c r="C1499" s="29" t="s">
        <v>909</v>
      </c>
      <c r="D1499" s="30">
        <v>1</v>
      </c>
      <c r="E1499" s="29" t="s">
        <v>3070</v>
      </c>
      <c r="F1499" s="29" t="s">
        <v>1885</v>
      </c>
      <c r="G1499" s="29" t="s">
        <v>901</v>
      </c>
      <c r="H1499" s="29" t="s">
        <v>902</v>
      </c>
      <c r="I1499" s="29" t="s">
        <v>656</v>
      </c>
      <c r="J1499" s="29" t="s">
        <v>2222</v>
      </c>
    </row>
    <row r="1500" spans="1:10" ht="19.5" customHeight="1" x14ac:dyDescent="0.35">
      <c r="A1500" s="29" t="s">
        <v>896</v>
      </c>
      <c r="B1500" s="29" t="s">
        <v>3527</v>
      </c>
      <c r="C1500" s="29" t="s">
        <v>1077</v>
      </c>
      <c r="D1500" s="30">
        <v>1</v>
      </c>
      <c r="E1500" s="29" t="s">
        <v>3070</v>
      </c>
      <c r="F1500" s="29" t="s">
        <v>1885</v>
      </c>
      <c r="G1500" s="29" t="s">
        <v>901</v>
      </c>
      <c r="H1500" s="29" t="s">
        <v>902</v>
      </c>
      <c r="I1500" s="29" t="s">
        <v>656</v>
      </c>
      <c r="J1500" s="29" t="s">
        <v>2222</v>
      </c>
    </row>
    <row r="1501" spans="1:10" ht="19.5" customHeight="1" x14ac:dyDescent="0.35">
      <c r="A1501" s="29" t="s">
        <v>896</v>
      </c>
      <c r="B1501" s="29" t="s">
        <v>3528</v>
      </c>
      <c r="C1501" s="29" t="s">
        <v>2971</v>
      </c>
      <c r="D1501" s="30">
        <v>1</v>
      </c>
      <c r="E1501" s="29" t="s">
        <v>3070</v>
      </c>
      <c r="F1501" s="29" t="s">
        <v>1885</v>
      </c>
      <c r="G1501" s="29" t="s">
        <v>901</v>
      </c>
      <c r="H1501" s="29" t="s">
        <v>902</v>
      </c>
      <c r="I1501" s="29" t="s">
        <v>656</v>
      </c>
      <c r="J1501" s="29" t="s">
        <v>2692</v>
      </c>
    </row>
    <row r="1502" spans="1:10" ht="19.5" customHeight="1" x14ac:dyDescent="0.35">
      <c r="A1502" s="29" t="s">
        <v>896</v>
      </c>
      <c r="B1502" s="29" t="s">
        <v>3529</v>
      </c>
      <c r="C1502" s="29" t="s">
        <v>1077</v>
      </c>
      <c r="D1502" s="30">
        <v>1</v>
      </c>
      <c r="E1502" s="29" t="s">
        <v>3070</v>
      </c>
      <c r="F1502" s="29" t="s">
        <v>1885</v>
      </c>
      <c r="G1502" s="29" t="s">
        <v>901</v>
      </c>
      <c r="H1502" s="29" t="s">
        <v>902</v>
      </c>
      <c r="I1502" s="29" t="s">
        <v>656</v>
      </c>
      <c r="J1502" s="29" t="s">
        <v>2829</v>
      </c>
    </row>
    <row r="1503" spans="1:10" ht="19.5" customHeight="1" x14ac:dyDescent="0.35">
      <c r="A1503" s="29" t="s">
        <v>896</v>
      </c>
      <c r="B1503" s="29" t="s">
        <v>3530</v>
      </c>
      <c r="C1503" s="29" t="s">
        <v>946</v>
      </c>
      <c r="D1503" s="30">
        <v>1</v>
      </c>
      <c r="E1503" s="29" t="s">
        <v>3070</v>
      </c>
      <c r="F1503" s="29" t="s">
        <v>1885</v>
      </c>
      <c r="G1503" s="29" t="s">
        <v>901</v>
      </c>
      <c r="H1503" s="29" t="s">
        <v>902</v>
      </c>
      <c r="I1503" s="29" t="s">
        <v>656</v>
      </c>
      <c r="J1503" s="29" t="s">
        <v>2222</v>
      </c>
    </row>
    <row r="1504" spans="1:10" ht="19.5" customHeight="1" x14ac:dyDescent="0.35">
      <c r="A1504" s="29" t="s">
        <v>896</v>
      </c>
      <c r="B1504" s="29" t="s">
        <v>3531</v>
      </c>
      <c r="C1504" s="29" t="s">
        <v>946</v>
      </c>
      <c r="D1504" s="30">
        <v>1</v>
      </c>
      <c r="E1504" s="29" t="s">
        <v>3070</v>
      </c>
      <c r="F1504" s="29" t="s">
        <v>1885</v>
      </c>
      <c r="G1504" s="29" t="s">
        <v>901</v>
      </c>
      <c r="H1504" s="29" t="s">
        <v>902</v>
      </c>
      <c r="I1504" s="29" t="s">
        <v>656</v>
      </c>
      <c r="J1504" s="29" t="s">
        <v>2222</v>
      </c>
    </row>
    <row r="1505" spans="1:10" ht="19.5" customHeight="1" x14ac:dyDescent="0.35">
      <c r="A1505" s="29" t="s">
        <v>896</v>
      </c>
      <c r="B1505" s="29" t="s">
        <v>3532</v>
      </c>
      <c r="C1505" s="29" t="s">
        <v>2971</v>
      </c>
      <c r="D1505" s="30">
        <v>1</v>
      </c>
      <c r="E1505" s="29" t="s">
        <v>3070</v>
      </c>
      <c r="F1505" s="29" t="s">
        <v>1885</v>
      </c>
      <c r="G1505" s="29" t="s">
        <v>901</v>
      </c>
      <c r="H1505" s="29" t="s">
        <v>902</v>
      </c>
      <c r="I1505" s="29" t="s">
        <v>656</v>
      </c>
      <c r="J1505" s="29" t="s">
        <v>2222</v>
      </c>
    </row>
    <row r="1506" spans="1:10" ht="19.5" customHeight="1" x14ac:dyDescent="0.35">
      <c r="A1506" s="29" t="s">
        <v>896</v>
      </c>
      <c r="B1506" s="29" t="s">
        <v>3533</v>
      </c>
      <c r="C1506" s="29" t="s">
        <v>1817</v>
      </c>
      <c r="D1506" s="30">
        <v>1</v>
      </c>
      <c r="E1506" s="29" t="s">
        <v>3070</v>
      </c>
      <c r="F1506" s="29" t="s">
        <v>1885</v>
      </c>
      <c r="G1506" s="29" t="s">
        <v>901</v>
      </c>
      <c r="H1506" s="29" t="s">
        <v>902</v>
      </c>
      <c r="I1506" s="29" t="s">
        <v>656</v>
      </c>
      <c r="J1506" s="29" t="s">
        <v>2443</v>
      </c>
    </row>
    <row r="1507" spans="1:10" ht="19.5" customHeight="1" x14ac:dyDescent="0.35">
      <c r="A1507" s="29" t="s">
        <v>896</v>
      </c>
      <c r="B1507" s="29" t="s">
        <v>3534</v>
      </c>
      <c r="C1507" s="29" t="s">
        <v>1143</v>
      </c>
      <c r="D1507" s="30">
        <v>1</v>
      </c>
      <c r="E1507" s="29" t="s">
        <v>3070</v>
      </c>
      <c r="F1507" s="29" t="s">
        <v>1885</v>
      </c>
      <c r="G1507" s="29" t="s">
        <v>901</v>
      </c>
      <c r="H1507" s="29" t="s">
        <v>902</v>
      </c>
      <c r="I1507" s="29" t="s">
        <v>656</v>
      </c>
      <c r="J1507" s="29" t="s">
        <v>2649</v>
      </c>
    </row>
    <row r="1508" spans="1:10" ht="19.5" customHeight="1" x14ac:dyDescent="0.35">
      <c r="A1508" s="29" t="s">
        <v>896</v>
      </c>
      <c r="B1508" s="29" t="s">
        <v>3535</v>
      </c>
      <c r="C1508" s="29" t="s">
        <v>1118</v>
      </c>
      <c r="D1508" s="30">
        <v>1</v>
      </c>
      <c r="E1508" s="29" t="s">
        <v>3070</v>
      </c>
      <c r="F1508" s="29" t="s">
        <v>1885</v>
      </c>
      <c r="G1508" s="29" t="s">
        <v>901</v>
      </c>
      <c r="H1508" s="29" t="s">
        <v>902</v>
      </c>
      <c r="I1508" s="29" t="s">
        <v>656</v>
      </c>
      <c r="J1508" s="29" t="s">
        <v>2222</v>
      </c>
    </row>
    <row r="1509" spans="1:10" ht="19.5" customHeight="1" x14ac:dyDescent="0.35">
      <c r="A1509" s="29" t="s">
        <v>896</v>
      </c>
      <c r="B1509" s="29" t="s">
        <v>3536</v>
      </c>
      <c r="C1509" s="29" t="s">
        <v>946</v>
      </c>
      <c r="D1509" s="30">
        <v>1</v>
      </c>
      <c r="E1509" s="29" t="s">
        <v>3070</v>
      </c>
      <c r="F1509" s="29" t="s">
        <v>1885</v>
      </c>
      <c r="G1509" s="29" t="s">
        <v>901</v>
      </c>
      <c r="H1509" s="29" t="s">
        <v>902</v>
      </c>
      <c r="I1509" s="29" t="s">
        <v>656</v>
      </c>
      <c r="J1509" s="29" t="s">
        <v>2222</v>
      </c>
    </row>
    <row r="1510" spans="1:10" ht="19.5" customHeight="1" x14ac:dyDescent="0.35">
      <c r="A1510" s="29" t="s">
        <v>896</v>
      </c>
      <c r="B1510" s="29" t="s">
        <v>3537</v>
      </c>
      <c r="C1510" s="29" t="s">
        <v>1143</v>
      </c>
      <c r="D1510" s="30">
        <v>1</v>
      </c>
      <c r="E1510" s="29" t="s">
        <v>3070</v>
      </c>
      <c r="F1510" s="29" t="s">
        <v>1885</v>
      </c>
      <c r="G1510" s="29" t="s">
        <v>901</v>
      </c>
      <c r="H1510" s="29" t="s">
        <v>902</v>
      </c>
      <c r="I1510" s="29" t="s">
        <v>656</v>
      </c>
      <c r="J1510" s="29" t="s">
        <v>2222</v>
      </c>
    </row>
    <row r="1511" spans="1:10" ht="19.5" customHeight="1" x14ac:dyDescent="0.35">
      <c r="A1511" s="29" t="s">
        <v>896</v>
      </c>
      <c r="B1511" s="29" t="s">
        <v>3538</v>
      </c>
      <c r="C1511" s="29" t="s">
        <v>989</v>
      </c>
      <c r="D1511" s="30">
        <v>1</v>
      </c>
      <c r="E1511" s="29" t="s">
        <v>3070</v>
      </c>
      <c r="F1511" s="29" t="s">
        <v>1885</v>
      </c>
      <c r="G1511" s="29" t="s">
        <v>901</v>
      </c>
      <c r="H1511" s="29" t="s">
        <v>902</v>
      </c>
      <c r="I1511" s="29" t="s">
        <v>656</v>
      </c>
      <c r="J1511" s="29" t="s">
        <v>2692</v>
      </c>
    </row>
    <row r="1512" spans="1:10" ht="19.5" customHeight="1" x14ac:dyDescent="0.35">
      <c r="A1512" s="29" t="s">
        <v>896</v>
      </c>
      <c r="B1512" s="29" t="s">
        <v>3539</v>
      </c>
      <c r="C1512" s="29" t="s">
        <v>1690</v>
      </c>
      <c r="D1512" s="30">
        <v>1</v>
      </c>
      <c r="E1512" s="29" t="s">
        <v>3070</v>
      </c>
      <c r="F1512" s="29" t="s">
        <v>1885</v>
      </c>
      <c r="G1512" s="29" t="s">
        <v>901</v>
      </c>
      <c r="H1512" s="29" t="s">
        <v>902</v>
      </c>
      <c r="I1512" s="29" t="s">
        <v>656</v>
      </c>
      <c r="J1512" s="29" t="s">
        <v>2803</v>
      </c>
    </row>
    <row r="1513" spans="1:10" ht="19.5" customHeight="1" x14ac:dyDescent="0.35">
      <c r="A1513" s="29" t="s">
        <v>896</v>
      </c>
      <c r="B1513" s="29" t="s">
        <v>3540</v>
      </c>
      <c r="C1513" s="29" t="s">
        <v>1077</v>
      </c>
      <c r="D1513" s="30">
        <v>1</v>
      </c>
      <c r="E1513" s="29" t="s">
        <v>3070</v>
      </c>
      <c r="F1513" s="29" t="s">
        <v>1885</v>
      </c>
      <c r="G1513" s="29" t="s">
        <v>901</v>
      </c>
      <c r="H1513" s="29" t="s">
        <v>902</v>
      </c>
      <c r="I1513" s="29" t="s">
        <v>656</v>
      </c>
      <c r="J1513" s="29" t="s">
        <v>2222</v>
      </c>
    </row>
    <row r="1514" spans="1:10" ht="19.5" customHeight="1" x14ac:dyDescent="0.35">
      <c r="A1514" s="29" t="s">
        <v>896</v>
      </c>
      <c r="B1514" s="29" t="s">
        <v>3541</v>
      </c>
      <c r="C1514" s="29" t="s">
        <v>1659</v>
      </c>
      <c r="D1514" s="30">
        <v>1</v>
      </c>
      <c r="E1514" s="29" t="s">
        <v>3070</v>
      </c>
      <c r="F1514" s="29" t="s">
        <v>1885</v>
      </c>
      <c r="G1514" s="29" t="s">
        <v>901</v>
      </c>
      <c r="H1514" s="29" t="s">
        <v>902</v>
      </c>
      <c r="I1514" s="29" t="s">
        <v>656</v>
      </c>
      <c r="J1514" s="29" t="s">
        <v>2443</v>
      </c>
    </row>
    <row r="1515" spans="1:10" ht="19.5" customHeight="1" x14ac:dyDescent="0.35">
      <c r="A1515" s="29" t="s">
        <v>896</v>
      </c>
      <c r="B1515" s="29" t="s">
        <v>3542</v>
      </c>
      <c r="C1515" s="29" t="s">
        <v>1077</v>
      </c>
      <c r="D1515" s="30">
        <v>1</v>
      </c>
      <c r="E1515" s="29" t="s">
        <v>3070</v>
      </c>
      <c r="F1515" s="29" t="s">
        <v>1885</v>
      </c>
      <c r="G1515" s="29" t="s">
        <v>901</v>
      </c>
      <c r="H1515" s="29" t="s">
        <v>902</v>
      </c>
      <c r="I1515" s="29" t="s">
        <v>656</v>
      </c>
      <c r="J1515" s="29" t="s">
        <v>2222</v>
      </c>
    </row>
    <row r="1516" spans="1:10" ht="19.5" customHeight="1" x14ac:dyDescent="0.35">
      <c r="A1516" s="29" t="s">
        <v>896</v>
      </c>
      <c r="B1516" s="29" t="s">
        <v>3543</v>
      </c>
      <c r="C1516" s="29" t="s">
        <v>1659</v>
      </c>
      <c r="D1516" s="30">
        <v>1</v>
      </c>
      <c r="E1516" s="29" t="s">
        <v>3070</v>
      </c>
      <c r="F1516" s="29" t="s">
        <v>1885</v>
      </c>
      <c r="G1516" s="29" t="s">
        <v>901</v>
      </c>
      <c r="H1516" s="29" t="s">
        <v>902</v>
      </c>
      <c r="I1516" s="29" t="s">
        <v>656</v>
      </c>
      <c r="J1516" s="29" t="s">
        <v>2222</v>
      </c>
    </row>
    <row r="1517" spans="1:10" ht="19.5" customHeight="1" x14ac:dyDescent="0.35">
      <c r="A1517" s="29" t="s">
        <v>896</v>
      </c>
      <c r="B1517" s="29" t="s">
        <v>3544</v>
      </c>
      <c r="C1517" s="29" t="s">
        <v>929</v>
      </c>
      <c r="D1517" s="30">
        <v>1</v>
      </c>
      <c r="E1517" s="29" t="s">
        <v>3070</v>
      </c>
      <c r="F1517" s="29" t="s">
        <v>1885</v>
      </c>
      <c r="G1517" s="29" t="s">
        <v>901</v>
      </c>
      <c r="H1517" s="29" t="s">
        <v>902</v>
      </c>
      <c r="I1517" s="29" t="s">
        <v>656</v>
      </c>
      <c r="J1517" s="29" t="s">
        <v>2222</v>
      </c>
    </row>
    <row r="1518" spans="1:10" ht="19.5" customHeight="1" x14ac:dyDescent="0.35">
      <c r="A1518" s="29" t="s">
        <v>896</v>
      </c>
      <c r="B1518" s="29" t="s">
        <v>3545</v>
      </c>
      <c r="C1518" s="29" t="s">
        <v>2602</v>
      </c>
      <c r="D1518" s="30">
        <v>1</v>
      </c>
      <c r="E1518" s="29" t="s">
        <v>3070</v>
      </c>
      <c r="F1518" s="29" t="s">
        <v>1885</v>
      </c>
      <c r="G1518" s="29" t="s">
        <v>901</v>
      </c>
      <c r="H1518" s="29" t="s">
        <v>902</v>
      </c>
      <c r="I1518" s="29" t="s">
        <v>656</v>
      </c>
      <c r="J1518" s="29" t="s">
        <v>2222</v>
      </c>
    </row>
    <row r="1519" spans="1:10" ht="19.5" customHeight="1" x14ac:dyDescent="0.35">
      <c r="A1519" s="29" t="s">
        <v>896</v>
      </c>
      <c r="B1519" s="29" t="s">
        <v>3546</v>
      </c>
      <c r="C1519" s="29" t="s">
        <v>2602</v>
      </c>
      <c r="D1519" s="30">
        <v>1</v>
      </c>
      <c r="E1519" s="29" t="s">
        <v>3070</v>
      </c>
      <c r="F1519" s="29" t="s">
        <v>1885</v>
      </c>
      <c r="G1519" s="29" t="s">
        <v>901</v>
      </c>
      <c r="H1519" s="29" t="s">
        <v>902</v>
      </c>
      <c r="I1519" s="29" t="s">
        <v>656</v>
      </c>
      <c r="J1519" s="29" t="s">
        <v>2222</v>
      </c>
    </row>
    <row r="1520" spans="1:10" ht="19.5" customHeight="1" x14ac:dyDescent="0.35">
      <c r="A1520" s="29" t="s">
        <v>896</v>
      </c>
      <c r="B1520" s="29" t="s">
        <v>3547</v>
      </c>
      <c r="C1520" s="29" t="s">
        <v>2602</v>
      </c>
      <c r="D1520" s="30">
        <v>1</v>
      </c>
      <c r="E1520" s="29" t="s">
        <v>3070</v>
      </c>
      <c r="F1520" s="29" t="s">
        <v>1885</v>
      </c>
      <c r="G1520" s="29" t="s">
        <v>901</v>
      </c>
      <c r="H1520" s="29" t="s">
        <v>902</v>
      </c>
      <c r="I1520" s="29" t="s">
        <v>656</v>
      </c>
      <c r="J1520" s="29" t="s">
        <v>2222</v>
      </c>
    </row>
    <row r="1521" spans="1:10" ht="19.5" customHeight="1" x14ac:dyDescent="0.35">
      <c r="A1521" s="29" t="s">
        <v>896</v>
      </c>
      <c r="B1521" s="29" t="s">
        <v>3548</v>
      </c>
      <c r="C1521" s="29" t="s">
        <v>1817</v>
      </c>
      <c r="D1521" s="30">
        <v>1</v>
      </c>
      <c r="E1521" s="29" t="s">
        <v>3070</v>
      </c>
      <c r="F1521" s="29" t="s">
        <v>1885</v>
      </c>
      <c r="G1521" s="29" t="s">
        <v>901</v>
      </c>
      <c r="H1521" s="29" t="s">
        <v>902</v>
      </c>
      <c r="I1521" s="29" t="s">
        <v>656</v>
      </c>
      <c r="J1521" s="29" t="s">
        <v>2443</v>
      </c>
    </row>
    <row r="1522" spans="1:10" ht="19.5" customHeight="1" x14ac:dyDescent="0.35">
      <c r="A1522" s="29" t="s">
        <v>896</v>
      </c>
      <c r="B1522" s="29" t="s">
        <v>3549</v>
      </c>
      <c r="C1522" s="29" t="s">
        <v>1143</v>
      </c>
      <c r="D1522" s="30">
        <v>1</v>
      </c>
      <c r="E1522" s="29" t="s">
        <v>3070</v>
      </c>
      <c r="F1522" s="29" t="s">
        <v>1885</v>
      </c>
      <c r="G1522" s="29" t="s">
        <v>901</v>
      </c>
      <c r="H1522" s="29" t="s">
        <v>902</v>
      </c>
      <c r="I1522" s="29" t="s">
        <v>656</v>
      </c>
      <c r="J1522" s="29" t="s">
        <v>2222</v>
      </c>
    </row>
    <row r="1523" spans="1:10" ht="19.5" customHeight="1" x14ac:dyDescent="0.35">
      <c r="A1523" s="29" t="s">
        <v>896</v>
      </c>
      <c r="B1523" s="29" t="s">
        <v>3550</v>
      </c>
      <c r="C1523" s="29" t="s">
        <v>1143</v>
      </c>
      <c r="D1523" s="30">
        <v>1</v>
      </c>
      <c r="E1523" s="29" t="s">
        <v>3070</v>
      </c>
      <c r="F1523" s="29" t="s">
        <v>1885</v>
      </c>
      <c r="G1523" s="29" t="s">
        <v>901</v>
      </c>
      <c r="H1523" s="29" t="s">
        <v>902</v>
      </c>
      <c r="I1523" s="29" t="s">
        <v>656</v>
      </c>
      <c r="J1523" s="29" t="s">
        <v>2222</v>
      </c>
    </row>
    <row r="1524" spans="1:10" ht="19.5" customHeight="1" x14ac:dyDescent="0.35">
      <c r="A1524" s="29" t="s">
        <v>896</v>
      </c>
      <c r="B1524" s="29" t="s">
        <v>3551</v>
      </c>
      <c r="C1524" s="29" t="s">
        <v>1659</v>
      </c>
      <c r="D1524" s="30">
        <v>1</v>
      </c>
      <c r="E1524" s="29" t="s">
        <v>3070</v>
      </c>
      <c r="F1524" s="29" t="s">
        <v>1885</v>
      </c>
      <c r="G1524" s="29" t="s">
        <v>901</v>
      </c>
      <c r="H1524" s="29" t="s">
        <v>902</v>
      </c>
      <c r="I1524" s="29" t="s">
        <v>656</v>
      </c>
      <c r="J1524" s="29" t="s">
        <v>2649</v>
      </c>
    </row>
    <row r="1525" spans="1:10" ht="19.5" customHeight="1" x14ac:dyDescent="0.35">
      <c r="A1525" s="29" t="s">
        <v>896</v>
      </c>
      <c r="B1525" s="29" t="s">
        <v>3552</v>
      </c>
      <c r="C1525" s="29" t="s">
        <v>1077</v>
      </c>
      <c r="D1525" s="30">
        <v>1</v>
      </c>
      <c r="E1525" s="29" t="s">
        <v>3070</v>
      </c>
      <c r="F1525" s="29" t="s">
        <v>1885</v>
      </c>
      <c r="G1525" s="29" t="s">
        <v>901</v>
      </c>
      <c r="H1525" s="29" t="s">
        <v>902</v>
      </c>
      <c r="I1525" s="29" t="s">
        <v>656</v>
      </c>
      <c r="J1525" s="29" t="s">
        <v>2222</v>
      </c>
    </row>
    <row r="1526" spans="1:10" ht="19.5" customHeight="1" x14ac:dyDescent="0.35">
      <c r="A1526" s="29" t="s">
        <v>896</v>
      </c>
      <c r="B1526" s="29" t="s">
        <v>3553</v>
      </c>
      <c r="C1526" s="29" t="s">
        <v>963</v>
      </c>
      <c r="D1526" s="30">
        <v>1</v>
      </c>
      <c r="E1526" s="29" t="s">
        <v>3070</v>
      </c>
      <c r="F1526" s="29" t="s">
        <v>1885</v>
      </c>
      <c r="G1526" s="29" t="s">
        <v>901</v>
      </c>
      <c r="H1526" s="29" t="s">
        <v>902</v>
      </c>
      <c r="I1526" s="29" t="s">
        <v>656</v>
      </c>
      <c r="J1526" s="29" t="s">
        <v>2222</v>
      </c>
    </row>
    <row r="1527" spans="1:10" ht="19.5" customHeight="1" x14ac:dyDescent="0.35">
      <c r="A1527" s="29" t="s">
        <v>896</v>
      </c>
      <c r="B1527" s="29" t="s">
        <v>3554</v>
      </c>
      <c r="C1527" s="29" t="s">
        <v>909</v>
      </c>
      <c r="D1527" s="30">
        <v>1</v>
      </c>
      <c r="E1527" s="29" t="s">
        <v>3070</v>
      </c>
      <c r="F1527" s="29" t="s">
        <v>1885</v>
      </c>
      <c r="G1527" s="29" t="s">
        <v>901</v>
      </c>
      <c r="H1527" s="29" t="s">
        <v>902</v>
      </c>
      <c r="I1527" s="29" t="s">
        <v>656</v>
      </c>
      <c r="J1527" s="29" t="s">
        <v>2443</v>
      </c>
    </row>
    <row r="1528" spans="1:10" ht="19.5" customHeight="1" x14ac:dyDescent="0.35">
      <c r="A1528" s="29" t="s">
        <v>896</v>
      </c>
      <c r="B1528" s="29" t="s">
        <v>3555</v>
      </c>
      <c r="C1528" s="29" t="s">
        <v>1240</v>
      </c>
      <c r="D1528" s="30">
        <v>1</v>
      </c>
      <c r="E1528" s="29" t="s">
        <v>3070</v>
      </c>
      <c r="F1528" s="29" t="s">
        <v>1885</v>
      </c>
      <c r="G1528" s="29" t="s">
        <v>901</v>
      </c>
      <c r="H1528" s="29" t="s">
        <v>902</v>
      </c>
      <c r="I1528" s="29" t="s">
        <v>656</v>
      </c>
      <c r="J1528" s="29" t="s">
        <v>2443</v>
      </c>
    </row>
    <row r="1529" spans="1:10" ht="19.5" customHeight="1" x14ac:dyDescent="0.35">
      <c r="A1529" s="29" t="s">
        <v>896</v>
      </c>
      <c r="B1529" s="29" t="s">
        <v>3556</v>
      </c>
      <c r="C1529" s="29" t="s">
        <v>1817</v>
      </c>
      <c r="D1529" s="30">
        <v>1</v>
      </c>
      <c r="E1529" s="29" t="s">
        <v>3070</v>
      </c>
      <c r="F1529" s="29" t="s">
        <v>1885</v>
      </c>
      <c r="G1529" s="29" t="s">
        <v>901</v>
      </c>
      <c r="H1529" s="29" t="s">
        <v>902</v>
      </c>
      <c r="I1529" s="29" t="s">
        <v>656</v>
      </c>
      <c r="J1529" s="29" t="s">
        <v>2649</v>
      </c>
    </row>
    <row r="1530" spans="1:10" ht="19.5" customHeight="1" x14ac:dyDescent="0.35">
      <c r="A1530" s="29" t="s">
        <v>896</v>
      </c>
      <c r="B1530" s="29" t="s">
        <v>3557</v>
      </c>
      <c r="C1530" s="29" t="s">
        <v>905</v>
      </c>
      <c r="D1530" s="30">
        <v>1</v>
      </c>
      <c r="E1530" s="29" t="s">
        <v>3070</v>
      </c>
      <c r="F1530" s="29" t="s">
        <v>1885</v>
      </c>
      <c r="G1530" s="29" t="s">
        <v>901</v>
      </c>
      <c r="H1530" s="29" t="s">
        <v>902</v>
      </c>
      <c r="I1530" s="29" t="s">
        <v>656</v>
      </c>
      <c r="J1530" s="29" t="s">
        <v>2222</v>
      </c>
    </row>
    <row r="1531" spans="1:10" ht="19.5" customHeight="1" x14ac:dyDescent="0.35">
      <c r="A1531" s="29" t="s">
        <v>896</v>
      </c>
      <c r="B1531" s="29" t="s">
        <v>3558</v>
      </c>
      <c r="C1531" s="29" t="s">
        <v>921</v>
      </c>
      <c r="D1531" s="30">
        <v>1</v>
      </c>
      <c r="E1531" s="29" t="s">
        <v>3070</v>
      </c>
      <c r="F1531" s="29" t="s">
        <v>1885</v>
      </c>
      <c r="G1531" s="29" t="s">
        <v>901</v>
      </c>
      <c r="H1531" s="29" t="s">
        <v>902</v>
      </c>
      <c r="I1531" s="29" t="s">
        <v>656</v>
      </c>
      <c r="J1531" s="29" t="s">
        <v>3044</v>
      </c>
    </row>
    <row r="1532" spans="1:10" ht="19.5" customHeight="1" x14ac:dyDescent="0.35">
      <c r="A1532" s="29" t="s">
        <v>896</v>
      </c>
      <c r="B1532" s="29" t="s">
        <v>3559</v>
      </c>
      <c r="C1532" s="29" t="s">
        <v>1240</v>
      </c>
      <c r="D1532" s="30">
        <v>1</v>
      </c>
      <c r="E1532" s="29" t="s">
        <v>3070</v>
      </c>
      <c r="F1532" s="29" t="s">
        <v>1885</v>
      </c>
      <c r="G1532" s="29" t="s">
        <v>901</v>
      </c>
      <c r="H1532" s="29" t="s">
        <v>902</v>
      </c>
      <c r="I1532" s="29" t="s">
        <v>656</v>
      </c>
      <c r="J1532" s="29" t="s">
        <v>2443</v>
      </c>
    </row>
    <row r="1533" spans="1:10" ht="19.5" customHeight="1" x14ac:dyDescent="0.35">
      <c r="A1533" s="29" t="s">
        <v>896</v>
      </c>
      <c r="B1533" s="29" t="s">
        <v>3560</v>
      </c>
      <c r="C1533" s="29" t="s">
        <v>1143</v>
      </c>
      <c r="D1533" s="30">
        <v>1</v>
      </c>
      <c r="E1533" s="29" t="s">
        <v>3070</v>
      </c>
      <c r="F1533" s="29" t="s">
        <v>1885</v>
      </c>
      <c r="G1533" s="29" t="s">
        <v>901</v>
      </c>
      <c r="H1533" s="29" t="s">
        <v>902</v>
      </c>
      <c r="I1533" s="29" t="s">
        <v>656</v>
      </c>
      <c r="J1533" s="29" t="s">
        <v>2222</v>
      </c>
    </row>
    <row r="1534" spans="1:10" ht="19.5" customHeight="1" x14ac:dyDescent="0.35">
      <c r="A1534" s="29" t="s">
        <v>896</v>
      </c>
      <c r="B1534" s="29" t="s">
        <v>3561</v>
      </c>
      <c r="C1534" s="29" t="s">
        <v>1118</v>
      </c>
      <c r="D1534" s="30">
        <v>1</v>
      </c>
      <c r="E1534" s="29" t="s">
        <v>3070</v>
      </c>
      <c r="F1534" s="29" t="s">
        <v>1885</v>
      </c>
      <c r="G1534" s="29" t="s">
        <v>901</v>
      </c>
      <c r="H1534" s="29" t="s">
        <v>902</v>
      </c>
      <c r="I1534" s="29" t="s">
        <v>656</v>
      </c>
      <c r="J1534" s="29" t="s">
        <v>2866</v>
      </c>
    </row>
    <row r="1535" spans="1:10" ht="19.5" customHeight="1" x14ac:dyDescent="0.35">
      <c r="A1535" s="29" t="s">
        <v>896</v>
      </c>
      <c r="B1535" s="29" t="s">
        <v>3562</v>
      </c>
      <c r="C1535" s="29" t="s">
        <v>989</v>
      </c>
      <c r="D1535" s="30">
        <v>1</v>
      </c>
      <c r="E1535" s="29" t="s">
        <v>3070</v>
      </c>
      <c r="F1535" s="29" t="s">
        <v>1885</v>
      </c>
      <c r="G1535" s="29" t="s">
        <v>901</v>
      </c>
      <c r="H1535" s="29" t="s">
        <v>902</v>
      </c>
      <c r="I1535" s="29" t="s">
        <v>656</v>
      </c>
      <c r="J1535" s="29" t="s">
        <v>2692</v>
      </c>
    </row>
    <row r="1536" spans="1:10" ht="19.5" customHeight="1" x14ac:dyDescent="0.35">
      <c r="A1536" s="29" t="s">
        <v>896</v>
      </c>
      <c r="B1536" s="29" t="s">
        <v>3563</v>
      </c>
      <c r="C1536" s="29" t="s">
        <v>959</v>
      </c>
      <c r="D1536" s="30">
        <v>1</v>
      </c>
      <c r="E1536" s="29" t="s">
        <v>3070</v>
      </c>
      <c r="F1536" s="29" t="s">
        <v>1885</v>
      </c>
      <c r="G1536" s="29" t="s">
        <v>901</v>
      </c>
      <c r="H1536" s="29" t="s">
        <v>902</v>
      </c>
      <c r="I1536" s="29" t="s">
        <v>656</v>
      </c>
      <c r="J1536" s="29" t="s">
        <v>2222</v>
      </c>
    </row>
    <row r="1537" spans="1:10" ht="19.5" customHeight="1" x14ac:dyDescent="0.35">
      <c r="A1537" s="29" t="s">
        <v>896</v>
      </c>
      <c r="B1537" s="29" t="s">
        <v>3564</v>
      </c>
      <c r="C1537" s="29" t="s">
        <v>1494</v>
      </c>
      <c r="D1537" s="30">
        <v>1</v>
      </c>
      <c r="E1537" s="29" t="s">
        <v>3070</v>
      </c>
      <c r="F1537" s="29" t="s">
        <v>1885</v>
      </c>
      <c r="G1537" s="29" t="s">
        <v>901</v>
      </c>
      <c r="H1537" s="29" t="s">
        <v>902</v>
      </c>
      <c r="I1537" s="29" t="s">
        <v>656</v>
      </c>
      <c r="J1537" s="29" t="s">
        <v>2649</v>
      </c>
    </row>
    <row r="1538" spans="1:10" ht="19.5" customHeight="1" x14ac:dyDescent="0.35">
      <c r="A1538" s="29" t="s">
        <v>896</v>
      </c>
      <c r="B1538" s="29" t="s">
        <v>3565</v>
      </c>
      <c r="C1538" s="29" t="s">
        <v>898</v>
      </c>
      <c r="D1538" s="30">
        <v>1</v>
      </c>
      <c r="E1538" s="29" t="s">
        <v>3070</v>
      </c>
      <c r="F1538" s="29" t="s">
        <v>1885</v>
      </c>
      <c r="G1538" s="29" t="s">
        <v>901</v>
      </c>
      <c r="H1538" s="29" t="s">
        <v>902</v>
      </c>
      <c r="I1538" s="29" t="s">
        <v>656</v>
      </c>
      <c r="J1538" s="29" t="s">
        <v>2649</v>
      </c>
    </row>
    <row r="1539" spans="1:10" ht="19.5" customHeight="1" x14ac:dyDescent="0.35">
      <c r="A1539" s="29" t="s">
        <v>896</v>
      </c>
      <c r="B1539" s="29" t="s">
        <v>3566</v>
      </c>
      <c r="C1539" s="29" t="s">
        <v>1084</v>
      </c>
      <c r="D1539" s="30">
        <v>1</v>
      </c>
      <c r="E1539" s="29" t="s">
        <v>3070</v>
      </c>
      <c r="F1539" s="29" t="s">
        <v>1885</v>
      </c>
      <c r="G1539" s="29" t="s">
        <v>901</v>
      </c>
      <c r="H1539" s="29" t="s">
        <v>902</v>
      </c>
      <c r="I1539" s="29" t="s">
        <v>656</v>
      </c>
      <c r="J1539" s="29" t="s">
        <v>2222</v>
      </c>
    </row>
    <row r="1540" spans="1:10" ht="19.5" customHeight="1" x14ac:dyDescent="0.35">
      <c r="A1540" s="29" t="s">
        <v>896</v>
      </c>
      <c r="B1540" s="29" t="s">
        <v>3567</v>
      </c>
      <c r="C1540" s="29" t="s">
        <v>2971</v>
      </c>
      <c r="D1540" s="30">
        <v>1</v>
      </c>
      <c r="E1540" s="29" t="s">
        <v>3070</v>
      </c>
      <c r="F1540" s="29" t="s">
        <v>1885</v>
      </c>
      <c r="G1540" s="29" t="s">
        <v>901</v>
      </c>
      <c r="H1540" s="29" t="s">
        <v>902</v>
      </c>
      <c r="I1540" s="29" t="s">
        <v>656</v>
      </c>
      <c r="J1540" s="29" t="s">
        <v>2649</v>
      </c>
    </row>
    <row r="1541" spans="1:10" ht="19.5" customHeight="1" x14ac:dyDescent="0.35">
      <c r="A1541" s="29" t="s">
        <v>896</v>
      </c>
      <c r="B1541" s="29" t="s">
        <v>3568</v>
      </c>
      <c r="C1541" s="29" t="s">
        <v>959</v>
      </c>
      <c r="D1541" s="30">
        <v>1</v>
      </c>
      <c r="E1541" s="29" t="s">
        <v>3070</v>
      </c>
      <c r="F1541" s="29" t="s">
        <v>1885</v>
      </c>
      <c r="G1541" s="29" t="s">
        <v>901</v>
      </c>
      <c r="H1541" s="29" t="s">
        <v>902</v>
      </c>
      <c r="I1541" s="29" t="s">
        <v>656</v>
      </c>
      <c r="J1541" s="29" t="s">
        <v>2222</v>
      </c>
    </row>
    <row r="1542" spans="1:10" ht="19.5" customHeight="1" x14ac:dyDescent="0.35">
      <c r="A1542" s="29" t="s">
        <v>896</v>
      </c>
      <c r="B1542" s="29" t="s">
        <v>3569</v>
      </c>
      <c r="C1542" s="29" t="s">
        <v>905</v>
      </c>
      <c r="D1542" s="30">
        <v>1</v>
      </c>
      <c r="E1542" s="29" t="s">
        <v>3070</v>
      </c>
      <c r="F1542" s="29" t="s">
        <v>1885</v>
      </c>
      <c r="G1542" s="29" t="s">
        <v>901</v>
      </c>
      <c r="H1542" s="29" t="s">
        <v>902</v>
      </c>
      <c r="I1542" s="29" t="s">
        <v>656</v>
      </c>
      <c r="J1542" s="29" t="s">
        <v>2866</v>
      </c>
    </row>
    <row r="1543" spans="1:10" ht="19.5" customHeight="1" x14ac:dyDescent="0.35">
      <c r="A1543" s="29" t="s">
        <v>896</v>
      </c>
      <c r="B1543" s="29" t="s">
        <v>3570</v>
      </c>
      <c r="C1543" s="29" t="s">
        <v>1077</v>
      </c>
      <c r="D1543" s="30">
        <v>1</v>
      </c>
      <c r="E1543" s="29" t="s">
        <v>3070</v>
      </c>
      <c r="F1543" s="29" t="s">
        <v>1885</v>
      </c>
      <c r="G1543" s="29" t="s">
        <v>901</v>
      </c>
      <c r="H1543" s="29" t="s">
        <v>902</v>
      </c>
      <c r="I1543" s="29" t="s">
        <v>656</v>
      </c>
      <c r="J1543" s="29" t="s">
        <v>2222</v>
      </c>
    </row>
    <row r="1544" spans="1:10" ht="19.5" customHeight="1" x14ac:dyDescent="0.35">
      <c r="A1544" s="29" t="s">
        <v>896</v>
      </c>
      <c r="B1544" s="29" t="s">
        <v>3571</v>
      </c>
      <c r="C1544" s="29" t="s">
        <v>909</v>
      </c>
      <c r="D1544" s="30">
        <v>1</v>
      </c>
      <c r="E1544" s="29" t="s">
        <v>3070</v>
      </c>
      <c r="F1544" s="29" t="s">
        <v>1885</v>
      </c>
      <c r="G1544" s="29" t="s">
        <v>901</v>
      </c>
      <c r="H1544" s="29" t="s">
        <v>902</v>
      </c>
      <c r="I1544" s="29" t="s">
        <v>656</v>
      </c>
      <c r="J1544" s="29" t="s">
        <v>2222</v>
      </c>
    </row>
    <row r="1545" spans="1:10" ht="19.5" customHeight="1" x14ac:dyDescent="0.35">
      <c r="A1545" s="29" t="s">
        <v>896</v>
      </c>
      <c r="B1545" s="29" t="s">
        <v>3572</v>
      </c>
      <c r="C1545" s="29" t="s">
        <v>1101</v>
      </c>
      <c r="D1545" s="30">
        <v>1</v>
      </c>
      <c r="E1545" s="29" t="s">
        <v>3070</v>
      </c>
      <c r="F1545" s="29" t="s">
        <v>1885</v>
      </c>
      <c r="G1545" s="29" t="s">
        <v>901</v>
      </c>
      <c r="H1545" s="29" t="s">
        <v>902</v>
      </c>
      <c r="I1545" s="29" t="s">
        <v>656</v>
      </c>
      <c r="J1545" s="29" t="s">
        <v>2095</v>
      </c>
    </row>
    <row r="1546" spans="1:10" ht="19.5" customHeight="1" x14ac:dyDescent="0.35">
      <c r="A1546" s="29" t="s">
        <v>896</v>
      </c>
      <c r="B1546" s="29" t="s">
        <v>3573</v>
      </c>
      <c r="C1546" s="29" t="s">
        <v>1077</v>
      </c>
      <c r="D1546" s="30">
        <v>1</v>
      </c>
      <c r="E1546" s="29" t="s">
        <v>3070</v>
      </c>
      <c r="F1546" s="29" t="s">
        <v>1885</v>
      </c>
      <c r="G1546" s="29" t="s">
        <v>901</v>
      </c>
      <c r="H1546" s="29" t="s">
        <v>902</v>
      </c>
      <c r="I1546" s="29" t="s">
        <v>656</v>
      </c>
      <c r="J1546" s="29" t="s">
        <v>2222</v>
      </c>
    </row>
    <row r="1547" spans="1:10" ht="19.5" customHeight="1" x14ac:dyDescent="0.35">
      <c r="A1547" s="29" t="s">
        <v>896</v>
      </c>
      <c r="B1547" s="29" t="s">
        <v>3574</v>
      </c>
      <c r="C1547" s="29" t="s">
        <v>921</v>
      </c>
      <c r="D1547" s="30">
        <v>1</v>
      </c>
      <c r="E1547" s="29" t="s">
        <v>3070</v>
      </c>
      <c r="F1547" s="29" t="s">
        <v>1885</v>
      </c>
      <c r="G1547" s="29" t="s">
        <v>901</v>
      </c>
      <c r="H1547" s="29" t="s">
        <v>902</v>
      </c>
      <c r="I1547" s="29" t="s">
        <v>656</v>
      </c>
      <c r="J1547" s="29" t="s">
        <v>2443</v>
      </c>
    </row>
    <row r="1548" spans="1:10" ht="19.5" customHeight="1" x14ac:dyDescent="0.35">
      <c r="A1548" s="29" t="s">
        <v>896</v>
      </c>
      <c r="B1548" s="29" t="s">
        <v>3575</v>
      </c>
      <c r="C1548" s="29" t="s">
        <v>921</v>
      </c>
      <c r="D1548" s="30">
        <v>1</v>
      </c>
      <c r="E1548" s="29" t="s">
        <v>3070</v>
      </c>
      <c r="F1548" s="29" t="s">
        <v>1885</v>
      </c>
      <c r="G1548" s="29" t="s">
        <v>901</v>
      </c>
      <c r="H1548" s="29" t="s">
        <v>902</v>
      </c>
      <c r="I1548" s="29" t="s">
        <v>656</v>
      </c>
      <c r="J1548" s="29" t="s">
        <v>2866</v>
      </c>
    </row>
    <row r="1549" spans="1:10" ht="19.5" customHeight="1" x14ac:dyDescent="0.35">
      <c r="A1549" s="29" t="s">
        <v>896</v>
      </c>
      <c r="B1549" s="29" t="s">
        <v>3576</v>
      </c>
      <c r="C1549" s="29" t="s">
        <v>1143</v>
      </c>
      <c r="D1549" s="30">
        <v>1</v>
      </c>
      <c r="E1549" s="29" t="s">
        <v>3070</v>
      </c>
      <c r="F1549" s="29" t="s">
        <v>1885</v>
      </c>
      <c r="G1549" s="29" t="s">
        <v>901</v>
      </c>
      <c r="H1549" s="29" t="s">
        <v>902</v>
      </c>
      <c r="I1549" s="29" t="s">
        <v>656</v>
      </c>
      <c r="J1549" s="29" t="s">
        <v>2222</v>
      </c>
    </row>
    <row r="1550" spans="1:10" ht="19.5" customHeight="1" x14ac:dyDescent="0.35">
      <c r="A1550" s="29" t="s">
        <v>896</v>
      </c>
      <c r="B1550" s="29" t="s">
        <v>3577</v>
      </c>
      <c r="C1550" s="29" t="s">
        <v>946</v>
      </c>
      <c r="D1550" s="30">
        <v>1</v>
      </c>
      <c r="E1550" s="29" t="s">
        <v>3070</v>
      </c>
      <c r="F1550" s="29" t="s">
        <v>1885</v>
      </c>
      <c r="G1550" s="29" t="s">
        <v>901</v>
      </c>
      <c r="H1550" s="29" t="s">
        <v>902</v>
      </c>
      <c r="I1550" s="29" t="s">
        <v>656</v>
      </c>
      <c r="J1550" s="29" t="s">
        <v>2985</v>
      </c>
    </row>
    <row r="1551" spans="1:10" ht="19.5" customHeight="1" x14ac:dyDescent="0.35">
      <c r="A1551" s="29" t="s">
        <v>896</v>
      </c>
      <c r="B1551" s="29" t="s">
        <v>3578</v>
      </c>
      <c r="C1551" s="29" t="s">
        <v>1009</v>
      </c>
      <c r="D1551" s="30">
        <v>1</v>
      </c>
      <c r="E1551" s="29" t="s">
        <v>3070</v>
      </c>
      <c r="F1551" s="29" t="s">
        <v>1885</v>
      </c>
      <c r="G1551" s="29" t="s">
        <v>901</v>
      </c>
      <c r="H1551" s="29" t="s">
        <v>902</v>
      </c>
      <c r="I1551" s="29" t="s">
        <v>656</v>
      </c>
      <c r="J1551" s="29" t="s">
        <v>2443</v>
      </c>
    </row>
    <row r="1552" spans="1:10" ht="19.5" customHeight="1" x14ac:dyDescent="0.35">
      <c r="A1552" s="29" t="s">
        <v>896</v>
      </c>
      <c r="B1552" s="29" t="s">
        <v>3579</v>
      </c>
      <c r="C1552" s="29" t="s">
        <v>909</v>
      </c>
      <c r="D1552" s="30">
        <v>1</v>
      </c>
      <c r="E1552" s="29" t="s">
        <v>3070</v>
      </c>
      <c r="F1552" s="29" t="s">
        <v>1885</v>
      </c>
      <c r="G1552" s="29" t="s">
        <v>901</v>
      </c>
      <c r="H1552" s="29" t="s">
        <v>902</v>
      </c>
      <c r="I1552" s="29" t="s">
        <v>656</v>
      </c>
      <c r="J1552" s="29" t="s">
        <v>2443</v>
      </c>
    </row>
    <row r="1553" spans="1:10" ht="19.5" customHeight="1" x14ac:dyDescent="0.35">
      <c r="A1553" s="29" t="s">
        <v>896</v>
      </c>
      <c r="B1553" s="29" t="s">
        <v>3580</v>
      </c>
      <c r="C1553" s="29" t="s">
        <v>1240</v>
      </c>
      <c r="D1553" s="30">
        <v>1</v>
      </c>
      <c r="E1553" s="29" t="s">
        <v>3070</v>
      </c>
      <c r="F1553" s="29" t="s">
        <v>1885</v>
      </c>
      <c r="G1553" s="29" t="s">
        <v>901</v>
      </c>
      <c r="H1553" s="29" t="s">
        <v>902</v>
      </c>
      <c r="I1553" s="29" t="s">
        <v>656</v>
      </c>
      <c r="J1553" s="29" t="s">
        <v>2649</v>
      </c>
    </row>
    <row r="1554" spans="1:10" ht="19.5" customHeight="1" x14ac:dyDescent="0.35">
      <c r="A1554" s="29" t="s">
        <v>896</v>
      </c>
      <c r="B1554" s="29" t="s">
        <v>3581</v>
      </c>
      <c r="C1554" s="29" t="s">
        <v>909</v>
      </c>
      <c r="D1554" s="30">
        <v>1</v>
      </c>
      <c r="E1554" s="29" t="s">
        <v>3070</v>
      </c>
      <c r="F1554" s="29" t="s">
        <v>1885</v>
      </c>
      <c r="G1554" s="29" t="s">
        <v>901</v>
      </c>
      <c r="H1554" s="29" t="s">
        <v>902</v>
      </c>
      <c r="I1554" s="29" t="s">
        <v>656</v>
      </c>
      <c r="J1554" s="29" t="s">
        <v>2972</v>
      </c>
    </row>
    <row r="1555" spans="1:10" ht="19.5" customHeight="1" x14ac:dyDescent="0.35">
      <c r="A1555" s="29" t="s">
        <v>896</v>
      </c>
      <c r="B1555" s="29" t="s">
        <v>3582</v>
      </c>
      <c r="C1555" s="29" t="s">
        <v>1050</v>
      </c>
      <c r="D1555" s="30">
        <v>1</v>
      </c>
      <c r="E1555" s="29" t="s">
        <v>3070</v>
      </c>
      <c r="F1555" s="29" t="s">
        <v>1885</v>
      </c>
      <c r="G1555" s="29" t="s">
        <v>901</v>
      </c>
      <c r="H1555" s="29" t="s">
        <v>902</v>
      </c>
      <c r="I1555" s="29" t="s">
        <v>656</v>
      </c>
      <c r="J1555" s="29" t="s">
        <v>2095</v>
      </c>
    </row>
    <row r="1556" spans="1:10" ht="19.5" customHeight="1" x14ac:dyDescent="0.35">
      <c r="A1556" s="29" t="s">
        <v>896</v>
      </c>
      <c r="B1556" s="29" t="s">
        <v>3583</v>
      </c>
      <c r="C1556" s="29" t="s">
        <v>963</v>
      </c>
      <c r="D1556" s="30">
        <v>1</v>
      </c>
      <c r="E1556" s="29" t="s">
        <v>3070</v>
      </c>
      <c r="F1556" s="29" t="s">
        <v>1885</v>
      </c>
      <c r="G1556" s="29" t="s">
        <v>901</v>
      </c>
      <c r="H1556" s="29" t="s">
        <v>902</v>
      </c>
      <c r="I1556" s="29" t="s">
        <v>656</v>
      </c>
      <c r="J1556" s="29" t="s">
        <v>2222</v>
      </c>
    </row>
    <row r="1557" spans="1:10" ht="19.5" customHeight="1" x14ac:dyDescent="0.35">
      <c r="A1557" s="29" t="s">
        <v>896</v>
      </c>
      <c r="B1557" s="29" t="s">
        <v>3584</v>
      </c>
      <c r="C1557" s="29" t="s">
        <v>1077</v>
      </c>
      <c r="D1557" s="30">
        <v>1</v>
      </c>
      <c r="E1557" s="29" t="s">
        <v>3070</v>
      </c>
      <c r="F1557" s="29" t="s">
        <v>1885</v>
      </c>
      <c r="G1557" s="29" t="s">
        <v>901</v>
      </c>
      <c r="H1557" s="29" t="s">
        <v>902</v>
      </c>
      <c r="I1557" s="29" t="s">
        <v>656</v>
      </c>
      <c r="J1557" s="29" t="s">
        <v>2866</v>
      </c>
    </row>
    <row r="1558" spans="1:10" ht="19.5" customHeight="1" x14ac:dyDescent="0.35">
      <c r="A1558" s="29" t="s">
        <v>896</v>
      </c>
      <c r="B1558" s="29" t="s">
        <v>3585</v>
      </c>
      <c r="C1558" s="29" t="s">
        <v>921</v>
      </c>
      <c r="D1558" s="30">
        <v>1</v>
      </c>
      <c r="E1558" s="29" t="s">
        <v>3070</v>
      </c>
      <c r="F1558" s="29" t="s">
        <v>1885</v>
      </c>
      <c r="G1558" s="29" t="s">
        <v>901</v>
      </c>
      <c r="H1558" s="29" t="s">
        <v>902</v>
      </c>
      <c r="I1558" s="29" t="s">
        <v>656</v>
      </c>
      <c r="J1558" s="29" t="s">
        <v>2866</v>
      </c>
    </row>
    <row r="1559" spans="1:10" ht="19.5" customHeight="1" x14ac:dyDescent="0.35">
      <c r="A1559" s="29" t="s">
        <v>896</v>
      </c>
      <c r="B1559" s="29" t="s">
        <v>3586</v>
      </c>
      <c r="C1559" s="29" t="s">
        <v>921</v>
      </c>
      <c r="D1559" s="30">
        <v>1</v>
      </c>
      <c r="E1559" s="29" t="s">
        <v>3070</v>
      </c>
      <c r="F1559" s="29" t="s">
        <v>1885</v>
      </c>
      <c r="G1559" s="29" t="s">
        <v>901</v>
      </c>
      <c r="H1559" s="29" t="s">
        <v>902</v>
      </c>
      <c r="I1559" s="29" t="s">
        <v>656</v>
      </c>
      <c r="J1559" s="29" t="s">
        <v>2866</v>
      </c>
    </row>
    <row r="1560" spans="1:10" ht="19.5" customHeight="1" x14ac:dyDescent="0.35">
      <c r="A1560" s="29" t="s">
        <v>896</v>
      </c>
      <c r="B1560" s="29" t="s">
        <v>3587</v>
      </c>
      <c r="C1560" s="29" t="s">
        <v>1122</v>
      </c>
      <c r="D1560" s="30">
        <v>1</v>
      </c>
      <c r="E1560" s="29" t="s">
        <v>3070</v>
      </c>
      <c r="F1560" s="29" t="s">
        <v>1885</v>
      </c>
      <c r="G1560" s="29" t="s">
        <v>901</v>
      </c>
      <c r="H1560" s="29" t="s">
        <v>902</v>
      </c>
      <c r="I1560" s="29" t="s">
        <v>656</v>
      </c>
      <c r="J1560" s="29" t="s">
        <v>2222</v>
      </c>
    </row>
    <row r="1561" spans="1:10" ht="19.5" customHeight="1" x14ac:dyDescent="0.35">
      <c r="A1561" s="29" t="s">
        <v>896</v>
      </c>
      <c r="B1561" s="29" t="s">
        <v>3588</v>
      </c>
      <c r="C1561" s="29" t="s">
        <v>1240</v>
      </c>
      <c r="D1561" s="30">
        <v>1</v>
      </c>
      <c r="E1561" s="29" t="s">
        <v>3070</v>
      </c>
      <c r="F1561" s="29" t="s">
        <v>1885</v>
      </c>
      <c r="G1561" s="29" t="s">
        <v>901</v>
      </c>
      <c r="H1561" s="29" t="s">
        <v>902</v>
      </c>
      <c r="I1561" s="29" t="s">
        <v>656</v>
      </c>
      <c r="J1561" s="29" t="s">
        <v>2095</v>
      </c>
    </row>
    <row r="1562" spans="1:10" ht="19.5" customHeight="1" x14ac:dyDescent="0.35">
      <c r="A1562" s="29" t="s">
        <v>896</v>
      </c>
      <c r="B1562" s="29" t="s">
        <v>3589</v>
      </c>
      <c r="C1562" s="29" t="s">
        <v>1009</v>
      </c>
      <c r="D1562" s="30">
        <v>1</v>
      </c>
      <c r="E1562" s="29" t="s">
        <v>3070</v>
      </c>
      <c r="F1562" s="29" t="s">
        <v>1885</v>
      </c>
      <c r="G1562" s="29" t="s">
        <v>901</v>
      </c>
      <c r="H1562" s="29" t="s">
        <v>902</v>
      </c>
      <c r="I1562" s="29" t="s">
        <v>656</v>
      </c>
      <c r="J1562" s="29" t="s">
        <v>2443</v>
      </c>
    </row>
    <row r="1563" spans="1:10" ht="19.5" customHeight="1" x14ac:dyDescent="0.35">
      <c r="A1563" s="29" t="s">
        <v>896</v>
      </c>
      <c r="B1563" s="29" t="s">
        <v>3590</v>
      </c>
      <c r="C1563" s="29" t="s">
        <v>3591</v>
      </c>
      <c r="D1563" s="30">
        <v>1</v>
      </c>
      <c r="E1563" s="29" t="s">
        <v>3070</v>
      </c>
      <c r="F1563" s="29" t="s">
        <v>1885</v>
      </c>
      <c r="G1563" s="29" t="s">
        <v>901</v>
      </c>
      <c r="H1563" s="29" t="s">
        <v>902</v>
      </c>
      <c r="I1563" s="29" t="s">
        <v>656</v>
      </c>
      <c r="J1563" s="29" t="s">
        <v>2222</v>
      </c>
    </row>
    <row r="1564" spans="1:10" ht="19.5" customHeight="1" x14ac:dyDescent="0.35">
      <c r="A1564" s="29" t="s">
        <v>896</v>
      </c>
      <c r="B1564" s="29" t="s">
        <v>3592</v>
      </c>
      <c r="C1564" s="29" t="s">
        <v>1240</v>
      </c>
      <c r="D1564" s="30">
        <v>1</v>
      </c>
      <c r="E1564" s="29" t="s">
        <v>3070</v>
      </c>
      <c r="F1564" s="29" t="s">
        <v>1885</v>
      </c>
      <c r="G1564" s="29" t="s">
        <v>901</v>
      </c>
      <c r="H1564" s="29" t="s">
        <v>902</v>
      </c>
      <c r="I1564" s="29" t="s">
        <v>656</v>
      </c>
      <c r="J1564" s="29" t="s">
        <v>2095</v>
      </c>
    </row>
    <row r="1565" spans="1:10" ht="19.5" customHeight="1" x14ac:dyDescent="0.35">
      <c r="A1565" s="29" t="s">
        <v>896</v>
      </c>
      <c r="B1565" s="29" t="s">
        <v>3593</v>
      </c>
      <c r="C1565" s="29" t="s">
        <v>909</v>
      </c>
      <c r="D1565" s="30">
        <v>1</v>
      </c>
      <c r="E1565" s="29" t="s">
        <v>3070</v>
      </c>
      <c r="F1565" s="29" t="s">
        <v>1885</v>
      </c>
      <c r="G1565" s="29" t="s">
        <v>901</v>
      </c>
      <c r="H1565" s="29" t="s">
        <v>902</v>
      </c>
      <c r="I1565" s="29" t="s">
        <v>656</v>
      </c>
      <c r="J1565" s="29" t="s">
        <v>2692</v>
      </c>
    </row>
    <row r="1566" spans="1:10" ht="19.5" customHeight="1" x14ac:dyDescent="0.35">
      <c r="A1566" s="29" t="s">
        <v>896</v>
      </c>
      <c r="B1566" s="29" t="s">
        <v>3594</v>
      </c>
      <c r="C1566" s="29" t="s">
        <v>2971</v>
      </c>
      <c r="D1566" s="30">
        <v>1</v>
      </c>
      <c r="E1566" s="29" t="s">
        <v>3070</v>
      </c>
      <c r="F1566" s="29" t="s">
        <v>1885</v>
      </c>
      <c r="G1566" s="29" t="s">
        <v>901</v>
      </c>
      <c r="H1566" s="29" t="s">
        <v>902</v>
      </c>
      <c r="I1566" s="29" t="s">
        <v>656</v>
      </c>
      <c r="J1566" s="29" t="s">
        <v>2222</v>
      </c>
    </row>
    <row r="1567" spans="1:10" ht="19.5" customHeight="1" x14ac:dyDescent="0.35">
      <c r="A1567" s="29" t="s">
        <v>896</v>
      </c>
      <c r="B1567" s="29" t="s">
        <v>3595</v>
      </c>
      <c r="C1567" s="29" t="s">
        <v>1077</v>
      </c>
      <c r="D1567" s="30">
        <v>1</v>
      </c>
      <c r="E1567" s="29" t="s">
        <v>3070</v>
      </c>
      <c r="F1567" s="29" t="s">
        <v>1885</v>
      </c>
      <c r="G1567" s="29" t="s">
        <v>901</v>
      </c>
      <c r="H1567" s="29" t="s">
        <v>902</v>
      </c>
      <c r="I1567" s="29" t="s">
        <v>656</v>
      </c>
      <c r="J1567" s="29" t="s">
        <v>2222</v>
      </c>
    </row>
    <row r="1568" spans="1:10" ht="19.5" customHeight="1" x14ac:dyDescent="0.35">
      <c r="A1568" s="29" t="s">
        <v>896</v>
      </c>
      <c r="B1568" s="29" t="s">
        <v>3596</v>
      </c>
      <c r="C1568" s="29" t="s">
        <v>1817</v>
      </c>
      <c r="D1568" s="30">
        <v>1</v>
      </c>
      <c r="E1568" s="29" t="s">
        <v>3070</v>
      </c>
      <c r="F1568" s="29" t="s">
        <v>1885</v>
      </c>
      <c r="G1568" s="29" t="s">
        <v>901</v>
      </c>
      <c r="H1568" s="29" t="s">
        <v>902</v>
      </c>
      <c r="I1568" s="29" t="s">
        <v>656</v>
      </c>
      <c r="J1568" s="29" t="s">
        <v>2443</v>
      </c>
    </row>
    <row r="1569" spans="1:10" ht="19.5" customHeight="1" x14ac:dyDescent="0.35">
      <c r="A1569" s="29" t="s">
        <v>896</v>
      </c>
      <c r="B1569" s="29" t="s">
        <v>3597</v>
      </c>
      <c r="C1569" s="29" t="s">
        <v>909</v>
      </c>
      <c r="D1569" s="30">
        <v>1</v>
      </c>
      <c r="E1569" s="29" t="s">
        <v>3070</v>
      </c>
      <c r="F1569" s="29" t="s">
        <v>1885</v>
      </c>
      <c r="G1569" s="29" t="s">
        <v>901</v>
      </c>
      <c r="H1569" s="29" t="s">
        <v>902</v>
      </c>
      <c r="I1569" s="29" t="s">
        <v>656</v>
      </c>
      <c r="J1569" s="29" t="s">
        <v>2222</v>
      </c>
    </row>
    <row r="1570" spans="1:10" ht="19.5" customHeight="1" x14ac:dyDescent="0.35">
      <c r="A1570" s="29" t="s">
        <v>896</v>
      </c>
      <c r="B1570" s="29" t="s">
        <v>3598</v>
      </c>
      <c r="C1570" s="29" t="s">
        <v>1077</v>
      </c>
      <c r="D1570" s="30">
        <v>1</v>
      </c>
      <c r="E1570" s="29" t="s">
        <v>3070</v>
      </c>
      <c r="F1570" s="29" t="s">
        <v>1885</v>
      </c>
      <c r="G1570" s="29" t="s">
        <v>901</v>
      </c>
      <c r="H1570" s="29" t="s">
        <v>902</v>
      </c>
      <c r="I1570" s="29" t="s">
        <v>656</v>
      </c>
      <c r="J1570" s="29" t="s">
        <v>2803</v>
      </c>
    </row>
    <row r="1571" spans="1:10" ht="19.5" customHeight="1" x14ac:dyDescent="0.35">
      <c r="A1571" s="29" t="s">
        <v>896</v>
      </c>
      <c r="B1571" s="29" t="s">
        <v>3599</v>
      </c>
      <c r="C1571" s="29" t="s">
        <v>1077</v>
      </c>
      <c r="D1571" s="30">
        <v>1</v>
      </c>
      <c r="E1571" s="29" t="s">
        <v>3070</v>
      </c>
      <c r="F1571" s="29" t="s">
        <v>1885</v>
      </c>
      <c r="G1571" s="29" t="s">
        <v>901</v>
      </c>
      <c r="H1571" s="29" t="s">
        <v>902</v>
      </c>
      <c r="I1571" s="29" t="s">
        <v>656</v>
      </c>
      <c r="J1571" s="29" t="s">
        <v>2222</v>
      </c>
    </row>
    <row r="1572" spans="1:10" ht="19.5" customHeight="1" x14ac:dyDescent="0.35">
      <c r="A1572" s="29" t="s">
        <v>896</v>
      </c>
      <c r="B1572" s="29" t="s">
        <v>3600</v>
      </c>
      <c r="C1572" s="29" t="s">
        <v>959</v>
      </c>
      <c r="D1572" s="30">
        <v>1</v>
      </c>
      <c r="E1572" s="29" t="s">
        <v>3070</v>
      </c>
      <c r="F1572" s="29" t="s">
        <v>1885</v>
      </c>
      <c r="G1572" s="29" t="s">
        <v>901</v>
      </c>
      <c r="H1572" s="29" t="s">
        <v>902</v>
      </c>
      <c r="I1572" s="29" t="s">
        <v>656</v>
      </c>
      <c r="J1572" s="29" t="s">
        <v>2095</v>
      </c>
    </row>
    <row r="1573" spans="1:10" ht="19.5" customHeight="1" x14ac:dyDescent="0.35">
      <c r="A1573" s="29" t="s">
        <v>896</v>
      </c>
      <c r="B1573" s="29" t="s">
        <v>3601</v>
      </c>
      <c r="C1573" s="29" t="s">
        <v>1077</v>
      </c>
      <c r="D1573" s="30">
        <v>1</v>
      </c>
      <c r="E1573" s="29" t="s">
        <v>3070</v>
      </c>
      <c r="F1573" s="29" t="s">
        <v>1885</v>
      </c>
      <c r="G1573" s="29" t="s">
        <v>901</v>
      </c>
      <c r="H1573" s="29" t="s">
        <v>902</v>
      </c>
      <c r="I1573" s="29" t="s">
        <v>656</v>
      </c>
      <c r="J1573" s="29" t="s">
        <v>2222</v>
      </c>
    </row>
    <row r="1574" spans="1:10" ht="19.5" customHeight="1" x14ac:dyDescent="0.35">
      <c r="A1574" s="29" t="s">
        <v>896</v>
      </c>
      <c r="B1574" s="29" t="s">
        <v>3602</v>
      </c>
      <c r="C1574" s="29" t="s">
        <v>1143</v>
      </c>
      <c r="D1574" s="30">
        <v>1</v>
      </c>
      <c r="E1574" s="29" t="s">
        <v>3070</v>
      </c>
      <c r="F1574" s="29" t="s">
        <v>1885</v>
      </c>
      <c r="G1574" s="29" t="s">
        <v>901</v>
      </c>
      <c r="H1574" s="29" t="s">
        <v>902</v>
      </c>
      <c r="I1574" s="29" t="s">
        <v>656</v>
      </c>
      <c r="J1574" s="29" t="s">
        <v>2222</v>
      </c>
    </row>
    <row r="1575" spans="1:10" ht="19.5" customHeight="1" x14ac:dyDescent="0.35">
      <c r="A1575" s="29" t="s">
        <v>896</v>
      </c>
      <c r="B1575" s="29" t="s">
        <v>3603</v>
      </c>
      <c r="C1575" s="29" t="s">
        <v>905</v>
      </c>
      <c r="D1575" s="30">
        <v>1</v>
      </c>
      <c r="E1575" s="29" t="s">
        <v>3070</v>
      </c>
      <c r="F1575" s="29" t="s">
        <v>1885</v>
      </c>
      <c r="G1575" s="29" t="s">
        <v>901</v>
      </c>
      <c r="H1575" s="29" t="s">
        <v>902</v>
      </c>
      <c r="I1575" s="29" t="s">
        <v>656</v>
      </c>
      <c r="J1575" s="29" t="s">
        <v>2222</v>
      </c>
    </row>
    <row r="1576" spans="1:10" ht="19.5" customHeight="1" x14ac:dyDescent="0.35">
      <c r="A1576" s="29" t="s">
        <v>896</v>
      </c>
      <c r="B1576" s="29" t="s">
        <v>3604</v>
      </c>
      <c r="C1576" s="29" t="s">
        <v>1136</v>
      </c>
      <c r="D1576" s="30">
        <v>1</v>
      </c>
      <c r="E1576" s="29" t="s">
        <v>3070</v>
      </c>
      <c r="F1576" s="29" t="s">
        <v>1885</v>
      </c>
      <c r="G1576" s="29" t="s">
        <v>901</v>
      </c>
      <c r="H1576" s="29" t="s">
        <v>902</v>
      </c>
      <c r="I1576" s="29" t="s">
        <v>656</v>
      </c>
      <c r="J1576" s="29" t="s">
        <v>2222</v>
      </c>
    </row>
    <row r="1577" spans="1:10" ht="19.5" customHeight="1" x14ac:dyDescent="0.35">
      <c r="A1577" s="29" t="s">
        <v>896</v>
      </c>
      <c r="B1577" s="29" t="s">
        <v>3605</v>
      </c>
      <c r="C1577" s="29" t="s">
        <v>2971</v>
      </c>
      <c r="D1577" s="30">
        <v>1</v>
      </c>
      <c r="E1577" s="29" t="s">
        <v>3070</v>
      </c>
      <c r="F1577" s="29" t="s">
        <v>1885</v>
      </c>
      <c r="G1577" s="29" t="s">
        <v>901</v>
      </c>
      <c r="H1577" s="29" t="s">
        <v>902</v>
      </c>
      <c r="I1577" s="29" t="s">
        <v>656</v>
      </c>
      <c r="J1577" s="29" t="s">
        <v>2649</v>
      </c>
    </row>
    <row r="1578" spans="1:10" ht="19.5" customHeight="1" x14ac:dyDescent="0.35">
      <c r="A1578" s="29" t="s">
        <v>896</v>
      </c>
      <c r="B1578" s="29" t="s">
        <v>3606</v>
      </c>
      <c r="C1578" s="29" t="s">
        <v>1101</v>
      </c>
      <c r="D1578" s="30">
        <v>1</v>
      </c>
      <c r="E1578" s="29" t="s">
        <v>3070</v>
      </c>
      <c r="F1578" s="29" t="s">
        <v>1885</v>
      </c>
      <c r="G1578" s="29" t="s">
        <v>901</v>
      </c>
      <c r="H1578" s="29" t="s">
        <v>902</v>
      </c>
      <c r="I1578" s="29" t="s">
        <v>656</v>
      </c>
      <c r="J1578" s="29" t="s">
        <v>2692</v>
      </c>
    </row>
    <row r="1579" spans="1:10" ht="19.5" customHeight="1" x14ac:dyDescent="0.35">
      <c r="A1579" s="29" t="s">
        <v>896</v>
      </c>
      <c r="B1579" s="29" t="s">
        <v>3607</v>
      </c>
      <c r="C1579" s="29" t="s">
        <v>1050</v>
      </c>
      <c r="D1579" s="30">
        <v>1</v>
      </c>
      <c r="E1579" s="29" t="s">
        <v>3070</v>
      </c>
      <c r="F1579" s="29" t="s">
        <v>1885</v>
      </c>
      <c r="G1579" s="29" t="s">
        <v>901</v>
      </c>
      <c r="H1579" s="29" t="s">
        <v>902</v>
      </c>
      <c r="I1579" s="29" t="s">
        <v>656</v>
      </c>
      <c r="J1579" s="29" t="s">
        <v>2692</v>
      </c>
    </row>
    <row r="1580" spans="1:10" ht="19.5" customHeight="1" x14ac:dyDescent="0.35">
      <c r="A1580" s="29" t="s">
        <v>896</v>
      </c>
      <c r="B1580" s="29" t="s">
        <v>3608</v>
      </c>
      <c r="C1580" s="29" t="s">
        <v>1077</v>
      </c>
      <c r="D1580" s="30">
        <v>1</v>
      </c>
      <c r="E1580" s="29" t="s">
        <v>3070</v>
      </c>
      <c r="F1580" s="29" t="s">
        <v>1885</v>
      </c>
      <c r="G1580" s="29" t="s">
        <v>901</v>
      </c>
      <c r="H1580" s="29" t="s">
        <v>902</v>
      </c>
      <c r="I1580" s="29" t="s">
        <v>656</v>
      </c>
      <c r="J1580" s="29" t="s">
        <v>2649</v>
      </c>
    </row>
    <row r="1581" spans="1:10" ht="19.5" customHeight="1" x14ac:dyDescent="0.35">
      <c r="A1581" s="29" t="s">
        <v>896</v>
      </c>
      <c r="B1581" s="29" t="s">
        <v>3609</v>
      </c>
      <c r="C1581" s="29" t="s">
        <v>1690</v>
      </c>
      <c r="D1581" s="30">
        <v>1</v>
      </c>
      <c r="E1581" s="29" t="s">
        <v>3070</v>
      </c>
      <c r="F1581" s="29" t="s">
        <v>1885</v>
      </c>
      <c r="G1581" s="29" t="s">
        <v>901</v>
      </c>
      <c r="H1581" s="29" t="s">
        <v>902</v>
      </c>
      <c r="I1581" s="29" t="s">
        <v>656</v>
      </c>
      <c r="J1581" s="29" t="s">
        <v>2222</v>
      </c>
    </row>
    <row r="1582" spans="1:10" ht="19.5" customHeight="1" x14ac:dyDescent="0.35">
      <c r="A1582" s="29" t="s">
        <v>896</v>
      </c>
      <c r="B1582" s="29" t="s">
        <v>3610</v>
      </c>
      <c r="C1582" s="29" t="s">
        <v>1077</v>
      </c>
      <c r="D1582" s="30">
        <v>1</v>
      </c>
      <c r="E1582" s="29" t="s">
        <v>3070</v>
      </c>
      <c r="F1582" s="29" t="s">
        <v>1885</v>
      </c>
      <c r="G1582" s="29" t="s">
        <v>901</v>
      </c>
      <c r="H1582" s="29" t="s">
        <v>902</v>
      </c>
      <c r="I1582" s="29" t="s">
        <v>656</v>
      </c>
      <c r="J1582" s="29" t="s">
        <v>2803</v>
      </c>
    </row>
    <row r="1583" spans="1:10" ht="19.5" customHeight="1" x14ac:dyDescent="0.35">
      <c r="A1583" s="29" t="s">
        <v>896</v>
      </c>
      <c r="B1583" s="29" t="s">
        <v>3611</v>
      </c>
      <c r="C1583" s="29" t="s">
        <v>1143</v>
      </c>
      <c r="D1583" s="30">
        <v>1</v>
      </c>
      <c r="E1583" s="29" t="s">
        <v>3070</v>
      </c>
      <c r="F1583" s="29" t="s">
        <v>1885</v>
      </c>
      <c r="G1583" s="29" t="s">
        <v>901</v>
      </c>
      <c r="H1583" s="29" t="s">
        <v>902</v>
      </c>
      <c r="I1583" s="29" t="s">
        <v>656</v>
      </c>
      <c r="J1583" s="29" t="s">
        <v>2222</v>
      </c>
    </row>
    <row r="1584" spans="1:10" ht="19.5" customHeight="1" x14ac:dyDescent="0.35">
      <c r="A1584" s="29" t="s">
        <v>896</v>
      </c>
      <c r="B1584" s="29" t="s">
        <v>3612</v>
      </c>
      <c r="C1584" s="29" t="s">
        <v>3052</v>
      </c>
      <c r="D1584" s="30">
        <v>1</v>
      </c>
      <c r="E1584" s="29" t="s">
        <v>3070</v>
      </c>
      <c r="F1584" s="29" t="s">
        <v>1885</v>
      </c>
      <c r="G1584" s="29" t="s">
        <v>901</v>
      </c>
      <c r="H1584" s="29" t="s">
        <v>902</v>
      </c>
      <c r="I1584" s="29" t="s">
        <v>656</v>
      </c>
      <c r="J1584" s="29" t="s">
        <v>2692</v>
      </c>
    </row>
    <row r="1585" spans="1:10" ht="19.5" customHeight="1" x14ac:dyDescent="0.35">
      <c r="A1585" s="29" t="s">
        <v>896</v>
      </c>
      <c r="B1585" s="29" t="s">
        <v>3613</v>
      </c>
      <c r="C1585" s="29" t="s">
        <v>909</v>
      </c>
      <c r="D1585" s="30">
        <v>1</v>
      </c>
      <c r="E1585" s="29" t="s">
        <v>3070</v>
      </c>
      <c r="F1585" s="29" t="s">
        <v>1885</v>
      </c>
      <c r="G1585" s="29" t="s">
        <v>901</v>
      </c>
      <c r="H1585" s="29" t="s">
        <v>902</v>
      </c>
      <c r="I1585" s="29" t="s">
        <v>656</v>
      </c>
      <c r="J1585" s="29" t="s">
        <v>2222</v>
      </c>
    </row>
    <row r="1586" spans="1:10" ht="19.5" customHeight="1" x14ac:dyDescent="0.35">
      <c r="A1586" s="29" t="s">
        <v>896</v>
      </c>
      <c r="B1586" s="29" t="s">
        <v>3614</v>
      </c>
      <c r="C1586" s="29" t="s">
        <v>2257</v>
      </c>
      <c r="D1586" s="30">
        <v>1</v>
      </c>
      <c r="E1586" s="29" t="s">
        <v>3070</v>
      </c>
      <c r="F1586" s="29" t="s">
        <v>1885</v>
      </c>
      <c r="G1586" s="29" t="s">
        <v>901</v>
      </c>
      <c r="H1586" s="29" t="s">
        <v>902</v>
      </c>
      <c r="I1586" s="29" t="s">
        <v>656</v>
      </c>
      <c r="J1586" s="29" t="s">
        <v>2443</v>
      </c>
    </row>
    <row r="1587" spans="1:10" ht="19.5" customHeight="1" x14ac:dyDescent="0.35">
      <c r="A1587" s="29" t="s">
        <v>896</v>
      </c>
      <c r="B1587" s="29" t="s">
        <v>3615</v>
      </c>
      <c r="C1587" s="29" t="s">
        <v>1143</v>
      </c>
      <c r="D1587" s="30">
        <v>1</v>
      </c>
      <c r="E1587" s="29" t="s">
        <v>3070</v>
      </c>
      <c r="F1587" s="29" t="s">
        <v>1885</v>
      </c>
      <c r="G1587" s="29" t="s">
        <v>901</v>
      </c>
      <c r="H1587" s="29" t="s">
        <v>902</v>
      </c>
      <c r="I1587" s="29" t="s">
        <v>656</v>
      </c>
      <c r="J1587" s="29" t="s">
        <v>2692</v>
      </c>
    </row>
    <row r="1588" spans="1:10" ht="19.5" customHeight="1" x14ac:dyDescent="0.35">
      <c r="A1588" s="29" t="s">
        <v>896</v>
      </c>
      <c r="B1588" s="29" t="s">
        <v>3616</v>
      </c>
      <c r="C1588" s="29" t="s">
        <v>2602</v>
      </c>
      <c r="D1588" s="30">
        <v>1</v>
      </c>
      <c r="E1588" s="29" t="s">
        <v>3070</v>
      </c>
      <c r="F1588" s="29" t="s">
        <v>1885</v>
      </c>
      <c r="G1588" s="29" t="s">
        <v>901</v>
      </c>
      <c r="H1588" s="29" t="s">
        <v>902</v>
      </c>
      <c r="I1588" s="29" t="s">
        <v>656</v>
      </c>
      <c r="J1588" s="29" t="s">
        <v>2222</v>
      </c>
    </row>
    <row r="1589" spans="1:10" ht="19.5" customHeight="1" x14ac:dyDescent="0.35">
      <c r="A1589" s="29" t="s">
        <v>896</v>
      </c>
      <c r="B1589" s="29" t="s">
        <v>3617</v>
      </c>
      <c r="C1589" s="29" t="s">
        <v>2598</v>
      </c>
      <c r="D1589" s="30">
        <v>1</v>
      </c>
      <c r="E1589" s="29" t="s">
        <v>3070</v>
      </c>
      <c r="F1589" s="29" t="s">
        <v>1885</v>
      </c>
      <c r="G1589" s="29" t="s">
        <v>901</v>
      </c>
      <c r="H1589" s="29" t="s">
        <v>902</v>
      </c>
      <c r="I1589" s="29" t="s">
        <v>656</v>
      </c>
      <c r="J1589" s="29" t="s">
        <v>2866</v>
      </c>
    </row>
    <row r="1590" spans="1:10" ht="19.5" customHeight="1" x14ac:dyDescent="0.35">
      <c r="A1590" s="29" t="s">
        <v>896</v>
      </c>
      <c r="B1590" s="29" t="s">
        <v>3618</v>
      </c>
      <c r="C1590" s="29" t="s">
        <v>1077</v>
      </c>
      <c r="D1590" s="30">
        <v>1</v>
      </c>
      <c r="E1590" s="29" t="s">
        <v>3070</v>
      </c>
      <c r="F1590" s="29" t="s">
        <v>1885</v>
      </c>
      <c r="G1590" s="29" t="s">
        <v>901</v>
      </c>
      <c r="H1590" s="29" t="s">
        <v>902</v>
      </c>
      <c r="I1590" s="29" t="s">
        <v>656</v>
      </c>
      <c r="J1590" s="29" t="s">
        <v>2965</v>
      </c>
    </row>
    <row r="1591" spans="1:10" ht="19.5" customHeight="1" x14ac:dyDescent="0.35">
      <c r="A1591" s="29" t="s">
        <v>896</v>
      </c>
      <c r="B1591" s="29" t="s">
        <v>3619</v>
      </c>
      <c r="C1591" s="29" t="s">
        <v>1143</v>
      </c>
      <c r="D1591" s="30">
        <v>1</v>
      </c>
      <c r="E1591" s="29" t="s">
        <v>3070</v>
      </c>
      <c r="F1591" s="29" t="s">
        <v>1885</v>
      </c>
      <c r="G1591" s="29" t="s">
        <v>901</v>
      </c>
      <c r="H1591" s="29" t="s">
        <v>902</v>
      </c>
      <c r="I1591" s="29" t="s">
        <v>656</v>
      </c>
      <c r="J1591" s="29" t="s">
        <v>2965</v>
      </c>
    </row>
    <row r="1592" spans="1:10" ht="19.5" customHeight="1" x14ac:dyDescent="0.35">
      <c r="A1592" s="29" t="s">
        <v>896</v>
      </c>
      <c r="B1592" s="29" t="s">
        <v>3620</v>
      </c>
      <c r="C1592" s="29" t="s">
        <v>909</v>
      </c>
      <c r="D1592" s="30">
        <v>1</v>
      </c>
      <c r="E1592" s="29" t="s">
        <v>3070</v>
      </c>
      <c r="F1592" s="29" t="s">
        <v>1885</v>
      </c>
      <c r="G1592" s="29" t="s">
        <v>901</v>
      </c>
      <c r="H1592" s="29" t="s">
        <v>902</v>
      </c>
      <c r="I1592" s="29" t="s">
        <v>656</v>
      </c>
      <c r="J1592" s="29" t="s">
        <v>2692</v>
      </c>
    </row>
    <row r="1593" spans="1:10" ht="19.5" customHeight="1" x14ac:dyDescent="0.35">
      <c r="A1593" s="29" t="s">
        <v>896</v>
      </c>
      <c r="B1593" s="29" t="s">
        <v>3621</v>
      </c>
      <c r="C1593" s="29" t="s">
        <v>909</v>
      </c>
      <c r="D1593" s="30">
        <v>1</v>
      </c>
      <c r="E1593" s="29" t="s">
        <v>3070</v>
      </c>
      <c r="F1593" s="29" t="s">
        <v>1885</v>
      </c>
      <c r="G1593" s="29" t="s">
        <v>901</v>
      </c>
      <c r="H1593" s="29" t="s">
        <v>902</v>
      </c>
      <c r="I1593" s="29" t="s">
        <v>656</v>
      </c>
      <c r="J1593" s="29" t="s">
        <v>2972</v>
      </c>
    </row>
    <row r="1594" spans="1:10" ht="19.5" customHeight="1" x14ac:dyDescent="0.35">
      <c r="A1594" s="29" t="s">
        <v>896</v>
      </c>
      <c r="B1594" s="29" t="s">
        <v>3622</v>
      </c>
      <c r="C1594" s="29" t="s">
        <v>1690</v>
      </c>
      <c r="D1594" s="30">
        <v>1</v>
      </c>
      <c r="E1594" s="29" t="s">
        <v>3070</v>
      </c>
      <c r="F1594" s="29" t="s">
        <v>1885</v>
      </c>
      <c r="G1594" s="29" t="s">
        <v>901</v>
      </c>
      <c r="H1594" s="29" t="s">
        <v>902</v>
      </c>
      <c r="I1594" s="29" t="s">
        <v>656</v>
      </c>
      <c r="J1594" s="29" t="s">
        <v>2965</v>
      </c>
    </row>
    <row r="1595" spans="1:10" ht="19.5" customHeight="1" x14ac:dyDescent="0.35">
      <c r="A1595" s="29" t="s">
        <v>896</v>
      </c>
      <c r="B1595" s="29" t="s">
        <v>3623</v>
      </c>
      <c r="C1595" s="29" t="s">
        <v>1077</v>
      </c>
      <c r="D1595" s="30">
        <v>1</v>
      </c>
      <c r="E1595" s="29" t="s">
        <v>3070</v>
      </c>
      <c r="F1595" s="29" t="s">
        <v>1885</v>
      </c>
      <c r="G1595" s="29" t="s">
        <v>901</v>
      </c>
      <c r="H1595" s="29" t="s">
        <v>902</v>
      </c>
      <c r="I1595" s="29" t="s">
        <v>656</v>
      </c>
      <c r="J1595" s="29" t="s">
        <v>2803</v>
      </c>
    </row>
    <row r="1596" spans="1:10" ht="19.5" customHeight="1" x14ac:dyDescent="0.35">
      <c r="A1596" s="29" t="s">
        <v>896</v>
      </c>
      <c r="B1596" s="29" t="s">
        <v>3624</v>
      </c>
      <c r="C1596" s="29" t="s">
        <v>1077</v>
      </c>
      <c r="D1596" s="30">
        <v>1</v>
      </c>
      <c r="E1596" s="29" t="s">
        <v>3070</v>
      </c>
      <c r="F1596" s="29" t="s">
        <v>1885</v>
      </c>
      <c r="G1596" s="29" t="s">
        <v>901</v>
      </c>
      <c r="H1596" s="29" t="s">
        <v>902</v>
      </c>
      <c r="I1596" s="29" t="s">
        <v>656</v>
      </c>
      <c r="J1596" s="29" t="s">
        <v>2222</v>
      </c>
    </row>
    <row r="1597" spans="1:10" ht="19.5" customHeight="1" x14ac:dyDescent="0.35">
      <c r="A1597" s="29" t="s">
        <v>896</v>
      </c>
      <c r="B1597" s="29" t="s">
        <v>3625</v>
      </c>
      <c r="C1597" s="29" t="s">
        <v>921</v>
      </c>
      <c r="D1597" s="30">
        <v>1</v>
      </c>
      <c r="E1597" s="29" t="s">
        <v>3070</v>
      </c>
      <c r="F1597" s="29" t="s">
        <v>1885</v>
      </c>
      <c r="G1597" s="29" t="s">
        <v>901</v>
      </c>
      <c r="H1597" s="29" t="s">
        <v>902</v>
      </c>
      <c r="I1597" s="29" t="s">
        <v>656</v>
      </c>
      <c r="J1597" s="29" t="s">
        <v>2866</v>
      </c>
    </row>
    <row r="1598" spans="1:10" ht="19.5" customHeight="1" x14ac:dyDescent="0.35">
      <c r="A1598" s="29" t="s">
        <v>896</v>
      </c>
      <c r="B1598" s="29" t="s">
        <v>3626</v>
      </c>
      <c r="C1598" s="29" t="s">
        <v>2971</v>
      </c>
      <c r="D1598" s="30">
        <v>1</v>
      </c>
      <c r="E1598" s="29" t="s">
        <v>3070</v>
      </c>
      <c r="F1598" s="29" t="s">
        <v>1885</v>
      </c>
      <c r="G1598" s="29" t="s">
        <v>901</v>
      </c>
      <c r="H1598" s="29" t="s">
        <v>902</v>
      </c>
      <c r="I1598" s="29" t="s">
        <v>656</v>
      </c>
      <c r="J1598" s="29" t="s">
        <v>2972</v>
      </c>
    </row>
    <row r="1599" spans="1:10" ht="19.5" customHeight="1" x14ac:dyDescent="0.35">
      <c r="A1599" s="29" t="s">
        <v>896</v>
      </c>
      <c r="B1599" s="29" t="s">
        <v>3627</v>
      </c>
      <c r="C1599" s="29" t="s">
        <v>1136</v>
      </c>
      <c r="D1599" s="30">
        <v>1</v>
      </c>
      <c r="E1599" s="29" t="s">
        <v>3070</v>
      </c>
      <c r="F1599" s="29" t="s">
        <v>1885</v>
      </c>
      <c r="G1599" s="29" t="s">
        <v>901</v>
      </c>
      <c r="H1599" s="29" t="s">
        <v>902</v>
      </c>
      <c r="I1599" s="29" t="s">
        <v>656</v>
      </c>
      <c r="J1599" s="29" t="s">
        <v>2692</v>
      </c>
    </row>
    <row r="1600" spans="1:10" ht="19.5" customHeight="1" x14ac:dyDescent="0.35">
      <c r="A1600" s="29" t="s">
        <v>896</v>
      </c>
      <c r="B1600" s="29" t="s">
        <v>3628</v>
      </c>
      <c r="C1600" s="29" t="s">
        <v>1143</v>
      </c>
      <c r="D1600" s="30">
        <v>1</v>
      </c>
      <c r="E1600" s="29" t="s">
        <v>3070</v>
      </c>
      <c r="F1600" s="29" t="s">
        <v>1885</v>
      </c>
      <c r="G1600" s="29" t="s">
        <v>901</v>
      </c>
      <c r="H1600" s="29" t="s">
        <v>902</v>
      </c>
      <c r="I1600" s="29" t="s">
        <v>656</v>
      </c>
      <c r="J1600" s="29" t="s">
        <v>2985</v>
      </c>
    </row>
    <row r="1601" spans="1:10" ht="19.5" customHeight="1" x14ac:dyDescent="0.35">
      <c r="A1601" s="29" t="s">
        <v>896</v>
      </c>
      <c r="B1601" s="29" t="s">
        <v>3629</v>
      </c>
      <c r="C1601" s="29" t="s">
        <v>1077</v>
      </c>
      <c r="D1601" s="30">
        <v>1</v>
      </c>
      <c r="E1601" s="29" t="s">
        <v>3070</v>
      </c>
      <c r="F1601" s="29" t="s">
        <v>1885</v>
      </c>
      <c r="G1601" s="29" t="s">
        <v>901</v>
      </c>
      <c r="H1601" s="29" t="s">
        <v>902</v>
      </c>
      <c r="I1601" s="29" t="s">
        <v>656</v>
      </c>
      <c r="J1601" s="29" t="s">
        <v>2222</v>
      </c>
    </row>
    <row r="1602" spans="1:10" ht="19.5" customHeight="1" x14ac:dyDescent="0.35">
      <c r="A1602" s="29" t="s">
        <v>896</v>
      </c>
      <c r="B1602" s="29" t="s">
        <v>3630</v>
      </c>
      <c r="C1602" s="29" t="s">
        <v>963</v>
      </c>
      <c r="D1602" s="30">
        <v>1</v>
      </c>
      <c r="E1602" s="29" t="s">
        <v>3070</v>
      </c>
      <c r="F1602" s="29" t="s">
        <v>1885</v>
      </c>
      <c r="G1602" s="29" t="s">
        <v>901</v>
      </c>
      <c r="H1602" s="29" t="s">
        <v>902</v>
      </c>
      <c r="I1602" s="29" t="s">
        <v>656</v>
      </c>
      <c r="J1602" s="29" t="s">
        <v>2222</v>
      </c>
    </row>
    <row r="1603" spans="1:10" ht="19.5" customHeight="1" x14ac:dyDescent="0.35">
      <c r="A1603" s="29" t="s">
        <v>896</v>
      </c>
      <c r="B1603" s="29" t="s">
        <v>3631</v>
      </c>
      <c r="C1603" s="29" t="s">
        <v>2971</v>
      </c>
      <c r="D1603" s="30">
        <v>1</v>
      </c>
      <c r="E1603" s="29" t="s">
        <v>3070</v>
      </c>
      <c r="F1603" s="29" t="s">
        <v>1885</v>
      </c>
      <c r="G1603" s="29" t="s">
        <v>901</v>
      </c>
      <c r="H1603" s="29" t="s">
        <v>902</v>
      </c>
      <c r="I1603" s="29" t="s">
        <v>656</v>
      </c>
      <c r="J1603" s="29" t="s">
        <v>2972</v>
      </c>
    </row>
    <row r="1604" spans="1:10" ht="19.5" customHeight="1" x14ac:dyDescent="0.35">
      <c r="A1604" s="29" t="s">
        <v>896</v>
      </c>
      <c r="B1604" s="29" t="s">
        <v>3632</v>
      </c>
      <c r="C1604" s="29" t="s">
        <v>921</v>
      </c>
      <c r="D1604" s="30">
        <v>1</v>
      </c>
      <c r="E1604" s="29" t="s">
        <v>3070</v>
      </c>
      <c r="F1604" s="29" t="s">
        <v>1885</v>
      </c>
      <c r="G1604" s="29" t="s">
        <v>901</v>
      </c>
      <c r="H1604" s="29" t="s">
        <v>902</v>
      </c>
      <c r="I1604" s="29" t="s">
        <v>656</v>
      </c>
      <c r="J1604" s="29" t="s">
        <v>2866</v>
      </c>
    </row>
    <row r="1605" spans="1:10" ht="19.5" customHeight="1" x14ac:dyDescent="0.35">
      <c r="A1605" s="29" t="s">
        <v>896</v>
      </c>
      <c r="B1605" s="29" t="s">
        <v>3633</v>
      </c>
      <c r="C1605" s="29" t="s">
        <v>909</v>
      </c>
      <c r="D1605" s="30">
        <v>1</v>
      </c>
      <c r="E1605" s="29" t="s">
        <v>3070</v>
      </c>
      <c r="F1605" s="29" t="s">
        <v>1885</v>
      </c>
      <c r="G1605" s="29" t="s">
        <v>901</v>
      </c>
      <c r="H1605" s="29" t="s">
        <v>902</v>
      </c>
      <c r="I1605" s="29" t="s">
        <v>656</v>
      </c>
      <c r="J1605" s="29" t="s">
        <v>2972</v>
      </c>
    </row>
    <row r="1606" spans="1:10" ht="19.5" customHeight="1" x14ac:dyDescent="0.35">
      <c r="A1606" s="29" t="s">
        <v>896</v>
      </c>
      <c r="B1606" s="29" t="s">
        <v>3634</v>
      </c>
      <c r="C1606" s="29" t="s">
        <v>921</v>
      </c>
      <c r="D1606" s="30">
        <v>1</v>
      </c>
      <c r="E1606" s="29" t="s">
        <v>3070</v>
      </c>
      <c r="F1606" s="29" t="s">
        <v>1885</v>
      </c>
      <c r="G1606" s="29" t="s">
        <v>901</v>
      </c>
      <c r="H1606" s="29" t="s">
        <v>902</v>
      </c>
      <c r="I1606" s="29" t="s">
        <v>656</v>
      </c>
      <c r="J1606" s="29" t="s">
        <v>2095</v>
      </c>
    </row>
    <row r="1607" spans="1:10" ht="19.5" customHeight="1" x14ac:dyDescent="0.35">
      <c r="A1607" s="29" t="s">
        <v>896</v>
      </c>
      <c r="B1607" s="29" t="s">
        <v>3635</v>
      </c>
      <c r="C1607" s="29" t="s">
        <v>1077</v>
      </c>
      <c r="D1607" s="30">
        <v>1</v>
      </c>
      <c r="E1607" s="29" t="s">
        <v>3070</v>
      </c>
      <c r="F1607" s="29" t="s">
        <v>1885</v>
      </c>
      <c r="G1607" s="29" t="s">
        <v>901</v>
      </c>
      <c r="H1607" s="29" t="s">
        <v>902</v>
      </c>
      <c r="I1607" s="29" t="s">
        <v>656</v>
      </c>
      <c r="J1607" s="29" t="s">
        <v>2222</v>
      </c>
    </row>
    <row r="1608" spans="1:10" ht="19.5" customHeight="1" x14ac:dyDescent="0.35">
      <c r="A1608" s="29" t="s">
        <v>896</v>
      </c>
      <c r="B1608" s="29" t="s">
        <v>3636</v>
      </c>
      <c r="C1608" s="29" t="s">
        <v>989</v>
      </c>
      <c r="D1608" s="30">
        <v>1</v>
      </c>
      <c r="E1608" s="29" t="s">
        <v>3070</v>
      </c>
      <c r="F1608" s="29" t="s">
        <v>1885</v>
      </c>
      <c r="G1608" s="29" t="s">
        <v>901</v>
      </c>
      <c r="H1608" s="29" t="s">
        <v>902</v>
      </c>
      <c r="I1608" s="29" t="s">
        <v>656</v>
      </c>
      <c r="J1608" s="29" t="s">
        <v>2692</v>
      </c>
    </row>
    <row r="1609" spans="1:10" ht="19.5" customHeight="1" x14ac:dyDescent="0.35">
      <c r="A1609" s="29" t="s">
        <v>896</v>
      </c>
      <c r="B1609" s="29" t="s">
        <v>3637</v>
      </c>
      <c r="C1609" s="29" t="s">
        <v>1240</v>
      </c>
      <c r="D1609" s="30">
        <v>1</v>
      </c>
      <c r="E1609" s="29" t="s">
        <v>3070</v>
      </c>
      <c r="F1609" s="29" t="s">
        <v>1885</v>
      </c>
      <c r="G1609" s="29" t="s">
        <v>901</v>
      </c>
      <c r="H1609" s="29" t="s">
        <v>902</v>
      </c>
      <c r="I1609" s="29" t="s">
        <v>656</v>
      </c>
      <c r="J1609" s="29" t="s">
        <v>2095</v>
      </c>
    </row>
    <row r="1610" spans="1:10" ht="19.5" customHeight="1" x14ac:dyDescent="0.35">
      <c r="A1610" s="29" t="s">
        <v>896</v>
      </c>
      <c r="B1610" s="29" t="s">
        <v>3638</v>
      </c>
      <c r="C1610" s="29" t="s">
        <v>1111</v>
      </c>
      <c r="D1610" s="30">
        <v>1</v>
      </c>
      <c r="E1610" s="29" t="s">
        <v>3070</v>
      </c>
      <c r="F1610" s="29" t="s">
        <v>1885</v>
      </c>
      <c r="G1610" s="29" t="s">
        <v>901</v>
      </c>
      <c r="H1610" s="29" t="s">
        <v>902</v>
      </c>
      <c r="I1610" s="29" t="s">
        <v>656</v>
      </c>
      <c r="J1610" s="29" t="s">
        <v>2443</v>
      </c>
    </row>
    <row r="1611" spans="1:10" ht="19.5" customHeight="1" x14ac:dyDescent="0.35">
      <c r="A1611" s="29" t="s">
        <v>896</v>
      </c>
      <c r="B1611" s="29" t="s">
        <v>3639</v>
      </c>
      <c r="C1611" s="29" t="s">
        <v>1050</v>
      </c>
      <c r="D1611" s="30">
        <v>1</v>
      </c>
      <c r="E1611" s="29" t="s">
        <v>3070</v>
      </c>
      <c r="F1611" s="29" t="s">
        <v>1885</v>
      </c>
      <c r="G1611" s="29" t="s">
        <v>901</v>
      </c>
      <c r="H1611" s="29" t="s">
        <v>902</v>
      </c>
      <c r="I1611" s="29" t="s">
        <v>656</v>
      </c>
      <c r="J1611" s="29" t="s">
        <v>2692</v>
      </c>
    </row>
    <row r="1612" spans="1:10" ht="19.5" customHeight="1" x14ac:dyDescent="0.35">
      <c r="A1612" s="29" t="s">
        <v>896</v>
      </c>
      <c r="B1612" s="29" t="s">
        <v>3640</v>
      </c>
      <c r="C1612" s="29" t="s">
        <v>909</v>
      </c>
      <c r="D1612" s="30">
        <v>1</v>
      </c>
      <c r="E1612" s="29" t="s">
        <v>3070</v>
      </c>
      <c r="F1612" s="29" t="s">
        <v>1885</v>
      </c>
      <c r="G1612" s="29" t="s">
        <v>901</v>
      </c>
      <c r="H1612" s="29" t="s">
        <v>902</v>
      </c>
      <c r="I1612" s="29" t="s">
        <v>656</v>
      </c>
      <c r="J1612" s="29" t="s">
        <v>2972</v>
      </c>
    </row>
    <row r="1613" spans="1:10" ht="19.5" customHeight="1" x14ac:dyDescent="0.35">
      <c r="A1613" s="29" t="s">
        <v>896</v>
      </c>
      <c r="B1613" s="29" t="s">
        <v>3641</v>
      </c>
      <c r="C1613" s="29" t="s">
        <v>909</v>
      </c>
      <c r="D1613" s="30">
        <v>1</v>
      </c>
      <c r="E1613" s="29" t="s">
        <v>3070</v>
      </c>
      <c r="F1613" s="29" t="s">
        <v>1885</v>
      </c>
      <c r="G1613" s="29" t="s">
        <v>901</v>
      </c>
      <c r="H1613" s="29" t="s">
        <v>902</v>
      </c>
      <c r="I1613" s="29" t="s">
        <v>656</v>
      </c>
      <c r="J1613" s="29" t="s">
        <v>2972</v>
      </c>
    </row>
    <row r="1614" spans="1:10" ht="19.5" customHeight="1" x14ac:dyDescent="0.35">
      <c r="A1614" s="29" t="s">
        <v>896</v>
      </c>
      <c r="B1614" s="29" t="s">
        <v>3642</v>
      </c>
      <c r="C1614" s="29" t="s">
        <v>1077</v>
      </c>
      <c r="D1614" s="30">
        <v>1</v>
      </c>
      <c r="E1614" s="29" t="s">
        <v>3070</v>
      </c>
      <c r="F1614" s="29" t="s">
        <v>1885</v>
      </c>
      <c r="G1614" s="29" t="s">
        <v>901</v>
      </c>
      <c r="H1614" s="29" t="s">
        <v>902</v>
      </c>
      <c r="I1614" s="29" t="s">
        <v>656</v>
      </c>
      <c r="J1614" s="29" t="s">
        <v>2985</v>
      </c>
    </row>
    <row r="1615" spans="1:10" ht="19.5" customHeight="1" x14ac:dyDescent="0.35">
      <c r="A1615" s="29" t="s">
        <v>896</v>
      </c>
      <c r="B1615" s="29" t="s">
        <v>3643</v>
      </c>
      <c r="C1615" s="29" t="s">
        <v>946</v>
      </c>
      <c r="D1615" s="30">
        <v>1</v>
      </c>
      <c r="E1615" s="29" t="s">
        <v>3070</v>
      </c>
      <c r="F1615" s="29" t="s">
        <v>1885</v>
      </c>
      <c r="G1615" s="29" t="s">
        <v>901</v>
      </c>
      <c r="H1615" s="29" t="s">
        <v>902</v>
      </c>
      <c r="I1615" s="29" t="s">
        <v>656</v>
      </c>
      <c r="J1615" s="29" t="s">
        <v>2803</v>
      </c>
    </row>
    <row r="1616" spans="1:10" ht="19.5" customHeight="1" x14ac:dyDescent="0.35">
      <c r="A1616" s="29" t="s">
        <v>896</v>
      </c>
      <c r="B1616" s="29" t="s">
        <v>3644</v>
      </c>
      <c r="C1616" s="29" t="s">
        <v>2971</v>
      </c>
      <c r="D1616" s="30">
        <v>1</v>
      </c>
      <c r="E1616" s="29" t="s">
        <v>3070</v>
      </c>
      <c r="F1616" s="29" t="s">
        <v>1885</v>
      </c>
      <c r="G1616" s="29" t="s">
        <v>901</v>
      </c>
      <c r="H1616" s="29" t="s">
        <v>902</v>
      </c>
      <c r="I1616" s="29" t="s">
        <v>656</v>
      </c>
      <c r="J1616" s="29" t="s">
        <v>2972</v>
      </c>
    </row>
    <row r="1617" spans="1:10" ht="19.5" customHeight="1" x14ac:dyDescent="0.35">
      <c r="A1617" s="29" t="s">
        <v>896</v>
      </c>
      <c r="B1617" s="29" t="s">
        <v>3645</v>
      </c>
      <c r="C1617" s="29" t="s">
        <v>2257</v>
      </c>
      <c r="D1617" s="30">
        <v>1</v>
      </c>
      <c r="E1617" s="29" t="s">
        <v>3070</v>
      </c>
      <c r="F1617" s="29" t="s">
        <v>1885</v>
      </c>
      <c r="G1617" s="29" t="s">
        <v>901</v>
      </c>
      <c r="H1617" s="29" t="s">
        <v>902</v>
      </c>
      <c r="I1617" s="29" t="s">
        <v>656</v>
      </c>
      <c r="J1617" s="29" t="s">
        <v>2443</v>
      </c>
    </row>
    <row r="1618" spans="1:10" ht="19.5" customHeight="1" x14ac:dyDescent="0.35">
      <c r="A1618" s="29" t="s">
        <v>896</v>
      </c>
      <c r="B1618" s="29" t="s">
        <v>3646</v>
      </c>
      <c r="C1618" s="29" t="s">
        <v>946</v>
      </c>
      <c r="D1618" s="30">
        <v>1</v>
      </c>
      <c r="E1618" s="29" t="s">
        <v>3070</v>
      </c>
      <c r="F1618" s="29" t="s">
        <v>1885</v>
      </c>
      <c r="G1618" s="29" t="s">
        <v>901</v>
      </c>
      <c r="H1618" s="29" t="s">
        <v>902</v>
      </c>
      <c r="I1618" s="29" t="s">
        <v>656</v>
      </c>
      <c r="J1618" s="29" t="s">
        <v>2222</v>
      </c>
    </row>
    <row r="1619" spans="1:10" ht="19.5" customHeight="1" x14ac:dyDescent="0.35">
      <c r="A1619" s="29" t="s">
        <v>896</v>
      </c>
      <c r="B1619" s="29" t="s">
        <v>3647</v>
      </c>
      <c r="C1619" s="29" t="s">
        <v>2257</v>
      </c>
      <c r="D1619" s="30">
        <v>1</v>
      </c>
      <c r="E1619" s="29" t="s">
        <v>3070</v>
      </c>
      <c r="F1619" s="29" t="s">
        <v>1885</v>
      </c>
      <c r="G1619" s="29" t="s">
        <v>901</v>
      </c>
      <c r="H1619" s="29" t="s">
        <v>902</v>
      </c>
      <c r="I1619" s="29" t="s">
        <v>656</v>
      </c>
      <c r="J1619" s="29" t="s">
        <v>2985</v>
      </c>
    </row>
    <row r="1620" spans="1:10" ht="19.5" customHeight="1" x14ac:dyDescent="0.35">
      <c r="A1620" s="29" t="s">
        <v>896</v>
      </c>
      <c r="B1620" s="29" t="s">
        <v>3648</v>
      </c>
      <c r="C1620" s="29" t="s">
        <v>1136</v>
      </c>
      <c r="D1620" s="30">
        <v>1</v>
      </c>
      <c r="E1620" s="29" t="s">
        <v>3070</v>
      </c>
      <c r="F1620" s="29" t="s">
        <v>1885</v>
      </c>
      <c r="G1620" s="29" t="s">
        <v>901</v>
      </c>
      <c r="H1620" s="29" t="s">
        <v>902</v>
      </c>
      <c r="I1620" s="29" t="s">
        <v>656</v>
      </c>
      <c r="J1620" s="29" t="s">
        <v>2866</v>
      </c>
    </row>
    <row r="1621" spans="1:10" ht="19.5" customHeight="1" x14ac:dyDescent="0.35">
      <c r="A1621" s="29" t="s">
        <v>896</v>
      </c>
      <c r="B1621" s="29" t="s">
        <v>3649</v>
      </c>
      <c r="C1621" s="29" t="s">
        <v>2971</v>
      </c>
      <c r="D1621" s="30">
        <v>1</v>
      </c>
      <c r="E1621" s="29" t="s">
        <v>3070</v>
      </c>
      <c r="F1621" s="29" t="s">
        <v>1885</v>
      </c>
      <c r="G1621" s="29" t="s">
        <v>901</v>
      </c>
      <c r="H1621" s="29" t="s">
        <v>902</v>
      </c>
      <c r="I1621" s="29" t="s">
        <v>656</v>
      </c>
      <c r="J1621" s="29" t="s">
        <v>2972</v>
      </c>
    </row>
    <row r="1622" spans="1:10" ht="19.5" customHeight="1" x14ac:dyDescent="0.35">
      <c r="A1622" s="29" t="s">
        <v>896</v>
      </c>
      <c r="B1622" s="29" t="s">
        <v>3650</v>
      </c>
      <c r="C1622" s="29" t="s">
        <v>1077</v>
      </c>
      <c r="D1622" s="30">
        <v>1</v>
      </c>
      <c r="E1622" s="29" t="s">
        <v>3070</v>
      </c>
      <c r="F1622" s="29" t="s">
        <v>1885</v>
      </c>
      <c r="G1622" s="29" t="s">
        <v>901</v>
      </c>
      <c r="H1622" s="29" t="s">
        <v>902</v>
      </c>
      <c r="I1622" s="29" t="s">
        <v>656</v>
      </c>
      <c r="J1622" s="29" t="s">
        <v>2222</v>
      </c>
    </row>
    <row r="1623" spans="1:10" ht="19.5" customHeight="1" x14ac:dyDescent="0.35">
      <c r="A1623" s="29" t="s">
        <v>896</v>
      </c>
      <c r="B1623" s="29" t="s">
        <v>3651</v>
      </c>
      <c r="C1623" s="29" t="s">
        <v>2598</v>
      </c>
      <c r="D1623" s="30">
        <v>1</v>
      </c>
      <c r="E1623" s="29" t="s">
        <v>3070</v>
      </c>
      <c r="F1623" s="29" t="s">
        <v>1885</v>
      </c>
      <c r="G1623" s="29" t="s">
        <v>901</v>
      </c>
      <c r="H1623" s="29" t="s">
        <v>902</v>
      </c>
      <c r="I1623" s="29" t="s">
        <v>656</v>
      </c>
      <c r="J1623" s="29" t="s">
        <v>2443</v>
      </c>
    </row>
    <row r="1624" spans="1:10" ht="19.5" customHeight="1" x14ac:dyDescent="0.35">
      <c r="A1624" s="29" t="s">
        <v>896</v>
      </c>
      <c r="B1624" s="29" t="s">
        <v>3652</v>
      </c>
      <c r="C1624" s="29" t="s">
        <v>1129</v>
      </c>
      <c r="D1624" s="30">
        <v>1</v>
      </c>
      <c r="E1624" s="29" t="s">
        <v>3070</v>
      </c>
      <c r="F1624" s="29" t="s">
        <v>1885</v>
      </c>
      <c r="G1624" s="29" t="s">
        <v>901</v>
      </c>
      <c r="H1624" s="29" t="s">
        <v>902</v>
      </c>
      <c r="I1624" s="29" t="s">
        <v>656</v>
      </c>
      <c r="J1624" s="29" t="s">
        <v>2692</v>
      </c>
    </row>
    <row r="1625" spans="1:10" ht="19.5" customHeight="1" x14ac:dyDescent="0.35">
      <c r="A1625" s="29" t="s">
        <v>896</v>
      </c>
      <c r="B1625" s="29" t="s">
        <v>3653</v>
      </c>
      <c r="C1625" s="29" t="s">
        <v>1690</v>
      </c>
      <c r="D1625" s="30">
        <v>1</v>
      </c>
      <c r="E1625" s="29" t="s">
        <v>3070</v>
      </c>
      <c r="F1625" s="29" t="s">
        <v>1885</v>
      </c>
      <c r="G1625" s="29" t="s">
        <v>901</v>
      </c>
      <c r="H1625" s="29" t="s">
        <v>902</v>
      </c>
      <c r="I1625" s="29" t="s">
        <v>656</v>
      </c>
      <c r="J1625" s="29" t="s">
        <v>2222</v>
      </c>
    </row>
    <row r="1626" spans="1:10" ht="19.5" customHeight="1" x14ac:dyDescent="0.35">
      <c r="A1626" s="29" t="s">
        <v>896</v>
      </c>
      <c r="B1626" s="29" t="s">
        <v>3654</v>
      </c>
      <c r="C1626" s="29" t="s">
        <v>1009</v>
      </c>
      <c r="D1626" s="30">
        <v>1</v>
      </c>
      <c r="E1626" s="29" t="s">
        <v>3070</v>
      </c>
      <c r="F1626" s="29" t="s">
        <v>1885</v>
      </c>
      <c r="G1626" s="29" t="s">
        <v>901</v>
      </c>
      <c r="H1626" s="29" t="s">
        <v>902</v>
      </c>
      <c r="I1626" s="29" t="s">
        <v>656</v>
      </c>
      <c r="J1626" s="29" t="s">
        <v>2443</v>
      </c>
    </row>
    <row r="1627" spans="1:10" ht="19.5" customHeight="1" x14ac:dyDescent="0.35">
      <c r="A1627" s="29" t="s">
        <v>896</v>
      </c>
      <c r="B1627" s="29" t="s">
        <v>3655</v>
      </c>
      <c r="C1627" s="29" t="s">
        <v>989</v>
      </c>
      <c r="D1627" s="30">
        <v>1</v>
      </c>
      <c r="E1627" s="29" t="s">
        <v>3070</v>
      </c>
      <c r="F1627" s="29" t="s">
        <v>1885</v>
      </c>
      <c r="G1627" s="29" t="s">
        <v>901</v>
      </c>
      <c r="H1627" s="29" t="s">
        <v>902</v>
      </c>
      <c r="I1627" s="29" t="s">
        <v>656</v>
      </c>
      <c r="J1627" s="29" t="s">
        <v>2692</v>
      </c>
    </row>
    <row r="1628" spans="1:10" ht="19.5" customHeight="1" x14ac:dyDescent="0.35">
      <c r="A1628" s="29" t="s">
        <v>896</v>
      </c>
      <c r="B1628" s="29" t="s">
        <v>3656</v>
      </c>
      <c r="C1628" s="29" t="s">
        <v>989</v>
      </c>
      <c r="D1628" s="30">
        <v>1</v>
      </c>
      <c r="E1628" s="29" t="s">
        <v>3070</v>
      </c>
      <c r="F1628" s="29" t="s">
        <v>1885</v>
      </c>
      <c r="G1628" s="29" t="s">
        <v>901</v>
      </c>
      <c r="H1628" s="29" t="s">
        <v>902</v>
      </c>
      <c r="I1628" s="29" t="s">
        <v>656</v>
      </c>
      <c r="J1628" s="29" t="s">
        <v>2692</v>
      </c>
    </row>
    <row r="1629" spans="1:10" ht="19.5" customHeight="1" x14ac:dyDescent="0.35">
      <c r="A1629" s="29" t="s">
        <v>896</v>
      </c>
      <c r="B1629" s="29" t="s">
        <v>3657</v>
      </c>
      <c r="C1629" s="29" t="s">
        <v>1240</v>
      </c>
      <c r="D1629" s="30">
        <v>1</v>
      </c>
      <c r="E1629" s="29" t="s">
        <v>3070</v>
      </c>
      <c r="F1629" s="29" t="s">
        <v>1885</v>
      </c>
      <c r="G1629" s="29" t="s">
        <v>901</v>
      </c>
      <c r="H1629" s="29" t="s">
        <v>902</v>
      </c>
      <c r="I1629" s="29" t="s">
        <v>656</v>
      </c>
      <c r="J1629" s="29" t="s">
        <v>2443</v>
      </c>
    </row>
    <row r="1630" spans="1:10" ht="19.5" customHeight="1" x14ac:dyDescent="0.35">
      <c r="A1630" s="29" t="s">
        <v>896</v>
      </c>
      <c r="B1630" s="29" t="s">
        <v>3658</v>
      </c>
      <c r="C1630" s="29" t="s">
        <v>1129</v>
      </c>
      <c r="D1630" s="30">
        <v>1</v>
      </c>
      <c r="E1630" s="29" t="s">
        <v>3070</v>
      </c>
      <c r="F1630" s="29" t="s">
        <v>1885</v>
      </c>
      <c r="G1630" s="29" t="s">
        <v>901</v>
      </c>
      <c r="H1630" s="29" t="s">
        <v>902</v>
      </c>
      <c r="I1630" s="29" t="s">
        <v>656</v>
      </c>
      <c r="J1630" s="29" t="s">
        <v>2222</v>
      </c>
    </row>
    <row r="1631" spans="1:10" ht="19.5" customHeight="1" x14ac:dyDescent="0.35">
      <c r="A1631" s="29" t="s">
        <v>896</v>
      </c>
      <c r="B1631" s="29" t="s">
        <v>3659</v>
      </c>
      <c r="C1631" s="29" t="s">
        <v>3404</v>
      </c>
      <c r="D1631" s="30">
        <v>1</v>
      </c>
      <c r="E1631" s="29" t="s">
        <v>3070</v>
      </c>
      <c r="F1631" s="29" t="s">
        <v>1885</v>
      </c>
      <c r="G1631" s="29" t="s">
        <v>901</v>
      </c>
      <c r="H1631" s="29" t="s">
        <v>902</v>
      </c>
      <c r="I1631" s="29" t="s">
        <v>656</v>
      </c>
      <c r="J1631" s="29" t="s">
        <v>2649</v>
      </c>
    </row>
    <row r="1632" spans="1:10" ht="19.5" customHeight="1" x14ac:dyDescent="0.35">
      <c r="A1632" s="29" t="s">
        <v>896</v>
      </c>
      <c r="B1632" s="29" t="s">
        <v>3660</v>
      </c>
      <c r="C1632" s="29" t="s">
        <v>989</v>
      </c>
      <c r="D1632" s="30">
        <v>1</v>
      </c>
      <c r="E1632" s="29" t="s">
        <v>3070</v>
      </c>
      <c r="F1632" s="29" t="s">
        <v>1885</v>
      </c>
      <c r="G1632" s="29" t="s">
        <v>901</v>
      </c>
      <c r="H1632" s="29" t="s">
        <v>902</v>
      </c>
      <c r="I1632" s="29" t="s">
        <v>656</v>
      </c>
      <c r="J1632" s="29" t="s">
        <v>2095</v>
      </c>
    </row>
    <row r="1633" spans="1:10" ht="19.5" customHeight="1" x14ac:dyDescent="0.35">
      <c r="A1633" s="29" t="s">
        <v>896</v>
      </c>
      <c r="B1633" s="29" t="s">
        <v>3661</v>
      </c>
      <c r="C1633" s="29" t="s">
        <v>898</v>
      </c>
      <c r="D1633" s="30">
        <v>1</v>
      </c>
      <c r="E1633" s="29" t="s">
        <v>3070</v>
      </c>
      <c r="F1633" s="29" t="s">
        <v>1885</v>
      </c>
      <c r="G1633" s="29" t="s">
        <v>901</v>
      </c>
      <c r="H1633" s="29" t="s">
        <v>902</v>
      </c>
      <c r="I1633" s="29" t="s">
        <v>656</v>
      </c>
      <c r="J1633" s="29" t="s">
        <v>2649</v>
      </c>
    </row>
    <row r="1634" spans="1:10" ht="19.5" customHeight="1" x14ac:dyDescent="0.35">
      <c r="A1634" s="29" t="s">
        <v>896</v>
      </c>
      <c r="B1634" s="29" t="s">
        <v>3662</v>
      </c>
      <c r="C1634" s="29" t="s">
        <v>989</v>
      </c>
      <c r="D1634" s="30">
        <v>1</v>
      </c>
      <c r="E1634" s="29" t="s">
        <v>3070</v>
      </c>
      <c r="F1634" s="29" t="s">
        <v>1885</v>
      </c>
      <c r="G1634" s="29" t="s">
        <v>901</v>
      </c>
      <c r="H1634" s="29" t="s">
        <v>902</v>
      </c>
      <c r="I1634" s="29" t="s">
        <v>656</v>
      </c>
      <c r="J1634" s="29" t="s">
        <v>2649</v>
      </c>
    </row>
    <row r="1635" spans="1:10" ht="19.5" customHeight="1" x14ac:dyDescent="0.35">
      <c r="A1635" s="29" t="s">
        <v>896</v>
      </c>
      <c r="B1635" s="29" t="s">
        <v>3663</v>
      </c>
      <c r="C1635" s="29" t="s">
        <v>2598</v>
      </c>
      <c r="D1635" s="30">
        <v>1</v>
      </c>
      <c r="E1635" s="29" t="s">
        <v>3070</v>
      </c>
      <c r="F1635" s="29" t="s">
        <v>1885</v>
      </c>
      <c r="G1635" s="29" t="s">
        <v>901</v>
      </c>
      <c r="H1635" s="29" t="s">
        <v>902</v>
      </c>
      <c r="I1635" s="29" t="s">
        <v>656</v>
      </c>
      <c r="J1635" s="29" t="s">
        <v>2443</v>
      </c>
    </row>
    <row r="1636" spans="1:10" ht="19.5" customHeight="1" x14ac:dyDescent="0.35">
      <c r="A1636" s="29" t="s">
        <v>896</v>
      </c>
      <c r="B1636" s="29" t="s">
        <v>3664</v>
      </c>
      <c r="C1636" s="29" t="s">
        <v>909</v>
      </c>
      <c r="D1636" s="30">
        <v>1</v>
      </c>
      <c r="E1636" s="29" t="s">
        <v>3070</v>
      </c>
      <c r="F1636" s="29" t="s">
        <v>1885</v>
      </c>
      <c r="G1636" s="29" t="s">
        <v>901</v>
      </c>
      <c r="H1636" s="29" t="s">
        <v>902</v>
      </c>
      <c r="I1636" s="29" t="s">
        <v>656</v>
      </c>
      <c r="J1636" s="29" t="s">
        <v>2222</v>
      </c>
    </row>
    <row r="1637" spans="1:10" ht="19.5" customHeight="1" x14ac:dyDescent="0.35">
      <c r="A1637" s="29" t="s">
        <v>896</v>
      </c>
      <c r="B1637" s="29" t="s">
        <v>3665</v>
      </c>
      <c r="C1637" s="29" t="s">
        <v>1101</v>
      </c>
      <c r="D1637" s="30">
        <v>1</v>
      </c>
      <c r="E1637" s="29" t="s">
        <v>3070</v>
      </c>
      <c r="F1637" s="29" t="s">
        <v>1885</v>
      </c>
      <c r="G1637" s="29" t="s">
        <v>901</v>
      </c>
      <c r="H1637" s="29" t="s">
        <v>902</v>
      </c>
      <c r="I1637" s="29" t="s">
        <v>656</v>
      </c>
      <c r="J1637" s="29" t="s">
        <v>2692</v>
      </c>
    </row>
    <row r="1638" spans="1:10" ht="19.5" customHeight="1" x14ac:dyDescent="0.35">
      <c r="A1638" s="29" t="s">
        <v>896</v>
      </c>
      <c r="B1638" s="29" t="s">
        <v>3666</v>
      </c>
      <c r="C1638" s="29" t="s">
        <v>1101</v>
      </c>
      <c r="D1638" s="30">
        <v>1</v>
      </c>
      <c r="E1638" s="29" t="s">
        <v>3070</v>
      </c>
      <c r="F1638" s="29" t="s">
        <v>1885</v>
      </c>
      <c r="G1638" s="29" t="s">
        <v>901</v>
      </c>
      <c r="H1638" s="29" t="s">
        <v>902</v>
      </c>
      <c r="I1638" s="29" t="s">
        <v>656</v>
      </c>
      <c r="J1638" s="29" t="s">
        <v>2692</v>
      </c>
    </row>
    <row r="1639" spans="1:10" ht="19.5" customHeight="1" x14ac:dyDescent="0.35">
      <c r="A1639" s="29" t="s">
        <v>896</v>
      </c>
      <c r="B1639" s="29" t="s">
        <v>3667</v>
      </c>
      <c r="C1639" s="29" t="s">
        <v>1136</v>
      </c>
      <c r="D1639" s="30">
        <v>1</v>
      </c>
      <c r="E1639" s="29" t="s">
        <v>3070</v>
      </c>
      <c r="F1639" s="29" t="s">
        <v>1885</v>
      </c>
      <c r="G1639" s="29" t="s">
        <v>901</v>
      </c>
      <c r="H1639" s="29" t="s">
        <v>902</v>
      </c>
      <c r="I1639" s="29" t="s">
        <v>656</v>
      </c>
      <c r="J1639" s="29" t="s">
        <v>2222</v>
      </c>
    </row>
    <row r="1640" spans="1:10" ht="19.5" customHeight="1" x14ac:dyDescent="0.35">
      <c r="A1640" s="29" t="s">
        <v>896</v>
      </c>
      <c r="B1640" s="29" t="s">
        <v>3668</v>
      </c>
      <c r="C1640" s="29" t="s">
        <v>1111</v>
      </c>
      <c r="D1640" s="30">
        <v>1</v>
      </c>
      <c r="E1640" s="29" t="s">
        <v>3070</v>
      </c>
      <c r="F1640" s="29" t="s">
        <v>1885</v>
      </c>
      <c r="G1640" s="29" t="s">
        <v>901</v>
      </c>
      <c r="H1640" s="29" t="s">
        <v>902</v>
      </c>
      <c r="I1640" s="29" t="s">
        <v>656</v>
      </c>
      <c r="J1640" s="29" t="s">
        <v>2443</v>
      </c>
    </row>
    <row r="1641" spans="1:10" ht="19.5" customHeight="1" x14ac:dyDescent="0.35">
      <c r="A1641" s="29" t="s">
        <v>896</v>
      </c>
      <c r="B1641" s="29" t="s">
        <v>3669</v>
      </c>
      <c r="C1641" s="29" t="s">
        <v>1494</v>
      </c>
      <c r="D1641" s="30">
        <v>1</v>
      </c>
      <c r="E1641" s="29" t="s">
        <v>3070</v>
      </c>
      <c r="F1641" s="29" t="s">
        <v>1885</v>
      </c>
      <c r="G1641" s="29" t="s">
        <v>901</v>
      </c>
      <c r="H1641" s="29" t="s">
        <v>902</v>
      </c>
      <c r="I1641" s="29" t="s">
        <v>656</v>
      </c>
      <c r="J1641" s="29" t="s">
        <v>2649</v>
      </c>
    </row>
    <row r="1642" spans="1:10" ht="19.5" customHeight="1" x14ac:dyDescent="0.35">
      <c r="A1642" s="29" t="s">
        <v>896</v>
      </c>
      <c r="B1642" s="29" t="s">
        <v>3670</v>
      </c>
      <c r="C1642" s="29" t="s">
        <v>909</v>
      </c>
      <c r="D1642" s="30">
        <v>1</v>
      </c>
      <c r="E1642" s="29" t="s">
        <v>3070</v>
      </c>
      <c r="F1642" s="29" t="s">
        <v>1885</v>
      </c>
      <c r="G1642" s="29" t="s">
        <v>901</v>
      </c>
      <c r="H1642" s="29" t="s">
        <v>902</v>
      </c>
      <c r="I1642" s="29" t="s">
        <v>656</v>
      </c>
      <c r="J1642" s="29" t="s">
        <v>2222</v>
      </c>
    </row>
    <row r="1643" spans="1:10" ht="19.5" customHeight="1" x14ac:dyDescent="0.35">
      <c r="A1643" s="29" t="s">
        <v>896</v>
      </c>
      <c r="B1643" s="29" t="s">
        <v>3671</v>
      </c>
      <c r="C1643" s="29" t="s">
        <v>2598</v>
      </c>
      <c r="D1643" s="30">
        <v>1</v>
      </c>
      <c r="E1643" s="29" t="s">
        <v>3070</v>
      </c>
      <c r="F1643" s="29" t="s">
        <v>1885</v>
      </c>
      <c r="G1643" s="29" t="s">
        <v>901</v>
      </c>
      <c r="H1643" s="29" t="s">
        <v>902</v>
      </c>
      <c r="I1643" s="29" t="s">
        <v>656</v>
      </c>
      <c r="J1643" s="29" t="s">
        <v>2443</v>
      </c>
    </row>
    <row r="1644" spans="1:10" ht="19.5" customHeight="1" x14ac:dyDescent="0.35">
      <c r="A1644" s="29" t="s">
        <v>896</v>
      </c>
      <c r="B1644" s="29" t="s">
        <v>3672</v>
      </c>
      <c r="C1644" s="29" t="s">
        <v>1101</v>
      </c>
      <c r="D1644" s="30">
        <v>1</v>
      </c>
      <c r="E1644" s="29" t="s">
        <v>3070</v>
      </c>
      <c r="F1644" s="29" t="s">
        <v>1885</v>
      </c>
      <c r="G1644" s="29" t="s">
        <v>901</v>
      </c>
      <c r="H1644" s="29" t="s">
        <v>902</v>
      </c>
      <c r="I1644" s="29" t="s">
        <v>656</v>
      </c>
      <c r="J1644" s="29" t="s">
        <v>2443</v>
      </c>
    </row>
    <row r="1645" spans="1:10" ht="19.5" customHeight="1" x14ac:dyDescent="0.35">
      <c r="A1645" s="29" t="s">
        <v>896</v>
      </c>
      <c r="B1645" s="29" t="s">
        <v>3673</v>
      </c>
      <c r="C1645" s="29" t="s">
        <v>1212</v>
      </c>
      <c r="D1645" s="30">
        <v>1</v>
      </c>
      <c r="E1645" s="29" t="s">
        <v>3070</v>
      </c>
      <c r="F1645" s="29" t="s">
        <v>1885</v>
      </c>
      <c r="G1645" s="29" t="s">
        <v>901</v>
      </c>
      <c r="H1645" s="29" t="s">
        <v>902</v>
      </c>
      <c r="I1645" s="29" t="s">
        <v>656</v>
      </c>
      <c r="J1645" s="29" t="s">
        <v>3044</v>
      </c>
    </row>
    <row r="1646" spans="1:10" ht="19.5" customHeight="1" x14ac:dyDescent="0.35">
      <c r="A1646" s="29" t="s">
        <v>896</v>
      </c>
      <c r="B1646" s="29" t="s">
        <v>3674</v>
      </c>
      <c r="C1646" s="29" t="s">
        <v>1143</v>
      </c>
      <c r="D1646" s="30">
        <v>1</v>
      </c>
      <c r="E1646" s="29" t="s">
        <v>3070</v>
      </c>
      <c r="F1646" s="29" t="s">
        <v>1885</v>
      </c>
      <c r="G1646" s="29" t="s">
        <v>901</v>
      </c>
      <c r="H1646" s="29" t="s">
        <v>902</v>
      </c>
      <c r="I1646" s="29" t="s">
        <v>656</v>
      </c>
      <c r="J1646" s="29" t="s">
        <v>2222</v>
      </c>
    </row>
    <row r="1647" spans="1:10" ht="19.5" customHeight="1" x14ac:dyDescent="0.35">
      <c r="A1647" s="29" t="s">
        <v>896</v>
      </c>
      <c r="B1647" s="29" t="s">
        <v>3675</v>
      </c>
      <c r="C1647" s="29" t="s">
        <v>1009</v>
      </c>
      <c r="D1647" s="30">
        <v>1</v>
      </c>
      <c r="E1647" s="29" t="s">
        <v>3070</v>
      </c>
      <c r="F1647" s="29" t="s">
        <v>1885</v>
      </c>
      <c r="G1647" s="29" t="s">
        <v>901</v>
      </c>
      <c r="H1647" s="29" t="s">
        <v>902</v>
      </c>
      <c r="I1647" s="29" t="s">
        <v>656</v>
      </c>
      <c r="J1647" s="29" t="s">
        <v>2443</v>
      </c>
    </row>
    <row r="1648" spans="1:10" ht="19.5" customHeight="1" x14ac:dyDescent="0.35">
      <c r="A1648" s="29" t="s">
        <v>896</v>
      </c>
      <c r="B1648" s="29" t="s">
        <v>3676</v>
      </c>
      <c r="C1648" s="29" t="s">
        <v>1077</v>
      </c>
      <c r="D1648" s="30">
        <v>1</v>
      </c>
      <c r="E1648" s="29" t="s">
        <v>3070</v>
      </c>
      <c r="F1648" s="29" t="s">
        <v>1885</v>
      </c>
      <c r="G1648" s="29" t="s">
        <v>901</v>
      </c>
      <c r="H1648" s="29" t="s">
        <v>902</v>
      </c>
      <c r="I1648" s="29" t="s">
        <v>656</v>
      </c>
      <c r="J1648" s="29" t="s">
        <v>2803</v>
      </c>
    </row>
    <row r="1649" spans="1:10" ht="19.5" customHeight="1" x14ac:dyDescent="0.35">
      <c r="A1649" s="29" t="s">
        <v>896</v>
      </c>
      <c r="B1649" s="29" t="s">
        <v>3677</v>
      </c>
      <c r="C1649" s="29" t="s">
        <v>909</v>
      </c>
      <c r="D1649" s="30">
        <v>1</v>
      </c>
      <c r="E1649" s="29" t="s">
        <v>3070</v>
      </c>
      <c r="F1649" s="29" t="s">
        <v>1885</v>
      </c>
      <c r="G1649" s="29" t="s">
        <v>901</v>
      </c>
      <c r="H1649" s="29" t="s">
        <v>902</v>
      </c>
      <c r="I1649" s="29" t="s">
        <v>656</v>
      </c>
      <c r="J1649" s="29" t="s">
        <v>2222</v>
      </c>
    </row>
    <row r="1650" spans="1:10" ht="19.5" customHeight="1" x14ac:dyDescent="0.35">
      <c r="A1650" s="29" t="s">
        <v>896</v>
      </c>
      <c r="B1650" s="29" t="s">
        <v>3678</v>
      </c>
      <c r="C1650" s="29" t="s">
        <v>1494</v>
      </c>
      <c r="D1650" s="30">
        <v>1</v>
      </c>
      <c r="E1650" s="29" t="s">
        <v>3070</v>
      </c>
      <c r="F1650" s="29" t="s">
        <v>1885</v>
      </c>
      <c r="G1650" s="29" t="s">
        <v>901</v>
      </c>
      <c r="H1650" s="29" t="s">
        <v>902</v>
      </c>
      <c r="I1650" s="29" t="s">
        <v>656</v>
      </c>
      <c r="J1650" s="29" t="s">
        <v>2649</v>
      </c>
    </row>
    <row r="1651" spans="1:10" ht="19.5" customHeight="1" x14ac:dyDescent="0.35">
      <c r="A1651" s="29" t="s">
        <v>896</v>
      </c>
      <c r="B1651" s="29" t="s">
        <v>3679</v>
      </c>
      <c r="C1651" s="29" t="s">
        <v>1240</v>
      </c>
      <c r="D1651" s="30">
        <v>1</v>
      </c>
      <c r="E1651" s="29" t="s">
        <v>3070</v>
      </c>
      <c r="F1651" s="29" t="s">
        <v>1885</v>
      </c>
      <c r="G1651" s="29" t="s">
        <v>901</v>
      </c>
      <c r="H1651" s="29" t="s">
        <v>902</v>
      </c>
      <c r="I1651" s="29" t="s">
        <v>656</v>
      </c>
      <c r="J1651" s="29" t="s">
        <v>2443</v>
      </c>
    </row>
    <row r="1652" spans="1:10" ht="19.5" customHeight="1" x14ac:dyDescent="0.35">
      <c r="A1652" s="29" t="s">
        <v>896</v>
      </c>
      <c r="B1652" s="29" t="s">
        <v>3680</v>
      </c>
      <c r="C1652" s="29" t="s">
        <v>1143</v>
      </c>
      <c r="D1652" s="30">
        <v>1</v>
      </c>
      <c r="E1652" s="29" t="s">
        <v>3070</v>
      </c>
      <c r="F1652" s="29" t="s">
        <v>1885</v>
      </c>
      <c r="G1652" s="29" t="s">
        <v>901</v>
      </c>
      <c r="H1652" s="29" t="s">
        <v>902</v>
      </c>
      <c r="I1652" s="29" t="s">
        <v>656</v>
      </c>
      <c r="J1652" s="29" t="s">
        <v>2222</v>
      </c>
    </row>
    <row r="1653" spans="1:10" ht="19.5" customHeight="1" x14ac:dyDescent="0.35">
      <c r="A1653" s="29" t="s">
        <v>896</v>
      </c>
      <c r="B1653" s="29" t="s">
        <v>3681</v>
      </c>
      <c r="C1653" s="29" t="s">
        <v>1077</v>
      </c>
      <c r="D1653" s="30">
        <v>1</v>
      </c>
      <c r="E1653" s="29" t="s">
        <v>3070</v>
      </c>
      <c r="F1653" s="29" t="s">
        <v>1885</v>
      </c>
      <c r="G1653" s="29" t="s">
        <v>901</v>
      </c>
      <c r="H1653" s="29" t="s">
        <v>902</v>
      </c>
      <c r="I1653" s="29" t="s">
        <v>656</v>
      </c>
      <c r="J1653" s="29" t="s">
        <v>2222</v>
      </c>
    </row>
    <row r="1654" spans="1:10" ht="19.5" customHeight="1" x14ac:dyDescent="0.35">
      <c r="A1654" s="29" t="s">
        <v>896</v>
      </c>
      <c r="B1654" s="29" t="s">
        <v>3682</v>
      </c>
      <c r="C1654" s="29" t="s">
        <v>942</v>
      </c>
      <c r="D1654" s="30">
        <v>1</v>
      </c>
      <c r="E1654" s="29" t="s">
        <v>3070</v>
      </c>
      <c r="F1654" s="29" t="s">
        <v>1885</v>
      </c>
      <c r="G1654" s="29" t="s">
        <v>901</v>
      </c>
      <c r="H1654" s="29" t="s">
        <v>902</v>
      </c>
      <c r="I1654" s="29" t="s">
        <v>656</v>
      </c>
      <c r="J1654" s="29" t="s">
        <v>2222</v>
      </c>
    </row>
    <row r="1655" spans="1:10" ht="19.5" customHeight="1" x14ac:dyDescent="0.35">
      <c r="A1655" s="29" t="s">
        <v>896</v>
      </c>
      <c r="B1655" s="29" t="s">
        <v>3683</v>
      </c>
      <c r="C1655" s="29" t="s">
        <v>1077</v>
      </c>
      <c r="D1655" s="30">
        <v>1</v>
      </c>
      <c r="E1655" s="29" t="s">
        <v>3070</v>
      </c>
      <c r="F1655" s="29" t="s">
        <v>1885</v>
      </c>
      <c r="G1655" s="29" t="s">
        <v>901</v>
      </c>
      <c r="H1655" s="29" t="s">
        <v>902</v>
      </c>
      <c r="I1655" s="29" t="s">
        <v>656</v>
      </c>
      <c r="J1655" s="29" t="s">
        <v>2222</v>
      </c>
    </row>
    <row r="1656" spans="1:10" ht="19.5" customHeight="1" x14ac:dyDescent="0.35">
      <c r="A1656" s="29" t="s">
        <v>896</v>
      </c>
      <c r="B1656" s="29" t="s">
        <v>3684</v>
      </c>
      <c r="C1656" s="29" t="s">
        <v>1077</v>
      </c>
      <c r="D1656" s="30">
        <v>1</v>
      </c>
      <c r="E1656" s="29" t="s">
        <v>3070</v>
      </c>
      <c r="F1656" s="29" t="s">
        <v>1885</v>
      </c>
      <c r="G1656" s="29" t="s">
        <v>901</v>
      </c>
      <c r="H1656" s="29" t="s">
        <v>902</v>
      </c>
      <c r="I1656" s="29" t="s">
        <v>656</v>
      </c>
      <c r="J1656" s="29" t="s">
        <v>2095</v>
      </c>
    </row>
    <row r="1657" spans="1:10" ht="19.5" customHeight="1" x14ac:dyDescent="0.35">
      <c r="A1657" s="29" t="s">
        <v>896</v>
      </c>
      <c r="B1657" s="29" t="s">
        <v>3685</v>
      </c>
      <c r="C1657" s="29" t="s">
        <v>2971</v>
      </c>
      <c r="D1657" s="30">
        <v>1</v>
      </c>
      <c r="E1657" s="29" t="s">
        <v>3070</v>
      </c>
      <c r="F1657" s="29" t="s">
        <v>1885</v>
      </c>
      <c r="G1657" s="29" t="s">
        <v>901</v>
      </c>
      <c r="H1657" s="29" t="s">
        <v>902</v>
      </c>
      <c r="I1657" s="29" t="s">
        <v>656</v>
      </c>
      <c r="J1657" s="29" t="s">
        <v>2803</v>
      </c>
    </row>
    <row r="1658" spans="1:10" ht="19.5" customHeight="1" x14ac:dyDescent="0.35">
      <c r="A1658" s="29" t="s">
        <v>896</v>
      </c>
      <c r="B1658" s="29" t="s">
        <v>3686</v>
      </c>
      <c r="C1658" s="29" t="s">
        <v>1077</v>
      </c>
      <c r="D1658" s="30">
        <v>1</v>
      </c>
      <c r="E1658" s="29" t="s">
        <v>3070</v>
      </c>
      <c r="F1658" s="29" t="s">
        <v>1885</v>
      </c>
      <c r="G1658" s="29" t="s">
        <v>901</v>
      </c>
      <c r="H1658" s="29" t="s">
        <v>902</v>
      </c>
      <c r="I1658" s="29" t="s">
        <v>656</v>
      </c>
      <c r="J1658" s="29" t="s">
        <v>2222</v>
      </c>
    </row>
    <row r="1659" spans="1:10" ht="19.5" customHeight="1" x14ac:dyDescent="0.35">
      <c r="A1659" s="29" t="s">
        <v>896</v>
      </c>
      <c r="B1659" s="29" t="s">
        <v>3687</v>
      </c>
      <c r="C1659" s="29" t="s">
        <v>1077</v>
      </c>
      <c r="D1659" s="30">
        <v>1</v>
      </c>
      <c r="E1659" s="29" t="s">
        <v>3070</v>
      </c>
      <c r="F1659" s="29" t="s">
        <v>1885</v>
      </c>
      <c r="G1659" s="29" t="s">
        <v>901</v>
      </c>
      <c r="H1659" s="29" t="s">
        <v>902</v>
      </c>
      <c r="I1659" s="29" t="s">
        <v>656</v>
      </c>
      <c r="J1659" s="29" t="s">
        <v>2222</v>
      </c>
    </row>
    <row r="1660" spans="1:10" ht="19.5" customHeight="1" x14ac:dyDescent="0.35">
      <c r="A1660" s="29" t="s">
        <v>896</v>
      </c>
      <c r="B1660" s="29" t="s">
        <v>3688</v>
      </c>
      <c r="C1660" s="29" t="s">
        <v>1077</v>
      </c>
      <c r="D1660" s="30">
        <v>1</v>
      </c>
      <c r="E1660" s="29" t="s">
        <v>3070</v>
      </c>
      <c r="F1660" s="29" t="s">
        <v>1885</v>
      </c>
      <c r="G1660" s="29" t="s">
        <v>901</v>
      </c>
      <c r="H1660" s="29" t="s">
        <v>902</v>
      </c>
      <c r="I1660" s="29" t="s">
        <v>656</v>
      </c>
      <c r="J1660" s="29" t="s">
        <v>2222</v>
      </c>
    </row>
    <row r="1661" spans="1:10" ht="19.5" customHeight="1" x14ac:dyDescent="0.35">
      <c r="A1661" s="29" t="s">
        <v>896</v>
      </c>
      <c r="B1661" s="29" t="s">
        <v>3689</v>
      </c>
      <c r="C1661" s="29" t="s">
        <v>1077</v>
      </c>
      <c r="D1661" s="30">
        <v>1</v>
      </c>
      <c r="E1661" s="29" t="s">
        <v>3070</v>
      </c>
      <c r="F1661" s="29" t="s">
        <v>1885</v>
      </c>
      <c r="G1661" s="29" t="s">
        <v>901</v>
      </c>
      <c r="H1661" s="29" t="s">
        <v>902</v>
      </c>
      <c r="I1661" s="29" t="s">
        <v>656</v>
      </c>
      <c r="J1661" s="29" t="s">
        <v>2222</v>
      </c>
    </row>
    <row r="1662" spans="1:10" ht="19.5" customHeight="1" x14ac:dyDescent="0.35">
      <c r="A1662" s="29" t="s">
        <v>896</v>
      </c>
      <c r="B1662" s="29" t="s">
        <v>3690</v>
      </c>
      <c r="C1662" s="29" t="s">
        <v>1111</v>
      </c>
      <c r="D1662" s="30">
        <v>1</v>
      </c>
      <c r="E1662" s="29" t="s">
        <v>3070</v>
      </c>
      <c r="F1662" s="29" t="s">
        <v>1885</v>
      </c>
      <c r="G1662" s="29" t="s">
        <v>901</v>
      </c>
      <c r="H1662" s="29" t="s">
        <v>902</v>
      </c>
      <c r="I1662" s="29" t="s">
        <v>656</v>
      </c>
      <c r="J1662" s="29" t="s">
        <v>2443</v>
      </c>
    </row>
    <row r="1663" spans="1:10" ht="19.5" customHeight="1" x14ac:dyDescent="0.35">
      <c r="A1663" s="29" t="s">
        <v>896</v>
      </c>
      <c r="B1663" s="29" t="s">
        <v>3691</v>
      </c>
      <c r="C1663" s="29" t="s">
        <v>1494</v>
      </c>
      <c r="D1663" s="30">
        <v>1</v>
      </c>
      <c r="E1663" s="29" t="s">
        <v>3070</v>
      </c>
      <c r="F1663" s="29" t="s">
        <v>1885</v>
      </c>
      <c r="G1663" s="29" t="s">
        <v>901</v>
      </c>
      <c r="H1663" s="29" t="s">
        <v>902</v>
      </c>
      <c r="I1663" s="29" t="s">
        <v>656</v>
      </c>
      <c r="J1663" s="29" t="s">
        <v>2649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A5A5A5"/>
    <pageSetUpPr fitToPage="1"/>
  </sheetPr>
  <dimension ref="A1:J9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4" max="4" width="55.1796875" customWidth="1"/>
    <col min="5" max="5" width="14" customWidth="1"/>
    <col min="9" max="9" width="48.54296875" customWidth="1"/>
    <col min="10" max="10" width="42" customWidth="1"/>
  </cols>
  <sheetData>
    <row r="1" spans="1:10" ht="19.5" customHeight="1" x14ac:dyDescent="0.35">
      <c r="A1" s="31" t="s">
        <v>3692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35">
      <c r="A2" s="20" t="s">
        <v>3693</v>
      </c>
      <c r="B2" s="2"/>
      <c r="C2" s="2"/>
      <c r="D2" s="2"/>
      <c r="E2" s="2"/>
      <c r="F2" s="2"/>
      <c r="G2" s="2"/>
      <c r="H2" s="2"/>
      <c r="I2" s="2"/>
      <c r="J2" s="2"/>
    </row>
    <row r="3" spans="1:10" ht="19.5" customHeight="1" x14ac:dyDescent="0.35">
      <c r="A3" s="17" t="s">
        <v>3694</v>
      </c>
      <c r="B3" s="17" t="s">
        <v>35</v>
      </c>
      <c r="C3" s="17" t="s">
        <v>3695</v>
      </c>
      <c r="D3" s="17" t="s">
        <v>3696</v>
      </c>
      <c r="E3" s="17" t="s">
        <v>3697</v>
      </c>
      <c r="F3" s="17" t="s">
        <v>3698</v>
      </c>
      <c r="G3" s="17" t="s">
        <v>3699</v>
      </c>
      <c r="H3" s="17" t="s">
        <v>32</v>
      </c>
      <c r="I3" s="17" t="s">
        <v>3700</v>
      </c>
      <c r="J3" s="17" t="s">
        <v>97</v>
      </c>
    </row>
    <row r="4" spans="1:10" ht="19.5" customHeight="1" x14ac:dyDescent="0.35">
      <c r="A4" s="21" t="s">
        <v>3701</v>
      </c>
      <c r="B4" s="21" t="s">
        <v>38</v>
      </c>
      <c r="C4" s="21" t="s">
        <v>109</v>
      </c>
      <c r="D4" s="21" t="s">
        <v>135</v>
      </c>
      <c r="E4" s="22">
        <v>15</v>
      </c>
      <c r="F4" s="22">
        <v>14</v>
      </c>
      <c r="G4" s="22">
        <v>1</v>
      </c>
      <c r="H4" s="21" t="s">
        <v>136</v>
      </c>
      <c r="I4" s="21" t="s">
        <v>137</v>
      </c>
      <c r="J4" s="21" t="s">
        <v>138</v>
      </c>
    </row>
    <row r="5" spans="1:10" ht="19.5" customHeight="1" x14ac:dyDescent="0.35">
      <c r="A5" s="21" t="s">
        <v>3701</v>
      </c>
      <c r="B5" s="21" t="s">
        <v>40</v>
      </c>
      <c r="C5" s="21" t="s">
        <v>109</v>
      </c>
      <c r="D5" s="21" t="s">
        <v>135</v>
      </c>
      <c r="E5" s="22">
        <v>14</v>
      </c>
      <c r="F5" s="22">
        <v>13</v>
      </c>
      <c r="G5" s="22">
        <v>1</v>
      </c>
      <c r="H5" s="21" t="s">
        <v>136</v>
      </c>
      <c r="I5" s="21" t="s">
        <v>137</v>
      </c>
      <c r="J5" s="21" t="s">
        <v>138</v>
      </c>
    </row>
    <row r="6" spans="1:10" ht="19.5" customHeight="1" x14ac:dyDescent="0.35">
      <c r="A6" s="21" t="s">
        <v>3701</v>
      </c>
      <c r="B6" s="21" t="s">
        <v>42</v>
      </c>
      <c r="C6" s="21" t="s">
        <v>109</v>
      </c>
      <c r="D6" s="21" t="s">
        <v>135</v>
      </c>
      <c r="E6" s="22">
        <v>10</v>
      </c>
      <c r="F6" s="22">
        <v>4</v>
      </c>
      <c r="G6" s="22">
        <v>6</v>
      </c>
      <c r="H6" s="21" t="s">
        <v>136</v>
      </c>
      <c r="I6" s="21" t="s">
        <v>137</v>
      </c>
      <c r="J6" s="21" t="s">
        <v>138</v>
      </c>
    </row>
    <row r="7" spans="1:10" ht="19.5" customHeight="1" x14ac:dyDescent="0.35">
      <c r="A7" s="21" t="s">
        <v>3701</v>
      </c>
      <c r="B7" s="21" t="s">
        <v>42</v>
      </c>
      <c r="C7" s="21" t="s">
        <v>101</v>
      </c>
      <c r="D7" s="21" t="s">
        <v>140</v>
      </c>
      <c r="E7" s="22">
        <v>4</v>
      </c>
      <c r="F7" s="22">
        <v>2</v>
      </c>
      <c r="G7" s="22">
        <v>2</v>
      </c>
      <c r="H7" s="21" t="s">
        <v>136</v>
      </c>
      <c r="I7" s="21" t="s">
        <v>137</v>
      </c>
      <c r="J7" s="21" t="s">
        <v>138</v>
      </c>
    </row>
    <row r="8" spans="1:10" ht="19.5" customHeight="1" x14ac:dyDescent="0.35">
      <c r="A8" s="21" t="s">
        <v>3701</v>
      </c>
      <c r="B8" s="21" t="s">
        <v>44</v>
      </c>
      <c r="C8" s="21" t="s">
        <v>109</v>
      </c>
      <c r="D8" s="21" t="s">
        <v>135</v>
      </c>
      <c r="E8" s="22">
        <v>17</v>
      </c>
      <c r="F8" s="22">
        <v>14</v>
      </c>
      <c r="G8" s="22">
        <v>3</v>
      </c>
      <c r="H8" s="21" t="s">
        <v>136</v>
      </c>
      <c r="I8" s="21" t="s">
        <v>137</v>
      </c>
      <c r="J8" s="21" t="s">
        <v>138</v>
      </c>
    </row>
    <row r="9" spans="1:10" ht="19.5" customHeight="1" x14ac:dyDescent="0.35">
      <c r="A9" s="21" t="s">
        <v>3701</v>
      </c>
      <c r="B9" s="21" t="s">
        <v>45</v>
      </c>
      <c r="C9" s="21" t="s">
        <v>101</v>
      </c>
      <c r="D9" s="21" t="s">
        <v>141</v>
      </c>
      <c r="E9" s="22">
        <v>15</v>
      </c>
      <c r="F9" s="22">
        <v>0</v>
      </c>
      <c r="G9" s="22">
        <v>15</v>
      </c>
      <c r="H9" s="21" t="s">
        <v>136</v>
      </c>
      <c r="I9" s="21" t="s">
        <v>137</v>
      </c>
      <c r="J9" s="21" t="s">
        <v>138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A5A5A5"/>
    <pageSetUpPr fitToPage="1"/>
  </sheetPr>
  <dimension ref="A1:K57"/>
  <sheetViews>
    <sheetView showGridLines="0" zoomScale="90" zoomScaleNormal="90" workbookViewId="0">
      <pane ySplit="3" topLeftCell="A4" activePane="bottomLeft" state="frozen"/>
      <selection pane="bottomLeft" activeCell="I13" sqref="I13"/>
    </sheetView>
  </sheetViews>
  <sheetFormatPr baseColWidth="10" defaultColWidth="8.7265625" defaultRowHeight="14.5" x14ac:dyDescent="0.35"/>
  <cols>
    <col min="1" max="1" width="22" customWidth="1"/>
    <col min="2" max="2" width="24" customWidth="1"/>
    <col min="4" max="4" width="13.7265625" bestFit="1" customWidth="1"/>
    <col min="5" max="5" width="34.1796875" customWidth="1"/>
    <col min="6" max="6" width="24" customWidth="1"/>
    <col min="7" max="7" width="14" customWidth="1"/>
    <col min="9" max="9" width="26.26953125" bestFit="1" customWidth="1"/>
    <col min="10" max="10" width="42" customWidth="1"/>
    <col min="11" max="11" width="42.26953125" bestFit="1" customWidth="1"/>
  </cols>
  <sheetData>
    <row r="1" spans="1:11" ht="19.5" customHeight="1" x14ac:dyDescent="0.35">
      <c r="A1" s="14" t="s">
        <v>3702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9.5" customHeight="1" x14ac:dyDescent="0.35">
      <c r="A2" s="20" t="s">
        <v>3703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9.5" customHeight="1" x14ac:dyDescent="0.35">
      <c r="A3" s="17" t="s">
        <v>3704</v>
      </c>
      <c r="B3" s="17" t="s">
        <v>35</v>
      </c>
      <c r="C3" s="17" t="s">
        <v>3695</v>
      </c>
      <c r="D3" s="17" t="s">
        <v>3705</v>
      </c>
      <c r="E3" s="17" t="s">
        <v>3706</v>
      </c>
      <c r="F3" s="17" t="s">
        <v>3707</v>
      </c>
      <c r="G3" s="17" t="s">
        <v>3708</v>
      </c>
      <c r="H3" s="17" t="s">
        <v>3709</v>
      </c>
      <c r="I3" s="17" t="s">
        <v>96</v>
      </c>
      <c r="J3" s="17" t="s">
        <v>3710</v>
      </c>
      <c r="K3" s="17" t="s">
        <v>3711</v>
      </c>
    </row>
    <row r="4" spans="1:11" ht="19.5" customHeight="1" x14ac:dyDescent="0.35">
      <c r="A4" s="16" t="s">
        <v>150</v>
      </c>
      <c r="B4" s="16" t="s">
        <v>44</v>
      </c>
      <c r="C4" s="16" t="s">
        <v>109</v>
      </c>
      <c r="D4" s="16" t="s">
        <v>3712</v>
      </c>
      <c r="E4" s="16" t="s">
        <v>3713</v>
      </c>
      <c r="F4" s="16"/>
      <c r="G4" s="19">
        <v>2024</v>
      </c>
      <c r="H4" s="16"/>
      <c r="I4" s="16" t="s">
        <v>146</v>
      </c>
      <c r="J4" s="16" t="s">
        <v>153</v>
      </c>
      <c r="K4" s="16" t="s">
        <v>152</v>
      </c>
    </row>
    <row r="5" spans="1:11" ht="19.5" customHeight="1" x14ac:dyDescent="0.35">
      <c r="A5" s="16" t="s">
        <v>154</v>
      </c>
      <c r="B5" s="16" t="s">
        <v>44</v>
      </c>
      <c r="C5" s="16" t="s">
        <v>109</v>
      </c>
      <c r="D5" s="16" t="s">
        <v>3712</v>
      </c>
      <c r="E5" s="16" t="s">
        <v>3713</v>
      </c>
      <c r="F5" s="16"/>
      <c r="G5" s="19">
        <v>2024</v>
      </c>
      <c r="H5" s="16"/>
      <c r="I5" s="16" t="s">
        <v>146</v>
      </c>
      <c r="J5" s="16" t="s">
        <v>155</v>
      </c>
      <c r="K5" s="16" t="s">
        <v>152</v>
      </c>
    </row>
    <row r="6" spans="1:11" ht="19.5" customHeight="1" x14ac:dyDescent="0.35">
      <c r="A6" s="16" t="s">
        <v>156</v>
      </c>
      <c r="B6" s="16" t="s">
        <v>44</v>
      </c>
      <c r="C6" s="16" t="s">
        <v>109</v>
      </c>
      <c r="D6" s="16" t="s">
        <v>3712</v>
      </c>
      <c r="E6" s="16" t="s">
        <v>3713</v>
      </c>
      <c r="F6" s="16"/>
      <c r="G6" s="19">
        <v>2024</v>
      </c>
      <c r="H6" s="16"/>
      <c r="I6" s="16" t="s">
        <v>158</v>
      </c>
      <c r="J6" s="16" t="s">
        <v>159</v>
      </c>
      <c r="K6" s="16" t="s">
        <v>152</v>
      </c>
    </row>
    <row r="7" spans="1:11" ht="19.5" customHeight="1" x14ac:dyDescent="0.35">
      <c r="A7" s="16" t="s">
        <v>160</v>
      </c>
      <c r="B7" s="16" t="s">
        <v>44</v>
      </c>
      <c r="C7" s="16" t="s">
        <v>109</v>
      </c>
      <c r="D7" s="16" t="s">
        <v>3712</v>
      </c>
      <c r="E7" s="16" t="s">
        <v>3713</v>
      </c>
      <c r="F7" s="16"/>
      <c r="G7" s="19">
        <v>2024</v>
      </c>
      <c r="H7" s="16"/>
      <c r="I7" s="16" t="s">
        <v>146</v>
      </c>
      <c r="J7" s="16" t="s">
        <v>161</v>
      </c>
      <c r="K7" s="16" t="s">
        <v>152</v>
      </c>
    </row>
    <row r="8" spans="1:11" ht="19.5" customHeight="1" x14ac:dyDescent="0.35">
      <c r="A8" s="16" t="s">
        <v>162</v>
      </c>
      <c r="B8" s="16" t="s">
        <v>44</v>
      </c>
      <c r="C8" s="16" t="s">
        <v>109</v>
      </c>
      <c r="D8" s="16" t="s">
        <v>3712</v>
      </c>
      <c r="E8" s="16" t="s">
        <v>3713</v>
      </c>
      <c r="F8" s="16"/>
      <c r="G8" s="19">
        <v>2024</v>
      </c>
      <c r="H8" s="16"/>
      <c r="I8" s="16" t="s">
        <v>158</v>
      </c>
      <c r="J8" s="16" t="s">
        <v>159</v>
      </c>
      <c r="K8" s="16" t="s">
        <v>152</v>
      </c>
    </row>
    <row r="9" spans="1:11" ht="19.5" customHeight="1" x14ac:dyDescent="0.35">
      <c r="A9" s="16" t="s">
        <v>163</v>
      </c>
      <c r="B9" s="16" t="s">
        <v>44</v>
      </c>
      <c r="C9" s="16" t="s">
        <v>109</v>
      </c>
      <c r="D9" s="16" t="s">
        <v>3712</v>
      </c>
      <c r="E9" s="16" t="s">
        <v>3713</v>
      </c>
      <c r="F9" s="16"/>
      <c r="G9" s="19">
        <v>2024</v>
      </c>
      <c r="H9" s="16"/>
      <c r="I9" s="16" t="s">
        <v>146</v>
      </c>
      <c r="J9" s="16" t="s">
        <v>164</v>
      </c>
      <c r="K9" s="16" t="s">
        <v>152</v>
      </c>
    </row>
    <row r="10" spans="1:11" ht="19.5" customHeight="1" x14ac:dyDescent="0.35">
      <c r="A10" s="16" t="s">
        <v>165</v>
      </c>
      <c r="B10" s="16" t="s">
        <v>44</v>
      </c>
      <c r="C10" s="16" t="s">
        <v>109</v>
      </c>
      <c r="D10" s="16" t="s">
        <v>3712</v>
      </c>
      <c r="E10" s="16" t="s">
        <v>3713</v>
      </c>
      <c r="F10" s="16"/>
      <c r="G10" s="19">
        <v>2024</v>
      </c>
      <c r="H10" s="16"/>
      <c r="I10" s="16" t="s">
        <v>158</v>
      </c>
      <c r="J10" s="16" t="s">
        <v>159</v>
      </c>
      <c r="K10" s="16" t="s">
        <v>152</v>
      </c>
    </row>
    <row r="11" spans="1:11" ht="19.5" customHeight="1" x14ac:dyDescent="0.35">
      <c r="A11" s="16" t="s">
        <v>166</v>
      </c>
      <c r="B11" s="16" t="s">
        <v>44</v>
      </c>
      <c r="C11" s="16" t="s">
        <v>109</v>
      </c>
      <c r="D11" s="16" t="s">
        <v>3712</v>
      </c>
      <c r="E11" s="16" t="s">
        <v>3713</v>
      </c>
      <c r="F11" s="16"/>
      <c r="G11" s="19">
        <v>2024</v>
      </c>
      <c r="H11" s="16"/>
      <c r="I11" s="16" t="s">
        <v>146</v>
      </c>
      <c r="J11" s="16" t="s">
        <v>167</v>
      </c>
      <c r="K11" s="16" t="s">
        <v>152</v>
      </c>
    </row>
    <row r="12" spans="1:11" ht="19.5" customHeight="1" x14ac:dyDescent="0.35">
      <c r="A12" s="16" t="s">
        <v>168</v>
      </c>
      <c r="B12" s="16" t="s">
        <v>44</v>
      </c>
      <c r="C12" s="16" t="s">
        <v>109</v>
      </c>
      <c r="D12" s="16" t="s">
        <v>3712</v>
      </c>
      <c r="E12" s="16" t="s">
        <v>3713</v>
      </c>
      <c r="F12" s="16"/>
      <c r="G12" s="19">
        <v>2024</v>
      </c>
      <c r="H12" s="16"/>
      <c r="I12" s="16" t="s">
        <v>158</v>
      </c>
      <c r="J12" s="16" t="s">
        <v>159</v>
      </c>
      <c r="K12" s="16" t="s">
        <v>152</v>
      </c>
    </row>
    <row r="13" spans="1:11" ht="19.5" customHeight="1" x14ac:dyDescent="0.35">
      <c r="A13" s="16" t="s">
        <v>169</v>
      </c>
      <c r="B13" s="16" t="s">
        <v>44</v>
      </c>
      <c r="C13" s="16" t="s">
        <v>109</v>
      </c>
      <c r="D13" s="16" t="s">
        <v>3712</v>
      </c>
      <c r="E13" s="16" t="s">
        <v>3713</v>
      </c>
      <c r="F13" s="16"/>
      <c r="G13" s="19">
        <v>2024</v>
      </c>
      <c r="H13" s="16"/>
      <c r="I13" s="16" t="s">
        <v>146</v>
      </c>
      <c r="J13" s="16" t="s">
        <v>170</v>
      </c>
      <c r="K13" s="16" t="s">
        <v>152</v>
      </c>
    </row>
    <row r="14" spans="1:11" ht="19.5" customHeight="1" x14ac:dyDescent="0.35">
      <c r="A14" s="16" t="s">
        <v>171</v>
      </c>
      <c r="B14" s="16" t="s">
        <v>44</v>
      </c>
      <c r="C14" s="16" t="s">
        <v>109</v>
      </c>
      <c r="D14" s="16" t="s">
        <v>3712</v>
      </c>
      <c r="E14" s="16" t="s">
        <v>3713</v>
      </c>
      <c r="F14" s="16"/>
      <c r="G14" s="19">
        <v>2024</v>
      </c>
      <c r="H14" s="16"/>
      <c r="I14" s="16" t="s">
        <v>158</v>
      </c>
      <c r="J14" s="16" t="s">
        <v>159</v>
      </c>
      <c r="K14" s="16" t="s">
        <v>152</v>
      </c>
    </row>
    <row r="15" spans="1:11" ht="19.5" customHeight="1" x14ac:dyDescent="0.35">
      <c r="A15" s="16" t="s">
        <v>172</v>
      </c>
      <c r="B15" s="16" t="s">
        <v>44</v>
      </c>
      <c r="C15" s="16" t="s">
        <v>109</v>
      </c>
      <c r="D15" s="16" t="s">
        <v>3712</v>
      </c>
      <c r="E15" s="16" t="s">
        <v>3713</v>
      </c>
      <c r="F15" s="16"/>
      <c r="G15" s="19">
        <v>2024</v>
      </c>
      <c r="H15" s="16"/>
      <c r="I15" s="16" t="s">
        <v>146</v>
      </c>
      <c r="J15" s="16" t="s">
        <v>173</v>
      </c>
      <c r="K15" s="16" t="s">
        <v>152</v>
      </c>
    </row>
    <row r="16" spans="1:11" ht="19.5" customHeight="1" x14ac:dyDescent="0.35">
      <c r="A16" s="16" t="s">
        <v>174</v>
      </c>
      <c r="B16" s="16" t="s">
        <v>44</v>
      </c>
      <c r="C16" s="16" t="s">
        <v>109</v>
      </c>
      <c r="D16" s="16" t="s">
        <v>3712</v>
      </c>
      <c r="E16" s="16" t="s">
        <v>3713</v>
      </c>
      <c r="F16" s="16"/>
      <c r="G16" s="19">
        <v>2024</v>
      </c>
      <c r="H16" s="16"/>
      <c r="I16" s="16" t="s">
        <v>158</v>
      </c>
      <c r="J16" s="16" t="s">
        <v>159</v>
      </c>
      <c r="K16" s="16" t="s">
        <v>152</v>
      </c>
    </row>
    <row r="17" spans="1:11" ht="19.5" customHeight="1" x14ac:dyDescent="0.35">
      <c r="A17" s="16" t="s">
        <v>175</v>
      </c>
      <c r="B17" s="16" t="s">
        <v>44</v>
      </c>
      <c r="C17" s="16" t="s">
        <v>109</v>
      </c>
      <c r="D17" s="16" t="s">
        <v>3712</v>
      </c>
      <c r="E17" s="16" t="s">
        <v>3713</v>
      </c>
      <c r="F17" s="16"/>
      <c r="G17" s="19">
        <v>2024</v>
      </c>
      <c r="H17" s="16"/>
      <c r="I17" s="16" t="s">
        <v>146</v>
      </c>
      <c r="J17" s="16" t="s">
        <v>176</v>
      </c>
      <c r="K17" s="16" t="s">
        <v>152</v>
      </c>
    </row>
    <row r="18" spans="1:11" ht="19.5" customHeight="1" x14ac:dyDescent="0.35">
      <c r="A18" s="16" t="s">
        <v>177</v>
      </c>
      <c r="B18" s="16" t="s">
        <v>44</v>
      </c>
      <c r="C18" s="16" t="s">
        <v>109</v>
      </c>
      <c r="D18" s="16" t="s">
        <v>3712</v>
      </c>
      <c r="E18" s="16" t="s">
        <v>3713</v>
      </c>
      <c r="F18" s="16"/>
      <c r="G18" s="19">
        <v>2024</v>
      </c>
      <c r="H18" s="16"/>
      <c r="I18" s="16" t="s">
        <v>146</v>
      </c>
      <c r="J18" s="16" t="s">
        <v>178</v>
      </c>
      <c r="K18" s="16" t="s">
        <v>152</v>
      </c>
    </row>
    <row r="19" spans="1:11" ht="19.5" customHeight="1" x14ac:dyDescent="0.35">
      <c r="A19" s="16" t="s">
        <v>179</v>
      </c>
      <c r="B19" s="16" t="s">
        <v>44</v>
      </c>
      <c r="C19" s="16" t="s">
        <v>109</v>
      </c>
      <c r="D19" s="16" t="s">
        <v>3712</v>
      </c>
      <c r="E19" s="16" t="s">
        <v>3713</v>
      </c>
      <c r="F19" s="16"/>
      <c r="G19" s="19">
        <v>2024</v>
      </c>
      <c r="H19" s="16"/>
      <c r="I19" s="16" t="s">
        <v>146</v>
      </c>
      <c r="J19" s="16" t="s">
        <v>180</v>
      </c>
      <c r="K19" s="16" t="s">
        <v>152</v>
      </c>
    </row>
    <row r="20" spans="1:11" ht="19.5" customHeight="1" x14ac:dyDescent="0.35">
      <c r="A20" s="16" t="s">
        <v>181</v>
      </c>
      <c r="B20" s="16" t="s">
        <v>44</v>
      </c>
      <c r="C20" s="16" t="s">
        <v>109</v>
      </c>
      <c r="D20" s="16" t="s">
        <v>3712</v>
      </c>
      <c r="E20" s="16" t="s">
        <v>3713</v>
      </c>
      <c r="F20" s="16"/>
      <c r="G20" s="19">
        <v>2024</v>
      </c>
      <c r="H20" s="16"/>
      <c r="I20" s="16" t="s">
        <v>146</v>
      </c>
      <c r="J20" s="16" t="s">
        <v>182</v>
      </c>
      <c r="K20" s="16" t="s">
        <v>152</v>
      </c>
    </row>
    <row r="21" spans="1:11" ht="19.5" customHeight="1" x14ac:dyDescent="0.35">
      <c r="A21" s="16" t="s">
        <v>183</v>
      </c>
      <c r="B21" s="16" t="s">
        <v>44</v>
      </c>
      <c r="C21" s="16" t="s">
        <v>109</v>
      </c>
      <c r="D21" s="16" t="s">
        <v>3712</v>
      </c>
      <c r="E21" s="16" t="s">
        <v>3713</v>
      </c>
      <c r="F21" s="16"/>
      <c r="G21" s="19">
        <v>2024</v>
      </c>
      <c r="H21" s="16"/>
      <c r="I21" s="16" t="s">
        <v>146</v>
      </c>
      <c r="J21" s="16" t="s">
        <v>184</v>
      </c>
      <c r="K21" s="16" t="s">
        <v>152</v>
      </c>
    </row>
    <row r="22" spans="1:11" ht="19.5" customHeight="1" x14ac:dyDescent="0.35">
      <c r="A22" s="16" t="s">
        <v>185</v>
      </c>
      <c r="B22" s="16" t="s">
        <v>44</v>
      </c>
      <c r="C22" s="16" t="s">
        <v>109</v>
      </c>
      <c r="D22" s="16" t="s">
        <v>3712</v>
      </c>
      <c r="E22" s="16" t="s">
        <v>3713</v>
      </c>
      <c r="F22" s="16"/>
      <c r="G22" s="19">
        <v>2024</v>
      </c>
      <c r="H22" s="16"/>
      <c r="I22" s="16" t="s">
        <v>146</v>
      </c>
      <c r="J22" s="16" t="s">
        <v>186</v>
      </c>
      <c r="K22" s="16" t="s">
        <v>152</v>
      </c>
    </row>
    <row r="23" spans="1:11" ht="19.5" customHeight="1" x14ac:dyDescent="0.35">
      <c r="A23" s="16" t="s">
        <v>187</v>
      </c>
      <c r="B23" s="16" t="s">
        <v>44</v>
      </c>
      <c r="C23" s="16" t="s">
        <v>109</v>
      </c>
      <c r="D23" s="16" t="s">
        <v>3712</v>
      </c>
      <c r="E23" s="16" t="s">
        <v>3713</v>
      </c>
      <c r="F23" s="16"/>
      <c r="G23" s="19">
        <v>2024</v>
      </c>
      <c r="H23" s="16"/>
      <c r="I23" s="16" t="s">
        <v>158</v>
      </c>
      <c r="J23" s="16" t="s">
        <v>188</v>
      </c>
      <c r="K23" s="16" t="s">
        <v>152</v>
      </c>
    </row>
    <row r="24" spans="1:11" ht="19.5" customHeight="1" x14ac:dyDescent="0.35">
      <c r="A24" s="16" t="s">
        <v>189</v>
      </c>
      <c r="B24" s="16" t="s">
        <v>44</v>
      </c>
      <c r="C24" s="16" t="s">
        <v>109</v>
      </c>
      <c r="D24" s="16" t="s">
        <v>3712</v>
      </c>
      <c r="E24" s="16" t="s">
        <v>3713</v>
      </c>
      <c r="F24" s="16"/>
      <c r="G24" s="19">
        <v>2024</v>
      </c>
      <c r="H24" s="16"/>
      <c r="I24" s="16" t="s">
        <v>146</v>
      </c>
      <c r="J24" s="16" t="s">
        <v>190</v>
      </c>
      <c r="K24" s="16" t="s">
        <v>152</v>
      </c>
    </row>
    <row r="25" spans="1:11" ht="19.5" customHeight="1" x14ac:dyDescent="0.35">
      <c r="A25" s="16" t="s">
        <v>433</v>
      </c>
      <c r="B25" s="16" t="s">
        <v>42</v>
      </c>
      <c r="C25" s="16" t="s">
        <v>109</v>
      </c>
      <c r="D25" s="16" t="s">
        <v>3714</v>
      </c>
      <c r="E25" s="16" t="s">
        <v>3715</v>
      </c>
      <c r="F25" s="16"/>
      <c r="G25" s="16"/>
      <c r="H25" s="16" t="s">
        <v>3716</v>
      </c>
      <c r="I25" s="16" t="s">
        <v>146</v>
      </c>
      <c r="J25" s="16" t="s">
        <v>435</v>
      </c>
      <c r="K25" s="16" t="s">
        <v>434</v>
      </c>
    </row>
    <row r="26" spans="1:11" ht="19.5" customHeight="1" x14ac:dyDescent="0.35">
      <c r="A26" s="16" t="s">
        <v>433</v>
      </c>
      <c r="B26" s="16" t="s">
        <v>42</v>
      </c>
      <c r="C26" s="16" t="s">
        <v>109</v>
      </c>
      <c r="D26" s="16" t="s">
        <v>3714</v>
      </c>
      <c r="E26" s="16" t="s">
        <v>3715</v>
      </c>
      <c r="F26" s="16"/>
      <c r="G26" s="16"/>
      <c r="H26" s="16" t="s">
        <v>3716</v>
      </c>
      <c r="I26" s="16" t="s">
        <v>146</v>
      </c>
      <c r="J26" s="16" t="s">
        <v>436</v>
      </c>
      <c r="K26" s="16" t="s">
        <v>434</v>
      </c>
    </row>
    <row r="27" spans="1:11" ht="19.5" customHeight="1" x14ac:dyDescent="0.35">
      <c r="A27" s="16" t="s">
        <v>433</v>
      </c>
      <c r="B27" s="16" t="s">
        <v>42</v>
      </c>
      <c r="C27" s="16" t="s">
        <v>109</v>
      </c>
      <c r="D27" s="16" t="s">
        <v>3714</v>
      </c>
      <c r="E27" s="16" t="s">
        <v>3715</v>
      </c>
      <c r="F27" s="16"/>
      <c r="G27" s="16"/>
      <c r="H27" s="16" t="s">
        <v>3716</v>
      </c>
      <c r="I27" s="16" t="s">
        <v>146</v>
      </c>
      <c r="J27" s="16" t="s">
        <v>437</v>
      </c>
      <c r="K27" s="16" t="s">
        <v>434</v>
      </c>
    </row>
    <row r="28" spans="1:11" ht="19.5" customHeight="1" x14ac:dyDescent="0.35">
      <c r="A28" s="16" t="s">
        <v>433</v>
      </c>
      <c r="B28" s="16" t="s">
        <v>42</v>
      </c>
      <c r="C28" s="16" t="s">
        <v>109</v>
      </c>
      <c r="D28" s="16" t="s">
        <v>3714</v>
      </c>
      <c r="E28" s="16" t="s">
        <v>3715</v>
      </c>
      <c r="F28" s="16"/>
      <c r="G28" s="16"/>
      <c r="H28" s="16"/>
      <c r="I28" s="16" t="s">
        <v>146</v>
      </c>
      <c r="J28" s="16" t="s">
        <v>438</v>
      </c>
      <c r="K28" s="16" t="s">
        <v>434</v>
      </c>
    </row>
    <row r="29" spans="1:11" ht="19.5" customHeight="1" x14ac:dyDescent="0.35">
      <c r="A29" s="16" t="s">
        <v>439</v>
      </c>
      <c r="B29" s="16" t="s">
        <v>40</v>
      </c>
      <c r="C29" s="16" t="s">
        <v>109</v>
      </c>
      <c r="D29" s="16" t="s">
        <v>3717</v>
      </c>
      <c r="E29" s="16" t="s">
        <v>3718</v>
      </c>
      <c r="F29" s="16"/>
      <c r="G29" s="16"/>
      <c r="H29" s="16"/>
      <c r="I29" s="16" t="s">
        <v>146</v>
      </c>
      <c r="J29" s="16" t="s">
        <v>441</v>
      </c>
      <c r="K29" s="16" t="s">
        <v>440</v>
      </c>
    </row>
    <row r="30" spans="1:11" ht="19.5" customHeight="1" x14ac:dyDescent="0.35">
      <c r="A30" s="16" t="s">
        <v>442</v>
      </c>
      <c r="B30" s="16" t="s">
        <v>40</v>
      </c>
      <c r="C30" s="16" t="s">
        <v>109</v>
      </c>
      <c r="D30" s="16" t="s">
        <v>3717</v>
      </c>
      <c r="E30" s="16" t="s">
        <v>3718</v>
      </c>
      <c r="F30" s="16"/>
      <c r="G30" s="16"/>
      <c r="H30" s="16"/>
      <c r="I30" s="16" t="s">
        <v>146</v>
      </c>
      <c r="J30" s="16" t="s">
        <v>443</v>
      </c>
      <c r="K30" s="16" t="s">
        <v>440</v>
      </c>
    </row>
    <row r="31" spans="1:11" ht="19.5" customHeight="1" x14ac:dyDescent="0.35">
      <c r="A31" s="16" t="s">
        <v>444</v>
      </c>
      <c r="B31" s="16" t="s">
        <v>40</v>
      </c>
      <c r="C31" s="16" t="s">
        <v>109</v>
      </c>
      <c r="D31" s="16" t="s">
        <v>3717</v>
      </c>
      <c r="E31" s="16" t="s">
        <v>3718</v>
      </c>
      <c r="F31" s="16"/>
      <c r="G31" s="16"/>
      <c r="H31" s="16"/>
      <c r="I31" s="16" t="s">
        <v>146</v>
      </c>
      <c r="J31" s="16" t="s">
        <v>445</v>
      </c>
      <c r="K31" s="16" t="s">
        <v>440</v>
      </c>
    </row>
    <row r="32" spans="1:11" ht="19.5" customHeight="1" x14ac:dyDescent="0.35">
      <c r="A32" s="16" t="s">
        <v>446</v>
      </c>
      <c r="B32" s="16" t="s">
        <v>40</v>
      </c>
      <c r="C32" s="16" t="s">
        <v>109</v>
      </c>
      <c r="D32" s="16" t="s">
        <v>3717</v>
      </c>
      <c r="E32" s="16" t="s">
        <v>3718</v>
      </c>
      <c r="F32" s="16"/>
      <c r="G32" s="16"/>
      <c r="H32" s="16"/>
      <c r="I32" s="16" t="s">
        <v>146</v>
      </c>
      <c r="J32" s="16" t="s">
        <v>447</v>
      </c>
      <c r="K32" s="16" t="s">
        <v>440</v>
      </c>
    </row>
    <row r="33" spans="1:11" ht="19.5" customHeight="1" x14ac:dyDescent="0.35">
      <c r="A33" s="16" t="s">
        <v>448</v>
      </c>
      <c r="B33" s="16" t="s">
        <v>40</v>
      </c>
      <c r="C33" s="16" t="s">
        <v>109</v>
      </c>
      <c r="D33" s="16" t="s">
        <v>3717</v>
      </c>
      <c r="E33" s="16" t="s">
        <v>3718</v>
      </c>
      <c r="F33" s="16"/>
      <c r="G33" s="16"/>
      <c r="H33" s="16"/>
      <c r="I33" s="16" t="s">
        <v>146</v>
      </c>
      <c r="J33" s="16" t="s">
        <v>449</v>
      </c>
      <c r="K33" s="16" t="s">
        <v>440</v>
      </c>
    </row>
    <row r="34" spans="1:11" ht="19.5" customHeight="1" x14ac:dyDescent="0.35">
      <c r="A34" s="16" t="s">
        <v>450</v>
      </c>
      <c r="B34" s="16" t="s">
        <v>40</v>
      </c>
      <c r="C34" s="16" t="s">
        <v>109</v>
      </c>
      <c r="D34" s="16" t="s">
        <v>3717</v>
      </c>
      <c r="E34" s="16" t="s">
        <v>3718</v>
      </c>
      <c r="F34" s="16"/>
      <c r="G34" s="16"/>
      <c r="H34" s="16"/>
      <c r="I34" s="16" t="s">
        <v>146</v>
      </c>
      <c r="J34" s="16" t="s">
        <v>451</v>
      </c>
      <c r="K34" s="16" t="s">
        <v>440</v>
      </c>
    </row>
    <row r="35" spans="1:11" ht="19.5" customHeight="1" x14ac:dyDescent="0.35">
      <c r="A35" s="16" t="s">
        <v>452</v>
      </c>
      <c r="B35" s="16" t="s">
        <v>40</v>
      </c>
      <c r="C35" s="16" t="s">
        <v>109</v>
      </c>
      <c r="D35" s="16" t="s">
        <v>3717</v>
      </c>
      <c r="E35" s="16" t="s">
        <v>3718</v>
      </c>
      <c r="F35" s="16"/>
      <c r="G35" s="16"/>
      <c r="H35" s="16"/>
      <c r="I35" s="16" t="s">
        <v>146</v>
      </c>
      <c r="J35" s="16" t="s">
        <v>453</v>
      </c>
      <c r="K35" s="16" t="s">
        <v>440</v>
      </c>
    </row>
    <row r="36" spans="1:11" ht="19.5" customHeight="1" x14ac:dyDescent="0.35">
      <c r="A36" s="16" t="s">
        <v>454</v>
      </c>
      <c r="B36" s="16" t="s">
        <v>40</v>
      </c>
      <c r="C36" s="16" t="s">
        <v>109</v>
      </c>
      <c r="D36" s="16" t="s">
        <v>3717</v>
      </c>
      <c r="E36" s="16" t="s">
        <v>3718</v>
      </c>
      <c r="F36" s="16"/>
      <c r="G36" s="16"/>
      <c r="H36" s="16"/>
      <c r="I36" s="16" t="s">
        <v>158</v>
      </c>
      <c r="J36" s="16" t="s">
        <v>455</v>
      </c>
      <c r="K36" s="16" t="s">
        <v>440</v>
      </c>
    </row>
    <row r="37" spans="1:11" ht="19.5" customHeight="1" x14ac:dyDescent="0.35">
      <c r="A37" s="16" t="s">
        <v>456</v>
      </c>
      <c r="B37" s="16" t="s">
        <v>40</v>
      </c>
      <c r="C37" s="16" t="s">
        <v>109</v>
      </c>
      <c r="D37" s="16" t="s">
        <v>3717</v>
      </c>
      <c r="E37" s="16" t="s">
        <v>3718</v>
      </c>
      <c r="F37" s="16"/>
      <c r="G37" s="16"/>
      <c r="H37" s="16"/>
      <c r="I37" s="16" t="s">
        <v>146</v>
      </c>
      <c r="J37" s="16" t="s">
        <v>453</v>
      </c>
      <c r="K37" s="16" t="s">
        <v>440</v>
      </c>
    </row>
    <row r="38" spans="1:11" ht="19.5" customHeight="1" x14ac:dyDescent="0.35">
      <c r="A38" s="16" t="s">
        <v>457</v>
      </c>
      <c r="B38" s="16" t="s">
        <v>40</v>
      </c>
      <c r="C38" s="16" t="s">
        <v>109</v>
      </c>
      <c r="D38" s="16" t="s">
        <v>3717</v>
      </c>
      <c r="E38" s="16" t="s">
        <v>3718</v>
      </c>
      <c r="F38" s="16"/>
      <c r="G38" s="16"/>
      <c r="H38" s="16"/>
      <c r="I38" s="16" t="s">
        <v>146</v>
      </c>
      <c r="J38" s="16" t="s">
        <v>458</v>
      </c>
      <c r="K38" s="16" t="s">
        <v>440</v>
      </c>
    </row>
    <row r="39" spans="1:11" ht="19.5" customHeight="1" x14ac:dyDescent="0.35">
      <c r="A39" s="16" t="s">
        <v>459</v>
      </c>
      <c r="B39" s="16" t="s">
        <v>40</v>
      </c>
      <c r="C39" s="16" t="s">
        <v>109</v>
      </c>
      <c r="D39" s="16" t="s">
        <v>3717</v>
      </c>
      <c r="E39" s="16" t="s">
        <v>3718</v>
      </c>
      <c r="F39" s="16"/>
      <c r="G39" s="16"/>
      <c r="H39" s="16"/>
      <c r="I39" s="16" t="s">
        <v>146</v>
      </c>
      <c r="J39" s="16" t="s">
        <v>460</v>
      </c>
      <c r="K39" s="16" t="s">
        <v>440</v>
      </c>
    </row>
    <row r="40" spans="1:11" ht="19.5" customHeight="1" x14ac:dyDescent="0.35">
      <c r="A40" s="16" t="s">
        <v>461</v>
      </c>
      <c r="B40" s="16" t="s">
        <v>40</v>
      </c>
      <c r="C40" s="16" t="s">
        <v>109</v>
      </c>
      <c r="D40" s="16" t="s">
        <v>3717</v>
      </c>
      <c r="E40" s="16" t="s">
        <v>3718</v>
      </c>
      <c r="F40" s="16"/>
      <c r="G40" s="16"/>
      <c r="H40" s="16"/>
      <c r="I40" s="16" t="s">
        <v>146</v>
      </c>
      <c r="J40" s="16" t="s">
        <v>462</v>
      </c>
      <c r="K40" s="16" t="s">
        <v>440</v>
      </c>
    </row>
    <row r="41" spans="1:11" ht="19.5" customHeight="1" x14ac:dyDescent="0.35">
      <c r="A41" s="16" t="s">
        <v>463</v>
      </c>
      <c r="B41" s="16" t="s">
        <v>40</v>
      </c>
      <c r="C41" s="16" t="s">
        <v>109</v>
      </c>
      <c r="D41" s="16" t="s">
        <v>3717</v>
      </c>
      <c r="E41" s="16" t="s">
        <v>3718</v>
      </c>
      <c r="F41" s="16"/>
      <c r="G41" s="16"/>
      <c r="H41" s="16"/>
      <c r="I41" s="16" t="s">
        <v>158</v>
      </c>
      <c r="J41" s="16" t="s">
        <v>455</v>
      </c>
      <c r="K41" s="16" t="s">
        <v>440</v>
      </c>
    </row>
    <row r="42" spans="1:11" ht="19.5" customHeight="1" x14ac:dyDescent="0.35">
      <c r="A42" s="16" t="s">
        <v>464</v>
      </c>
      <c r="B42" s="16" t="s">
        <v>38</v>
      </c>
      <c r="C42" s="16" t="s">
        <v>109</v>
      </c>
      <c r="D42" s="16" t="s">
        <v>3719</v>
      </c>
      <c r="E42" s="16" t="s">
        <v>3720</v>
      </c>
      <c r="F42" s="16"/>
      <c r="G42" s="16"/>
      <c r="H42" s="16"/>
      <c r="I42" s="16" t="s">
        <v>146</v>
      </c>
      <c r="J42" s="16" t="s">
        <v>466</v>
      </c>
      <c r="K42" s="16" t="s">
        <v>465</v>
      </c>
    </row>
    <row r="43" spans="1:11" ht="19.5" customHeight="1" x14ac:dyDescent="0.35">
      <c r="A43" s="16" t="s">
        <v>467</v>
      </c>
      <c r="B43" s="16" t="s">
        <v>38</v>
      </c>
      <c r="C43" s="16" t="s">
        <v>109</v>
      </c>
      <c r="D43" s="16" t="s">
        <v>3719</v>
      </c>
      <c r="E43" s="16" t="s">
        <v>3720</v>
      </c>
      <c r="F43" s="16"/>
      <c r="G43" s="16"/>
      <c r="H43" s="16"/>
      <c r="I43" s="16" t="s">
        <v>146</v>
      </c>
      <c r="J43" s="16" t="s">
        <v>468</v>
      </c>
      <c r="K43" s="16" t="s">
        <v>465</v>
      </c>
    </row>
    <row r="44" spans="1:11" ht="19.5" customHeight="1" x14ac:dyDescent="0.35">
      <c r="A44" s="16" t="s">
        <v>469</v>
      </c>
      <c r="B44" s="16" t="s">
        <v>38</v>
      </c>
      <c r="C44" s="16" t="s">
        <v>109</v>
      </c>
      <c r="D44" s="16" t="s">
        <v>3719</v>
      </c>
      <c r="E44" s="16" t="s">
        <v>3720</v>
      </c>
      <c r="F44" s="16"/>
      <c r="G44" s="16"/>
      <c r="H44" s="16"/>
      <c r="I44" s="16" t="s">
        <v>146</v>
      </c>
      <c r="J44" s="16" t="s">
        <v>470</v>
      </c>
      <c r="K44" s="16" t="s">
        <v>465</v>
      </c>
    </row>
    <row r="45" spans="1:11" ht="19.5" customHeight="1" x14ac:dyDescent="0.35">
      <c r="A45" s="16" t="s">
        <v>471</v>
      </c>
      <c r="B45" s="16" t="s">
        <v>38</v>
      </c>
      <c r="C45" s="16" t="s">
        <v>109</v>
      </c>
      <c r="D45" s="16" t="s">
        <v>3719</v>
      </c>
      <c r="E45" s="16" t="s">
        <v>3720</v>
      </c>
      <c r="F45" s="16"/>
      <c r="G45" s="16"/>
      <c r="H45" s="16"/>
      <c r="I45" s="16" t="s">
        <v>146</v>
      </c>
      <c r="J45" s="16" t="s">
        <v>472</v>
      </c>
      <c r="K45" s="16" t="s">
        <v>465</v>
      </c>
    </row>
    <row r="46" spans="1:11" ht="19.5" customHeight="1" x14ac:dyDescent="0.35">
      <c r="A46" s="16" t="s">
        <v>473</v>
      </c>
      <c r="B46" s="16" t="s">
        <v>38</v>
      </c>
      <c r="C46" s="16" t="s">
        <v>109</v>
      </c>
      <c r="D46" s="16" t="s">
        <v>3719</v>
      </c>
      <c r="E46" s="16" t="s">
        <v>3720</v>
      </c>
      <c r="F46" s="16"/>
      <c r="G46" s="16"/>
      <c r="H46" s="16"/>
      <c r="I46" s="16" t="s">
        <v>146</v>
      </c>
      <c r="J46" s="16" t="s">
        <v>474</v>
      </c>
      <c r="K46" s="16" t="s">
        <v>465</v>
      </c>
    </row>
    <row r="47" spans="1:11" ht="19.5" customHeight="1" x14ac:dyDescent="0.35">
      <c r="A47" s="16" t="s">
        <v>475</v>
      </c>
      <c r="B47" s="16" t="s">
        <v>38</v>
      </c>
      <c r="C47" s="16" t="s">
        <v>109</v>
      </c>
      <c r="D47" s="16" t="s">
        <v>3719</v>
      </c>
      <c r="E47" s="16" t="s">
        <v>3720</v>
      </c>
      <c r="F47" s="16"/>
      <c r="G47" s="16"/>
      <c r="H47" s="16"/>
      <c r="I47" s="16" t="s">
        <v>146</v>
      </c>
      <c r="J47" s="16" t="s">
        <v>476</v>
      </c>
      <c r="K47" s="16" t="s">
        <v>465</v>
      </c>
    </row>
    <row r="48" spans="1:11" ht="19.5" customHeight="1" x14ac:dyDescent="0.35">
      <c r="A48" s="16" t="s">
        <v>477</v>
      </c>
      <c r="B48" s="16" t="s">
        <v>38</v>
      </c>
      <c r="C48" s="16" t="s">
        <v>109</v>
      </c>
      <c r="D48" s="16" t="s">
        <v>3719</v>
      </c>
      <c r="E48" s="16" t="s">
        <v>3720</v>
      </c>
      <c r="F48" s="16"/>
      <c r="G48" s="16"/>
      <c r="H48" s="16"/>
      <c r="I48" s="16" t="s">
        <v>146</v>
      </c>
      <c r="J48" s="16" t="s">
        <v>478</v>
      </c>
      <c r="K48" s="16" t="s">
        <v>465</v>
      </c>
    </row>
    <row r="49" spans="1:11" ht="19.5" customHeight="1" x14ac:dyDescent="0.35">
      <c r="A49" s="16" t="s">
        <v>479</v>
      </c>
      <c r="B49" s="16" t="s">
        <v>38</v>
      </c>
      <c r="C49" s="16" t="s">
        <v>109</v>
      </c>
      <c r="D49" s="16" t="s">
        <v>3719</v>
      </c>
      <c r="E49" s="16" t="s">
        <v>3720</v>
      </c>
      <c r="F49" s="16"/>
      <c r="G49" s="16"/>
      <c r="H49" s="16"/>
      <c r="I49" s="16" t="s">
        <v>146</v>
      </c>
      <c r="J49" s="16" t="s">
        <v>480</v>
      </c>
      <c r="K49" s="16" t="s">
        <v>465</v>
      </c>
    </row>
    <row r="50" spans="1:11" ht="19.5" customHeight="1" x14ac:dyDescent="0.35">
      <c r="A50" s="16" t="s">
        <v>481</v>
      </c>
      <c r="B50" s="16" t="s">
        <v>38</v>
      </c>
      <c r="C50" s="16" t="s">
        <v>109</v>
      </c>
      <c r="D50" s="16" t="s">
        <v>3719</v>
      </c>
      <c r="E50" s="16" t="s">
        <v>3720</v>
      </c>
      <c r="F50" s="16"/>
      <c r="G50" s="16"/>
      <c r="H50" s="16"/>
      <c r="I50" s="16" t="s">
        <v>146</v>
      </c>
      <c r="J50" s="16" t="s">
        <v>482</v>
      </c>
      <c r="K50" s="16" t="s">
        <v>465</v>
      </c>
    </row>
    <row r="51" spans="1:11" ht="19.5" customHeight="1" x14ac:dyDescent="0.35">
      <c r="A51" s="16" t="s">
        <v>483</v>
      </c>
      <c r="B51" s="16" t="s">
        <v>38</v>
      </c>
      <c r="C51" s="16" t="s">
        <v>109</v>
      </c>
      <c r="D51" s="16" t="s">
        <v>3719</v>
      </c>
      <c r="E51" s="16" t="s">
        <v>3720</v>
      </c>
      <c r="F51" s="16"/>
      <c r="G51" s="16"/>
      <c r="H51" s="16"/>
      <c r="I51" s="16" t="s">
        <v>146</v>
      </c>
      <c r="J51" s="16" t="s">
        <v>484</v>
      </c>
      <c r="K51" s="16" t="s">
        <v>465</v>
      </c>
    </row>
    <row r="52" spans="1:11" ht="19.5" customHeight="1" x14ac:dyDescent="0.35">
      <c r="A52" s="16" t="s">
        <v>485</v>
      </c>
      <c r="B52" s="16" t="s">
        <v>38</v>
      </c>
      <c r="C52" s="16" t="s">
        <v>109</v>
      </c>
      <c r="D52" s="16" t="s">
        <v>3719</v>
      </c>
      <c r="E52" s="16" t="s">
        <v>3720</v>
      </c>
      <c r="F52" s="16"/>
      <c r="G52" s="16"/>
      <c r="H52" s="16"/>
      <c r="I52" s="16" t="s">
        <v>146</v>
      </c>
      <c r="J52" s="16" t="s">
        <v>486</v>
      </c>
      <c r="K52" s="16" t="s">
        <v>465</v>
      </c>
    </row>
    <row r="53" spans="1:11" ht="19.5" customHeight="1" x14ac:dyDescent="0.35">
      <c r="A53" s="16" t="s">
        <v>487</v>
      </c>
      <c r="B53" s="16" t="s">
        <v>38</v>
      </c>
      <c r="C53" s="16" t="s">
        <v>109</v>
      </c>
      <c r="D53" s="16" t="s">
        <v>3719</v>
      </c>
      <c r="E53" s="16" t="s">
        <v>3720</v>
      </c>
      <c r="F53" s="16"/>
      <c r="G53" s="16"/>
      <c r="H53" s="16"/>
      <c r="I53" s="16" t="s">
        <v>146</v>
      </c>
      <c r="J53" s="16" t="s">
        <v>488</v>
      </c>
      <c r="K53" s="16" t="s">
        <v>465</v>
      </c>
    </row>
    <row r="54" spans="1:11" ht="19.5" customHeight="1" x14ac:dyDescent="0.35">
      <c r="A54" s="16" t="s">
        <v>489</v>
      </c>
      <c r="B54" s="16" t="s">
        <v>38</v>
      </c>
      <c r="C54" s="16" t="s">
        <v>109</v>
      </c>
      <c r="D54" s="16" t="s">
        <v>3719</v>
      </c>
      <c r="E54" s="16" t="s">
        <v>3720</v>
      </c>
      <c r="F54" s="16"/>
      <c r="G54" s="16"/>
      <c r="H54" s="16"/>
      <c r="I54" s="16" t="s">
        <v>146</v>
      </c>
      <c r="J54" s="16" t="s">
        <v>490</v>
      </c>
      <c r="K54" s="16" t="s">
        <v>465</v>
      </c>
    </row>
    <row r="55" spans="1:11" ht="19.5" customHeight="1" x14ac:dyDescent="0.35">
      <c r="A55" s="16" t="s">
        <v>491</v>
      </c>
      <c r="B55" s="16" t="s">
        <v>38</v>
      </c>
      <c r="C55" s="16" t="s">
        <v>109</v>
      </c>
      <c r="D55" s="16" t="s">
        <v>3719</v>
      </c>
      <c r="E55" s="16" t="s">
        <v>3720</v>
      </c>
      <c r="F55" s="16"/>
      <c r="G55" s="16"/>
      <c r="H55" s="16"/>
      <c r="I55" s="16" t="s">
        <v>146</v>
      </c>
      <c r="J55" s="16" t="s">
        <v>492</v>
      </c>
      <c r="K55" s="16" t="s">
        <v>465</v>
      </c>
    </row>
    <row r="56" spans="1:11" ht="19.5" customHeight="1" x14ac:dyDescent="0.35">
      <c r="A56" s="16" t="s">
        <v>1311</v>
      </c>
      <c r="B56" s="16" t="s">
        <v>42</v>
      </c>
      <c r="C56" s="16" t="s">
        <v>101</v>
      </c>
      <c r="D56" s="16" t="s">
        <v>3721</v>
      </c>
      <c r="E56" s="16"/>
      <c r="F56" s="16" t="s">
        <v>1070</v>
      </c>
      <c r="G56" s="16"/>
      <c r="H56" s="16"/>
      <c r="I56" s="16" t="s">
        <v>3722</v>
      </c>
      <c r="J56" s="16" t="s">
        <v>3723</v>
      </c>
      <c r="K56" s="16" t="s">
        <v>896</v>
      </c>
    </row>
    <row r="57" spans="1:11" ht="19.5" customHeight="1" x14ac:dyDescent="0.35">
      <c r="A57" s="16" t="s">
        <v>1585</v>
      </c>
      <c r="B57" s="16" t="s">
        <v>42</v>
      </c>
      <c r="C57" s="16" t="s">
        <v>101</v>
      </c>
      <c r="D57" s="16" t="s">
        <v>3721</v>
      </c>
      <c r="E57" s="16"/>
      <c r="F57" s="16" t="s">
        <v>1070</v>
      </c>
      <c r="G57" s="16"/>
      <c r="H57" s="16"/>
      <c r="I57" s="16" t="s">
        <v>3722</v>
      </c>
      <c r="J57" s="16" t="s">
        <v>3724</v>
      </c>
      <c r="K57" s="16" t="s">
        <v>896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A5A5A5"/>
    <pageSetUpPr fitToPage="1"/>
  </sheetPr>
  <dimension ref="A1:M267"/>
  <sheetViews>
    <sheetView showGridLines="0" zoomScale="90" zoomScaleNormal="90" workbookViewId="0">
      <pane ySplit="3" topLeftCell="A24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3" max="3" width="24" customWidth="1"/>
    <col min="7" max="7" width="14" customWidth="1"/>
    <col min="12" max="12" width="42" customWidth="1"/>
    <col min="13" max="13" width="14" customWidth="1"/>
  </cols>
  <sheetData>
    <row r="1" spans="1:13" ht="19.5" customHeight="1" x14ac:dyDescent="0.35">
      <c r="A1" s="14" t="s">
        <v>3725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5" customHeight="1" x14ac:dyDescent="0.35">
      <c r="A2" s="20" t="s">
        <v>3726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customHeight="1" x14ac:dyDescent="0.35">
      <c r="A3" s="17" t="s">
        <v>3727</v>
      </c>
      <c r="B3" s="17" t="s">
        <v>3728</v>
      </c>
      <c r="C3" s="17" t="s">
        <v>3694</v>
      </c>
      <c r="D3" s="17" t="s">
        <v>35</v>
      </c>
      <c r="E3" s="17" t="s">
        <v>3695</v>
      </c>
      <c r="F3" s="17" t="s">
        <v>3705</v>
      </c>
      <c r="G3" s="17" t="s">
        <v>3706</v>
      </c>
      <c r="H3" s="17" t="s">
        <v>3729</v>
      </c>
      <c r="I3" s="17" t="s">
        <v>3708</v>
      </c>
      <c r="J3" s="17" t="s">
        <v>3709</v>
      </c>
      <c r="K3" s="17" t="s">
        <v>96</v>
      </c>
      <c r="L3" s="17" t="s">
        <v>99</v>
      </c>
      <c r="M3" s="17" t="s">
        <v>3730</v>
      </c>
    </row>
    <row r="4" spans="1:13" ht="19.5" customHeight="1" x14ac:dyDescent="0.35">
      <c r="A4" s="16" t="s">
        <v>144</v>
      </c>
      <c r="B4" s="16" t="s">
        <v>3731</v>
      </c>
      <c r="C4" s="16" t="s">
        <v>3732</v>
      </c>
      <c r="D4" s="16" t="s">
        <v>143</v>
      </c>
      <c r="E4" s="16" t="s">
        <v>109</v>
      </c>
      <c r="F4" s="16" t="s">
        <v>3733</v>
      </c>
      <c r="G4" s="16" t="s">
        <v>3734</v>
      </c>
      <c r="H4" s="16" t="s">
        <v>3735</v>
      </c>
      <c r="I4" s="19">
        <v>2017</v>
      </c>
      <c r="J4" s="16" t="s">
        <v>3736</v>
      </c>
      <c r="K4" s="16" t="s">
        <v>146</v>
      </c>
      <c r="L4" s="16" t="s">
        <v>149</v>
      </c>
      <c r="M4" s="16" t="s">
        <v>147</v>
      </c>
    </row>
    <row r="5" spans="1:13" ht="19.5" customHeight="1" x14ac:dyDescent="0.35">
      <c r="A5" s="16" t="s">
        <v>150</v>
      </c>
      <c r="B5" s="16" t="s">
        <v>150</v>
      </c>
      <c r="C5" s="16" t="s">
        <v>3701</v>
      </c>
      <c r="D5" s="16" t="s">
        <v>44</v>
      </c>
      <c r="E5" s="16" t="s">
        <v>109</v>
      </c>
      <c r="F5" s="16" t="s">
        <v>3712</v>
      </c>
      <c r="G5" s="16" t="s">
        <v>3713</v>
      </c>
      <c r="H5" s="16"/>
      <c r="I5" s="19">
        <v>2024</v>
      </c>
      <c r="J5" s="16"/>
      <c r="K5" s="16" t="s">
        <v>146</v>
      </c>
      <c r="L5" s="16" t="s">
        <v>153</v>
      </c>
      <c r="M5" s="16" t="s">
        <v>152</v>
      </c>
    </row>
    <row r="6" spans="1:13" ht="19.5" customHeight="1" x14ac:dyDescent="0.35">
      <c r="A6" s="16" t="s">
        <v>154</v>
      </c>
      <c r="B6" s="16" t="s">
        <v>154</v>
      </c>
      <c r="C6" s="16" t="s">
        <v>3701</v>
      </c>
      <c r="D6" s="16" t="s">
        <v>44</v>
      </c>
      <c r="E6" s="16" t="s">
        <v>109</v>
      </c>
      <c r="F6" s="16" t="s">
        <v>3712</v>
      </c>
      <c r="G6" s="16" t="s">
        <v>3713</v>
      </c>
      <c r="H6" s="16"/>
      <c r="I6" s="19">
        <v>2024</v>
      </c>
      <c r="J6" s="16"/>
      <c r="K6" s="16" t="s">
        <v>146</v>
      </c>
      <c r="L6" s="16" t="s">
        <v>155</v>
      </c>
      <c r="M6" s="16" t="s">
        <v>152</v>
      </c>
    </row>
    <row r="7" spans="1:13" ht="19.5" customHeight="1" x14ac:dyDescent="0.35">
      <c r="A7" s="16" t="s">
        <v>156</v>
      </c>
      <c r="B7" s="16" t="s">
        <v>156</v>
      </c>
      <c r="C7" s="16" t="s">
        <v>3701</v>
      </c>
      <c r="D7" s="16" t="s">
        <v>44</v>
      </c>
      <c r="E7" s="16" t="s">
        <v>109</v>
      </c>
      <c r="F7" s="16" t="s">
        <v>3712</v>
      </c>
      <c r="G7" s="16" t="s">
        <v>3713</v>
      </c>
      <c r="H7" s="16"/>
      <c r="I7" s="19">
        <v>2024</v>
      </c>
      <c r="J7" s="16"/>
      <c r="K7" s="16" t="s">
        <v>158</v>
      </c>
      <c r="L7" s="16" t="s">
        <v>159</v>
      </c>
      <c r="M7" s="16" t="s">
        <v>152</v>
      </c>
    </row>
    <row r="8" spans="1:13" ht="19.5" customHeight="1" x14ac:dyDescent="0.35">
      <c r="A8" s="16" t="s">
        <v>160</v>
      </c>
      <c r="B8" s="16" t="s">
        <v>160</v>
      </c>
      <c r="C8" s="16" t="s">
        <v>3701</v>
      </c>
      <c r="D8" s="16" t="s">
        <v>44</v>
      </c>
      <c r="E8" s="16" t="s">
        <v>109</v>
      </c>
      <c r="F8" s="16" t="s">
        <v>3712</v>
      </c>
      <c r="G8" s="16" t="s">
        <v>3713</v>
      </c>
      <c r="H8" s="16"/>
      <c r="I8" s="19">
        <v>2024</v>
      </c>
      <c r="J8" s="16"/>
      <c r="K8" s="16" t="s">
        <v>146</v>
      </c>
      <c r="L8" s="16" t="s">
        <v>161</v>
      </c>
      <c r="M8" s="16" t="s">
        <v>152</v>
      </c>
    </row>
    <row r="9" spans="1:13" ht="19.5" customHeight="1" x14ac:dyDescent="0.35">
      <c r="A9" s="16" t="s">
        <v>162</v>
      </c>
      <c r="B9" s="16" t="s">
        <v>162</v>
      </c>
      <c r="C9" s="16" t="s">
        <v>3701</v>
      </c>
      <c r="D9" s="16" t="s">
        <v>44</v>
      </c>
      <c r="E9" s="16" t="s">
        <v>109</v>
      </c>
      <c r="F9" s="16" t="s">
        <v>3712</v>
      </c>
      <c r="G9" s="16" t="s">
        <v>3713</v>
      </c>
      <c r="H9" s="16"/>
      <c r="I9" s="19">
        <v>2024</v>
      </c>
      <c r="J9" s="16"/>
      <c r="K9" s="16" t="s">
        <v>158</v>
      </c>
      <c r="L9" s="16" t="s">
        <v>159</v>
      </c>
      <c r="M9" s="16" t="s">
        <v>152</v>
      </c>
    </row>
    <row r="10" spans="1:13" ht="19.5" customHeight="1" x14ac:dyDescent="0.35">
      <c r="A10" s="16" t="s">
        <v>163</v>
      </c>
      <c r="B10" s="16" t="s">
        <v>163</v>
      </c>
      <c r="C10" s="16" t="s">
        <v>3701</v>
      </c>
      <c r="D10" s="16" t="s">
        <v>44</v>
      </c>
      <c r="E10" s="16" t="s">
        <v>109</v>
      </c>
      <c r="F10" s="16" t="s">
        <v>3712</v>
      </c>
      <c r="G10" s="16" t="s">
        <v>3713</v>
      </c>
      <c r="H10" s="16"/>
      <c r="I10" s="19">
        <v>2024</v>
      </c>
      <c r="J10" s="16"/>
      <c r="K10" s="16" t="s">
        <v>146</v>
      </c>
      <c r="L10" s="16" t="s">
        <v>164</v>
      </c>
      <c r="M10" s="16" t="s">
        <v>152</v>
      </c>
    </row>
    <row r="11" spans="1:13" ht="19.5" customHeight="1" x14ac:dyDescent="0.35">
      <c r="A11" s="16" t="s">
        <v>165</v>
      </c>
      <c r="B11" s="16" t="s">
        <v>165</v>
      </c>
      <c r="C11" s="16" t="s">
        <v>3701</v>
      </c>
      <c r="D11" s="16" t="s">
        <v>44</v>
      </c>
      <c r="E11" s="16" t="s">
        <v>109</v>
      </c>
      <c r="F11" s="16" t="s">
        <v>3712</v>
      </c>
      <c r="G11" s="16" t="s">
        <v>3713</v>
      </c>
      <c r="H11" s="16"/>
      <c r="I11" s="19">
        <v>2024</v>
      </c>
      <c r="J11" s="16"/>
      <c r="K11" s="16" t="s">
        <v>158</v>
      </c>
      <c r="L11" s="16" t="s">
        <v>159</v>
      </c>
      <c r="M11" s="16" t="s">
        <v>152</v>
      </c>
    </row>
    <row r="12" spans="1:13" ht="19.5" customHeight="1" x14ac:dyDescent="0.35">
      <c r="A12" s="16" t="s">
        <v>166</v>
      </c>
      <c r="B12" s="16" t="s">
        <v>166</v>
      </c>
      <c r="C12" s="16" t="s">
        <v>3701</v>
      </c>
      <c r="D12" s="16" t="s">
        <v>44</v>
      </c>
      <c r="E12" s="16" t="s">
        <v>109</v>
      </c>
      <c r="F12" s="16" t="s">
        <v>3712</v>
      </c>
      <c r="G12" s="16" t="s">
        <v>3713</v>
      </c>
      <c r="H12" s="16"/>
      <c r="I12" s="19">
        <v>2024</v>
      </c>
      <c r="J12" s="16"/>
      <c r="K12" s="16" t="s">
        <v>146</v>
      </c>
      <c r="L12" s="16" t="s">
        <v>167</v>
      </c>
      <c r="M12" s="16" t="s">
        <v>152</v>
      </c>
    </row>
    <row r="13" spans="1:13" ht="19.5" customHeight="1" x14ac:dyDescent="0.35">
      <c r="A13" s="16" t="s">
        <v>168</v>
      </c>
      <c r="B13" s="16" t="s">
        <v>168</v>
      </c>
      <c r="C13" s="16" t="s">
        <v>3701</v>
      </c>
      <c r="D13" s="16" t="s">
        <v>44</v>
      </c>
      <c r="E13" s="16" t="s">
        <v>109</v>
      </c>
      <c r="F13" s="16" t="s">
        <v>3712</v>
      </c>
      <c r="G13" s="16" t="s">
        <v>3713</v>
      </c>
      <c r="H13" s="16"/>
      <c r="I13" s="19">
        <v>2024</v>
      </c>
      <c r="J13" s="16"/>
      <c r="K13" s="16" t="s">
        <v>158</v>
      </c>
      <c r="L13" s="16" t="s">
        <v>159</v>
      </c>
      <c r="M13" s="16" t="s">
        <v>152</v>
      </c>
    </row>
    <row r="14" spans="1:13" ht="19.5" customHeight="1" x14ac:dyDescent="0.35">
      <c r="A14" s="16" t="s">
        <v>169</v>
      </c>
      <c r="B14" s="16" t="s">
        <v>169</v>
      </c>
      <c r="C14" s="16" t="s">
        <v>3701</v>
      </c>
      <c r="D14" s="16" t="s">
        <v>44</v>
      </c>
      <c r="E14" s="16" t="s">
        <v>109</v>
      </c>
      <c r="F14" s="16" t="s">
        <v>3712</v>
      </c>
      <c r="G14" s="16" t="s">
        <v>3713</v>
      </c>
      <c r="H14" s="16"/>
      <c r="I14" s="19">
        <v>2024</v>
      </c>
      <c r="J14" s="16"/>
      <c r="K14" s="16" t="s">
        <v>146</v>
      </c>
      <c r="L14" s="16" t="s">
        <v>170</v>
      </c>
      <c r="M14" s="16" t="s">
        <v>152</v>
      </c>
    </row>
    <row r="15" spans="1:13" ht="19.5" customHeight="1" x14ac:dyDescent="0.35">
      <c r="A15" s="16" t="s">
        <v>171</v>
      </c>
      <c r="B15" s="16" t="s">
        <v>171</v>
      </c>
      <c r="C15" s="16" t="s">
        <v>3701</v>
      </c>
      <c r="D15" s="16" t="s">
        <v>44</v>
      </c>
      <c r="E15" s="16" t="s">
        <v>109</v>
      </c>
      <c r="F15" s="16" t="s">
        <v>3712</v>
      </c>
      <c r="G15" s="16" t="s">
        <v>3713</v>
      </c>
      <c r="H15" s="16"/>
      <c r="I15" s="19">
        <v>2024</v>
      </c>
      <c r="J15" s="16"/>
      <c r="K15" s="16" t="s">
        <v>158</v>
      </c>
      <c r="L15" s="16" t="s">
        <v>159</v>
      </c>
      <c r="M15" s="16" t="s">
        <v>152</v>
      </c>
    </row>
    <row r="16" spans="1:13" ht="19.5" customHeight="1" x14ac:dyDescent="0.35">
      <c r="A16" s="16" t="s">
        <v>172</v>
      </c>
      <c r="B16" s="16" t="s">
        <v>172</v>
      </c>
      <c r="C16" s="16" t="s">
        <v>3701</v>
      </c>
      <c r="D16" s="16" t="s">
        <v>44</v>
      </c>
      <c r="E16" s="16" t="s">
        <v>109</v>
      </c>
      <c r="F16" s="16" t="s">
        <v>3712</v>
      </c>
      <c r="G16" s="16" t="s">
        <v>3713</v>
      </c>
      <c r="H16" s="16"/>
      <c r="I16" s="19">
        <v>2024</v>
      </c>
      <c r="J16" s="16"/>
      <c r="K16" s="16" t="s">
        <v>146</v>
      </c>
      <c r="L16" s="16" t="s">
        <v>173</v>
      </c>
      <c r="M16" s="16" t="s">
        <v>152</v>
      </c>
    </row>
    <row r="17" spans="1:13" ht="19.5" customHeight="1" x14ac:dyDescent="0.35">
      <c r="A17" s="16" t="s">
        <v>174</v>
      </c>
      <c r="B17" s="16" t="s">
        <v>174</v>
      </c>
      <c r="C17" s="16" t="s">
        <v>3701</v>
      </c>
      <c r="D17" s="16" t="s">
        <v>44</v>
      </c>
      <c r="E17" s="16" t="s">
        <v>109</v>
      </c>
      <c r="F17" s="16" t="s">
        <v>3712</v>
      </c>
      <c r="G17" s="16" t="s">
        <v>3713</v>
      </c>
      <c r="H17" s="16"/>
      <c r="I17" s="19">
        <v>2024</v>
      </c>
      <c r="J17" s="16"/>
      <c r="K17" s="16" t="s">
        <v>158</v>
      </c>
      <c r="L17" s="16" t="s">
        <v>159</v>
      </c>
      <c r="M17" s="16" t="s">
        <v>152</v>
      </c>
    </row>
    <row r="18" spans="1:13" ht="19.5" customHeight="1" x14ac:dyDescent="0.35">
      <c r="A18" s="16" t="s">
        <v>175</v>
      </c>
      <c r="B18" s="16" t="s">
        <v>175</v>
      </c>
      <c r="C18" s="16" t="s">
        <v>3701</v>
      </c>
      <c r="D18" s="16" t="s">
        <v>44</v>
      </c>
      <c r="E18" s="16" t="s">
        <v>109</v>
      </c>
      <c r="F18" s="16" t="s">
        <v>3712</v>
      </c>
      <c r="G18" s="16" t="s">
        <v>3713</v>
      </c>
      <c r="H18" s="16"/>
      <c r="I18" s="19">
        <v>2024</v>
      </c>
      <c r="J18" s="16"/>
      <c r="K18" s="16" t="s">
        <v>146</v>
      </c>
      <c r="L18" s="16" t="s">
        <v>176</v>
      </c>
      <c r="M18" s="16" t="s">
        <v>152</v>
      </c>
    </row>
    <row r="19" spans="1:13" ht="19.5" customHeight="1" x14ac:dyDescent="0.35">
      <c r="A19" s="16" t="s">
        <v>177</v>
      </c>
      <c r="B19" s="16" t="s">
        <v>177</v>
      </c>
      <c r="C19" s="16" t="s">
        <v>3701</v>
      </c>
      <c r="D19" s="16" t="s">
        <v>44</v>
      </c>
      <c r="E19" s="16" t="s">
        <v>109</v>
      </c>
      <c r="F19" s="16" t="s">
        <v>3712</v>
      </c>
      <c r="G19" s="16" t="s">
        <v>3713</v>
      </c>
      <c r="H19" s="16"/>
      <c r="I19" s="19">
        <v>2024</v>
      </c>
      <c r="J19" s="16"/>
      <c r="K19" s="16" t="s">
        <v>146</v>
      </c>
      <c r="L19" s="16" t="s">
        <v>178</v>
      </c>
      <c r="M19" s="16" t="s">
        <v>152</v>
      </c>
    </row>
    <row r="20" spans="1:13" ht="19.5" customHeight="1" x14ac:dyDescent="0.35">
      <c r="A20" s="16" t="s">
        <v>179</v>
      </c>
      <c r="B20" s="16" t="s">
        <v>179</v>
      </c>
      <c r="C20" s="16" t="s">
        <v>3701</v>
      </c>
      <c r="D20" s="16" t="s">
        <v>44</v>
      </c>
      <c r="E20" s="16" t="s">
        <v>109</v>
      </c>
      <c r="F20" s="16" t="s">
        <v>3712</v>
      </c>
      <c r="G20" s="16" t="s">
        <v>3713</v>
      </c>
      <c r="H20" s="16"/>
      <c r="I20" s="19">
        <v>2024</v>
      </c>
      <c r="J20" s="16"/>
      <c r="K20" s="16" t="s">
        <v>146</v>
      </c>
      <c r="L20" s="16" t="s">
        <v>180</v>
      </c>
      <c r="M20" s="16" t="s">
        <v>152</v>
      </c>
    </row>
    <row r="21" spans="1:13" ht="19.5" customHeight="1" x14ac:dyDescent="0.35">
      <c r="A21" s="16" t="s">
        <v>181</v>
      </c>
      <c r="B21" s="16" t="s">
        <v>181</v>
      </c>
      <c r="C21" s="16" t="s">
        <v>3701</v>
      </c>
      <c r="D21" s="16" t="s">
        <v>44</v>
      </c>
      <c r="E21" s="16" t="s">
        <v>109</v>
      </c>
      <c r="F21" s="16" t="s">
        <v>3712</v>
      </c>
      <c r="G21" s="16" t="s">
        <v>3713</v>
      </c>
      <c r="H21" s="16"/>
      <c r="I21" s="19">
        <v>2024</v>
      </c>
      <c r="J21" s="16"/>
      <c r="K21" s="16" t="s">
        <v>146</v>
      </c>
      <c r="L21" s="16" t="s">
        <v>182</v>
      </c>
      <c r="M21" s="16" t="s">
        <v>152</v>
      </c>
    </row>
    <row r="22" spans="1:13" ht="19.5" customHeight="1" x14ac:dyDescent="0.35">
      <c r="A22" s="16" t="s">
        <v>183</v>
      </c>
      <c r="B22" s="16" t="s">
        <v>183</v>
      </c>
      <c r="C22" s="16" t="s">
        <v>3701</v>
      </c>
      <c r="D22" s="16" t="s">
        <v>44</v>
      </c>
      <c r="E22" s="16" t="s">
        <v>109</v>
      </c>
      <c r="F22" s="16" t="s">
        <v>3712</v>
      </c>
      <c r="G22" s="16" t="s">
        <v>3713</v>
      </c>
      <c r="H22" s="16"/>
      <c r="I22" s="19">
        <v>2024</v>
      </c>
      <c r="J22" s="16"/>
      <c r="K22" s="16" t="s">
        <v>146</v>
      </c>
      <c r="L22" s="16" t="s">
        <v>184</v>
      </c>
      <c r="M22" s="16" t="s">
        <v>152</v>
      </c>
    </row>
    <row r="23" spans="1:13" ht="19.5" customHeight="1" x14ac:dyDescent="0.35">
      <c r="A23" s="16" t="s">
        <v>185</v>
      </c>
      <c r="B23" s="16" t="s">
        <v>185</v>
      </c>
      <c r="C23" s="16" t="s">
        <v>3701</v>
      </c>
      <c r="D23" s="16" t="s">
        <v>44</v>
      </c>
      <c r="E23" s="16" t="s">
        <v>109</v>
      </c>
      <c r="F23" s="16" t="s">
        <v>3712</v>
      </c>
      <c r="G23" s="16" t="s">
        <v>3713</v>
      </c>
      <c r="H23" s="16"/>
      <c r="I23" s="19">
        <v>2024</v>
      </c>
      <c r="J23" s="16"/>
      <c r="K23" s="16" t="s">
        <v>146</v>
      </c>
      <c r="L23" s="16" t="s">
        <v>186</v>
      </c>
      <c r="M23" s="16" t="s">
        <v>152</v>
      </c>
    </row>
    <row r="24" spans="1:13" ht="19.5" customHeight="1" x14ac:dyDescent="0.35">
      <c r="A24" s="16" t="s">
        <v>187</v>
      </c>
      <c r="B24" s="16" t="s">
        <v>187</v>
      </c>
      <c r="C24" s="16" t="s">
        <v>3701</v>
      </c>
      <c r="D24" s="16" t="s">
        <v>44</v>
      </c>
      <c r="E24" s="16" t="s">
        <v>109</v>
      </c>
      <c r="F24" s="16" t="s">
        <v>3712</v>
      </c>
      <c r="G24" s="16" t="s">
        <v>3713</v>
      </c>
      <c r="H24" s="16"/>
      <c r="I24" s="19">
        <v>2024</v>
      </c>
      <c r="J24" s="16"/>
      <c r="K24" s="16" t="s">
        <v>158</v>
      </c>
      <c r="L24" s="16" t="s">
        <v>188</v>
      </c>
      <c r="M24" s="16" t="s">
        <v>152</v>
      </c>
    </row>
    <row r="25" spans="1:13" ht="19.5" customHeight="1" x14ac:dyDescent="0.35">
      <c r="A25" s="16" t="s">
        <v>189</v>
      </c>
      <c r="B25" s="16" t="s">
        <v>189</v>
      </c>
      <c r="C25" s="16" t="s">
        <v>3701</v>
      </c>
      <c r="D25" s="16" t="s">
        <v>44</v>
      </c>
      <c r="E25" s="16" t="s">
        <v>109</v>
      </c>
      <c r="F25" s="16" t="s">
        <v>3712</v>
      </c>
      <c r="G25" s="16" t="s">
        <v>3713</v>
      </c>
      <c r="H25" s="16"/>
      <c r="I25" s="19">
        <v>2024</v>
      </c>
      <c r="J25" s="16"/>
      <c r="K25" s="16" t="s">
        <v>146</v>
      </c>
      <c r="L25" s="16" t="s">
        <v>190</v>
      </c>
      <c r="M25" s="16" t="s">
        <v>152</v>
      </c>
    </row>
    <row r="26" spans="1:13" ht="19.5" customHeight="1" x14ac:dyDescent="0.35">
      <c r="A26" s="16" t="s">
        <v>191</v>
      </c>
      <c r="B26" s="16" t="s">
        <v>3737</v>
      </c>
      <c r="C26" s="16" t="s">
        <v>3732</v>
      </c>
      <c r="D26" s="16" t="s">
        <v>143</v>
      </c>
      <c r="E26" s="16" t="s">
        <v>109</v>
      </c>
      <c r="F26" s="16" t="s">
        <v>3733</v>
      </c>
      <c r="G26" s="16" t="s">
        <v>3734</v>
      </c>
      <c r="H26" s="16" t="s">
        <v>3735</v>
      </c>
      <c r="I26" s="19">
        <v>1999</v>
      </c>
      <c r="J26" s="16" t="s">
        <v>3736</v>
      </c>
      <c r="K26" s="16" t="s">
        <v>146</v>
      </c>
      <c r="L26" s="16" t="s">
        <v>192</v>
      </c>
      <c r="M26" s="16" t="s">
        <v>147</v>
      </c>
    </row>
    <row r="27" spans="1:13" ht="19.5" customHeight="1" x14ac:dyDescent="0.35">
      <c r="A27" s="16" t="s">
        <v>193</v>
      </c>
      <c r="B27" s="16" t="s">
        <v>3738</v>
      </c>
      <c r="C27" s="16" t="s">
        <v>3732</v>
      </c>
      <c r="D27" s="16" t="s">
        <v>143</v>
      </c>
      <c r="E27" s="16" t="s">
        <v>109</v>
      </c>
      <c r="F27" s="16" t="s">
        <v>3733</v>
      </c>
      <c r="G27" s="16" t="s">
        <v>3734</v>
      </c>
      <c r="H27" s="16" t="s">
        <v>3735</v>
      </c>
      <c r="I27" s="19">
        <v>1999</v>
      </c>
      <c r="J27" s="16" t="s">
        <v>3736</v>
      </c>
      <c r="K27" s="16" t="s">
        <v>146</v>
      </c>
      <c r="L27" s="16" t="s">
        <v>194</v>
      </c>
      <c r="M27" s="16" t="s">
        <v>147</v>
      </c>
    </row>
    <row r="28" spans="1:13" ht="19.5" customHeight="1" x14ac:dyDescent="0.35">
      <c r="A28" s="16" t="s">
        <v>195</v>
      </c>
      <c r="B28" s="16" t="s">
        <v>3739</v>
      </c>
      <c r="C28" s="16" t="s">
        <v>3732</v>
      </c>
      <c r="D28" s="16" t="s">
        <v>143</v>
      </c>
      <c r="E28" s="16" t="s">
        <v>109</v>
      </c>
      <c r="F28" s="16" t="s">
        <v>3733</v>
      </c>
      <c r="G28" s="16" t="s">
        <v>3734</v>
      </c>
      <c r="H28" s="16" t="s">
        <v>3735</v>
      </c>
      <c r="I28" s="19">
        <v>1999</v>
      </c>
      <c r="J28" s="16" t="s">
        <v>3736</v>
      </c>
      <c r="K28" s="16" t="s">
        <v>146</v>
      </c>
      <c r="L28" s="16" t="s">
        <v>192</v>
      </c>
      <c r="M28" s="16" t="s">
        <v>147</v>
      </c>
    </row>
    <row r="29" spans="1:13" ht="19.5" customHeight="1" x14ac:dyDescent="0.35">
      <c r="A29" s="16" t="s">
        <v>196</v>
      </c>
      <c r="B29" s="16" t="s">
        <v>3740</v>
      </c>
      <c r="C29" s="16" t="s">
        <v>3732</v>
      </c>
      <c r="D29" s="16" t="s">
        <v>143</v>
      </c>
      <c r="E29" s="16" t="s">
        <v>109</v>
      </c>
      <c r="F29" s="16" t="s">
        <v>3733</v>
      </c>
      <c r="G29" s="16" t="s">
        <v>3734</v>
      </c>
      <c r="H29" s="16" t="s">
        <v>3735</v>
      </c>
      <c r="I29" s="19">
        <v>1999</v>
      </c>
      <c r="J29" s="16" t="s">
        <v>3736</v>
      </c>
      <c r="K29" s="16" t="s">
        <v>146</v>
      </c>
      <c r="L29" s="16" t="s">
        <v>197</v>
      </c>
      <c r="M29" s="16" t="s">
        <v>147</v>
      </c>
    </row>
    <row r="30" spans="1:13" ht="19.5" customHeight="1" x14ac:dyDescent="0.35">
      <c r="A30" s="16" t="s">
        <v>198</v>
      </c>
      <c r="B30" s="16" t="s">
        <v>3741</v>
      </c>
      <c r="C30" s="16" t="s">
        <v>3732</v>
      </c>
      <c r="D30" s="16" t="s">
        <v>143</v>
      </c>
      <c r="E30" s="16" t="s">
        <v>109</v>
      </c>
      <c r="F30" s="16" t="s">
        <v>3733</v>
      </c>
      <c r="G30" s="16" t="s">
        <v>3734</v>
      </c>
      <c r="H30" s="16" t="s">
        <v>3735</v>
      </c>
      <c r="I30" s="19">
        <v>1999</v>
      </c>
      <c r="J30" s="16" t="s">
        <v>3736</v>
      </c>
      <c r="K30" s="16" t="s">
        <v>146</v>
      </c>
      <c r="L30" s="16" t="s">
        <v>199</v>
      </c>
      <c r="M30" s="16" t="s">
        <v>147</v>
      </c>
    </row>
    <row r="31" spans="1:13" ht="19.5" customHeight="1" x14ac:dyDescent="0.35">
      <c r="A31" s="16" t="s">
        <v>200</v>
      </c>
      <c r="B31" s="16" t="s">
        <v>3742</v>
      </c>
      <c r="C31" s="16" t="s">
        <v>3732</v>
      </c>
      <c r="D31" s="16" t="s">
        <v>143</v>
      </c>
      <c r="E31" s="16" t="s">
        <v>109</v>
      </c>
      <c r="F31" s="16" t="s">
        <v>3733</v>
      </c>
      <c r="G31" s="16" t="s">
        <v>3734</v>
      </c>
      <c r="H31" s="16" t="s">
        <v>3735</v>
      </c>
      <c r="I31" s="19">
        <v>1999</v>
      </c>
      <c r="J31" s="16" t="s">
        <v>3736</v>
      </c>
      <c r="K31" s="16" t="s">
        <v>146</v>
      </c>
      <c r="L31" s="16" t="s">
        <v>201</v>
      </c>
      <c r="M31" s="16" t="s">
        <v>147</v>
      </c>
    </row>
    <row r="32" spans="1:13" ht="19.5" customHeight="1" x14ac:dyDescent="0.35">
      <c r="A32" s="16" t="s">
        <v>202</v>
      </c>
      <c r="B32" s="16" t="s">
        <v>3743</v>
      </c>
      <c r="C32" s="16" t="s">
        <v>3732</v>
      </c>
      <c r="D32" s="16" t="s">
        <v>143</v>
      </c>
      <c r="E32" s="16" t="s">
        <v>109</v>
      </c>
      <c r="F32" s="16" t="s">
        <v>3733</v>
      </c>
      <c r="G32" s="16" t="s">
        <v>3734</v>
      </c>
      <c r="H32" s="16" t="s">
        <v>3735</v>
      </c>
      <c r="I32" s="19">
        <v>1999</v>
      </c>
      <c r="J32" s="16" t="s">
        <v>3736</v>
      </c>
      <c r="K32" s="16" t="s">
        <v>146</v>
      </c>
      <c r="L32" s="16" t="s">
        <v>203</v>
      </c>
      <c r="M32" s="16" t="s">
        <v>147</v>
      </c>
    </row>
    <row r="33" spans="1:13" ht="19.5" customHeight="1" x14ac:dyDescent="0.35">
      <c r="A33" s="16" t="s">
        <v>204</v>
      </c>
      <c r="B33" s="16" t="s">
        <v>3744</v>
      </c>
      <c r="C33" s="16" t="s">
        <v>3732</v>
      </c>
      <c r="D33" s="16" t="s">
        <v>143</v>
      </c>
      <c r="E33" s="16" t="s">
        <v>109</v>
      </c>
      <c r="F33" s="16" t="s">
        <v>3733</v>
      </c>
      <c r="G33" s="16" t="s">
        <v>3734</v>
      </c>
      <c r="H33" s="16" t="s">
        <v>3735</v>
      </c>
      <c r="I33" s="19">
        <v>1999</v>
      </c>
      <c r="J33" s="16" t="s">
        <v>3736</v>
      </c>
      <c r="K33" s="16" t="s">
        <v>146</v>
      </c>
      <c r="L33" s="16" t="s">
        <v>205</v>
      </c>
      <c r="M33" s="16" t="s">
        <v>147</v>
      </c>
    </row>
    <row r="34" spans="1:13" ht="19.5" customHeight="1" x14ac:dyDescent="0.35">
      <c r="A34" s="16" t="s">
        <v>206</v>
      </c>
      <c r="B34" s="16" t="s">
        <v>3745</v>
      </c>
      <c r="C34" s="16" t="s">
        <v>3732</v>
      </c>
      <c r="D34" s="16" t="s">
        <v>143</v>
      </c>
      <c r="E34" s="16" t="s">
        <v>109</v>
      </c>
      <c r="F34" s="16" t="s">
        <v>3733</v>
      </c>
      <c r="G34" s="16" t="s">
        <v>3734</v>
      </c>
      <c r="H34" s="16" t="s">
        <v>3735</v>
      </c>
      <c r="I34" s="19">
        <v>1999</v>
      </c>
      <c r="J34" s="16" t="s">
        <v>3736</v>
      </c>
      <c r="K34" s="16" t="s">
        <v>146</v>
      </c>
      <c r="L34" s="16" t="s">
        <v>207</v>
      </c>
      <c r="M34" s="16" t="s">
        <v>147</v>
      </c>
    </row>
    <row r="35" spans="1:13" ht="19.5" customHeight="1" x14ac:dyDescent="0.35">
      <c r="A35" s="16" t="s">
        <v>208</v>
      </c>
      <c r="B35" s="16" t="s">
        <v>3746</v>
      </c>
      <c r="C35" s="16" t="s">
        <v>3732</v>
      </c>
      <c r="D35" s="16" t="s">
        <v>143</v>
      </c>
      <c r="E35" s="16" t="s">
        <v>109</v>
      </c>
      <c r="F35" s="16" t="s">
        <v>3733</v>
      </c>
      <c r="G35" s="16" t="s">
        <v>3734</v>
      </c>
      <c r="H35" s="16" t="s">
        <v>3735</v>
      </c>
      <c r="I35" s="19">
        <v>1999</v>
      </c>
      <c r="J35" s="16" t="s">
        <v>3747</v>
      </c>
      <c r="K35" s="16" t="s">
        <v>146</v>
      </c>
      <c r="L35" s="16" t="s">
        <v>209</v>
      </c>
      <c r="M35" s="16" t="s">
        <v>147</v>
      </c>
    </row>
    <row r="36" spans="1:13" ht="19.5" customHeight="1" x14ac:dyDescent="0.35">
      <c r="A36" s="16" t="s">
        <v>210</v>
      </c>
      <c r="B36" s="16" t="s">
        <v>3748</v>
      </c>
      <c r="C36" s="16" t="s">
        <v>3732</v>
      </c>
      <c r="D36" s="16" t="s">
        <v>143</v>
      </c>
      <c r="E36" s="16" t="s">
        <v>109</v>
      </c>
      <c r="F36" s="16" t="s">
        <v>3733</v>
      </c>
      <c r="G36" s="16" t="s">
        <v>3749</v>
      </c>
      <c r="H36" s="16" t="s">
        <v>3735</v>
      </c>
      <c r="I36" s="19">
        <v>1999</v>
      </c>
      <c r="J36" s="16" t="s">
        <v>3736</v>
      </c>
      <c r="K36" s="16" t="s">
        <v>146</v>
      </c>
      <c r="L36" s="16" t="s">
        <v>211</v>
      </c>
      <c r="M36" s="16" t="s">
        <v>147</v>
      </c>
    </row>
    <row r="37" spans="1:13" ht="19.5" customHeight="1" x14ac:dyDescent="0.35">
      <c r="A37" s="16" t="s">
        <v>212</v>
      </c>
      <c r="B37" s="16" t="s">
        <v>3750</v>
      </c>
      <c r="C37" s="16" t="s">
        <v>3732</v>
      </c>
      <c r="D37" s="16" t="s">
        <v>143</v>
      </c>
      <c r="E37" s="16" t="s">
        <v>109</v>
      </c>
      <c r="F37" s="16" t="s">
        <v>3733</v>
      </c>
      <c r="G37" s="16" t="s">
        <v>3734</v>
      </c>
      <c r="H37" s="16" t="s">
        <v>3735</v>
      </c>
      <c r="I37" s="19">
        <v>1999</v>
      </c>
      <c r="J37" s="16" t="s">
        <v>3736</v>
      </c>
      <c r="K37" s="16" t="s">
        <v>146</v>
      </c>
      <c r="L37" s="16" t="s">
        <v>213</v>
      </c>
      <c r="M37" s="16" t="s">
        <v>147</v>
      </c>
    </row>
    <row r="38" spans="1:13" ht="19.5" customHeight="1" x14ac:dyDescent="0.35">
      <c r="A38" s="16" t="s">
        <v>214</v>
      </c>
      <c r="B38" s="16" t="s">
        <v>3751</v>
      </c>
      <c r="C38" s="16" t="s">
        <v>3732</v>
      </c>
      <c r="D38" s="16" t="s">
        <v>143</v>
      </c>
      <c r="E38" s="16" t="s">
        <v>109</v>
      </c>
      <c r="F38" s="16" t="s">
        <v>3733</v>
      </c>
      <c r="G38" s="16" t="s">
        <v>3734</v>
      </c>
      <c r="H38" s="16" t="s">
        <v>3735</v>
      </c>
      <c r="I38" s="19">
        <v>1999</v>
      </c>
      <c r="J38" s="16" t="s">
        <v>3736</v>
      </c>
      <c r="K38" s="16" t="s">
        <v>146</v>
      </c>
      <c r="L38" s="16" t="s">
        <v>215</v>
      </c>
      <c r="M38" s="16" t="s">
        <v>147</v>
      </c>
    </row>
    <row r="39" spans="1:13" ht="19.5" customHeight="1" x14ac:dyDescent="0.35">
      <c r="A39" s="16" t="s">
        <v>216</v>
      </c>
      <c r="B39" s="16" t="s">
        <v>3752</v>
      </c>
      <c r="C39" s="16" t="s">
        <v>3732</v>
      </c>
      <c r="D39" s="16" t="s">
        <v>143</v>
      </c>
      <c r="E39" s="16" t="s">
        <v>109</v>
      </c>
      <c r="F39" s="16" t="s">
        <v>3733</v>
      </c>
      <c r="G39" s="16"/>
      <c r="H39" s="16" t="s">
        <v>3735</v>
      </c>
      <c r="I39" s="19">
        <v>1999</v>
      </c>
      <c r="J39" s="16" t="s">
        <v>3736</v>
      </c>
      <c r="K39" s="16" t="s">
        <v>146</v>
      </c>
      <c r="L39" s="16" t="s">
        <v>217</v>
      </c>
      <c r="M39" s="16" t="s">
        <v>147</v>
      </c>
    </row>
    <row r="40" spans="1:13" ht="19.5" customHeight="1" x14ac:dyDescent="0.35">
      <c r="A40" s="16" t="s">
        <v>218</v>
      </c>
      <c r="B40" s="16" t="s">
        <v>3753</v>
      </c>
      <c r="C40" s="16" t="s">
        <v>3732</v>
      </c>
      <c r="D40" s="16" t="s">
        <v>143</v>
      </c>
      <c r="E40" s="16" t="s">
        <v>109</v>
      </c>
      <c r="F40" s="16" t="s">
        <v>3733</v>
      </c>
      <c r="G40" s="16" t="s">
        <v>3734</v>
      </c>
      <c r="H40" s="16" t="s">
        <v>3735</v>
      </c>
      <c r="I40" s="19">
        <v>1999</v>
      </c>
      <c r="J40" s="16" t="s">
        <v>3754</v>
      </c>
      <c r="K40" s="16" t="s">
        <v>146</v>
      </c>
      <c r="L40" s="16" t="s">
        <v>219</v>
      </c>
      <c r="M40" s="16" t="s">
        <v>147</v>
      </c>
    </row>
    <row r="41" spans="1:13" ht="19.5" customHeight="1" x14ac:dyDescent="0.35">
      <c r="A41" s="16" t="s">
        <v>220</v>
      </c>
      <c r="B41" s="16" t="s">
        <v>3755</v>
      </c>
      <c r="C41" s="16" t="s">
        <v>3732</v>
      </c>
      <c r="D41" s="16" t="s">
        <v>143</v>
      </c>
      <c r="E41" s="16" t="s">
        <v>109</v>
      </c>
      <c r="F41" s="16" t="s">
        <v>3733</v>
      </c>
      <c r="G41" s="16" t="s">
        <v>3734</v>
      </c>
      <c r="H41" s="16" t="s">
        <v>3735</v>
      </c>
      <c r="I41" s="19">
        <v>1999</v>
      </c>
      <c r="J41" s="16" t="s">
        <v>3747</v>
      </c>
      <c r="K41" s="16" t="s">
        <v>146</v>
      </c>
      <c r="L41" s="16" t="s">
        <v>221</v>
      </c>
      <c r="M41" s="16" t="s">
        <v>147</v>
      </c>
    </row>
    <row r="42" spans="1:13" ht="19.5" customHeight="1" x14ac:dyDescent="0.35">
      <c r="A42" s="16" t="s">
        <v>222</v>
      </c>
      <c r="B42" s="16" t="s">
        <v>3756</v>
      </c>
      <c r="C42" s="16" t="s">
        <v>3732</v>
      </c>
      <c r="D42" s="16" t="s">
        <v>143</v>
      </c>
      <c r="E42" s="16" t="s">
        <v>109</v>
      </c>
      <c r="F42" s="16" t="s">
        <v>3733</v>
      </c>
      <c r="G42" s="16" t="s">
        <v>3734</v>
      </c>
      <c r="H42" s="16" t="s">
        <v>3735</v>
      </c>
      <c r="I42" s="19">
        <v>1999</v>
      </c>
      <c r="J42" s="16" t="s">
        <v>3736</v>
      </c>
      <c r="K42" s="16" t="s">
        <v>146</v>
      </c>
      <c r="L42" s="16" t="s">
        <v>223</v>
      </c>
      <c r="M42" s="16" t="s">
        <v>147</v>
      </c>
    </row>
    <row r="43" spans="1:13" ht="19.5" customHeight="1" x14ac:dyDescent="0.35">
      <c r="A43" s="16" t="s">
        <v>224</v>
      </c>
      <c r="B43" s="16" t="s">
        <v>3757</v>
      </c>
      <c r="C43" s="16" t="s">
        <v>3732</v>
      </c>
      <c r="D43" s="16" t="s">
        <v>143</v>
      </c>
      <c r="E43" s="16" t="s">
        <v>109</v>
      </c>
      <c r="F43" s="16" t="s">
        <v>3733</v>
      </c>
      <c r="G43" s="16" t="s">
        <v>3734</v>
      </c>
      <c r="H43" s="16" t="s">
        <v>3735</v>
      </c>
      <c r="I43" s="19">
        <v>1999</v>
      </c>
      <c r="J43" s="16" t="s">
        <v>3736</v>
      </c>
      <c r="K43" s="16" t="s">
        <v>146</v>
      </c>
      <c r="L43" s="16" t="s">
        <v>225</v>
      </c>
      <c r="M43" s="16" t="s">
        <v>147</v>
      </c>
    </row>
    <row r="44" spans="1:13" ht="19.5" customHeight="1" x14ac:dyDescent="0.35">
      <c r="A44" s="16" t="s">
        <v>226</v>
      </c>
      <c r="B44" s="16" t="s">
        <v>3758</v>
      </c>
      <c r="C44" s="16" t="s">
        <v>3732</v>
      </c>
      <c r="D44" s="16" t="s">
        <v>143</v>
      </c>
      <c r="E44" s="16" t="s">
        <v>109</v>
      </c>
      <c r="F44" s="16" t="s">
        <v>3733</v>
      </c>
      <c r="G44" s="16" t="s">
        <v>3734</v>
      </c>
      <c r="H44" s="16" t="s">
        <v>3735</v>
      </c>
      <c r="I44" s="19">
        <v>1999</v>
      </c>
      <c r="J44" s="16" t="s">
        <v>3736</v>
      </c>
      <c r="K44" s="16" t="s">
        <v>146</v>
      </c>
      <c r="L44" s="16" t="s">
        <v>227</v>
      </c>
      <c r="M44" s="16" t="s">
        <v>147</v>
      </c>
    </row>
    <row r="45" spans="1:13" ht="19.5" customHeight="1" x14ac:dyDescent="0.35">
      <c r="A45" s="16" t="s">
        <v>228</v>
      </c>
      <c r="B45" s="16" t="s">
        <v>3759</v>
      </c>
      <c r="C45" s="16" t="s">
        <v>3732</v>
      </c>
      <c r="D45" s="16" t="s">
        <v>143</v>
      </c>
      <c r="E45" s="16" t="s">
        <v>109</v>
      </c>
      <c r="F45" s="16" t="s">
        <v>3733</v>
      </c>
      <c r="G45" s="16" t="s">
        <v>3734</v>
      </c>
      <c r="H45" s="16" t="s">
        <v>3735</v>
      </c>
      <c r="I45" s="19">
        <v>1999</v>
      </c>
      <c r="J45" s="16" t="s">
        <v>3736</v>
      </c>
      <c r="K45" s="16" t="s">
        <v>146</v>
      </c>
      <c r="L45" s="16" t="s">
        <v>229</v>
      </c>
      <c r="M45" s="16" t="s">
        <v>147</v>
      </c>
    </row>
    <row r="46" spans="1:13" ht="19.5" customHeight="1" x14ac:dyDescent="0.35">
      <c r="A46" s="16" t="s">
        <v>230</v>
      </c>
      <c r="B46" s="16" t="s">
        <v>3760</v>
      </c>
      <c r="C46" s="16" t="s">
        <v>3732</v>
      </c>
      <c r="D46" s="16" t="s">
        <v>143</v>
      </c>
      <c r="E46" s="16" t="s">
        <v>109</v>
      </c>
      <c r="F46" s="16" t="s">
        <v>3733</v>
      </c>
      <c r="G46" s="16" t="s">
        <v>3734</v>
      </c>
      <c r="H46" s="16" t="s">
        <v>3735</v>
      </c>
      <c r="I46" s="19">
        <v>1999</v>
      </c>
      <c r="J46" s="16" t="s">
        <v>3736</v>
      </c>
      <c r="K46" s="16" t="s">
        <v>146</v>
      </c>
      <c r="L46" s="16" t="s">
        <v>231</v>
      </c>
      <c r="M46" s="16" t="s">
        <v>147</v>
      </c>
    </row>
    <row r="47" spans="1:13" ht="19.5" customHeight="1" x14ac:dyDescent="0.35">
      <c r="A47" s="16" t="s">
        <v>232</v>
      </c>
      <c r="B47" s="16" t="s">
        <v>3761</v>
      </c>
      <c r="C47" s="16" t="s">
        <v>3732</v>
      </c>
      <c r="D47" s="16" t="s">
        <v>143</v>
      </c>
      <c r="E47" s="16" t="s">
        <v>109</v>
      </c>
      <c r="F47" s="16" t="s">
        <v>3733</v>
      </c>
      <c r="G47" s="16" t="s">
        <v>3734</v>
      </c>
      <c r="H47" s="16" t="s">
        <v>3735</v>
      </c>
      <c r="I47" s="19">
        <v>1999</v>
      </c>
      <c r="J47" s="16" t="s">
        <v>3736</v>
      </c>
      <c r="K47" s="16" t="s">
        <v>146</v>
      </c>
      <c r="L47" s="16" t="s">
        <v>233</v>
      </c>
      <c r="M47" s="16" t="s">
        <v>147</v>
      </c>
    </row>
    <row r="48" spans="1:13" ht="19.5" customHeight="1" x14ac:dyDescent="0.35">
      <c r="A48" s="16" t="s">
        <v>234</v>
      </c>
      <c r="B48" s="16" t="s">
        <v>3762</v>
      </c>
      <c r="C48" s="16" t="s">
        <v>3732</v>
      </c>
      <c r="D48" s="16" t="s">
        <v>143</v>
      </c>
      <c r="E48" s="16" t="s">
        <v>109</v>
      </c>
      <c r="F48" s="16" t="s">
        <v>3733</v>
      </c>
      <c r="G48" s="16" t="s">
        <v>3734</v>
      </c>
      <c r="H48" s="16" t="s">
        <v>3735</v>
      </c>
      <c r="I48" s="19">
        <v>1999</v>
      </c>
      <c r="J48" s="16" t="s">
        <v>3736</v>
      </c>
      <c r="K48" s="16" t="s">
        <v>146</v>
      </c>
      <c r="L48" s="16" t="s">
        <v>235</v>
      </c>
      <c r="M48" s="16" t="s">
        <v>147</v>
      </c>
    </row>
    <row r="49" spans="1:13" ht="19.5" customHeight="1" x14ac:dyDescent="0.35">
      <c r="A49" s="16" t="s">
        <v>236</v>
      </c>
      <c r="B49" s="16" t="s">
        <v>3763</v>
      </c>
      <c r="C49" s="16" t="s">
        <v>3732</v>
      </c>
      <c r="D49" s="16" t="s">
        <v>143</v>
      </c>
      <c r="E49" s="16" t="s">
        <v>109</v>
      </c>
      <c r="F49" s="16" t="s">
        <v>3733</v>
      </c>
      <c r="G49" s="16" t="s">
        <v>3734</v>
      </c>
      <c r="H49" s="16" t="s">
        <v>3735</v>
      </c>
      <c r="I49" s="19">
        <v>1999</v>
      </c>
      <c r="J49" s="16" t="s">
        <v>3736</v>
      </c>
      <c r="K49" s="16" t="s">
        <v>146</v>
      </c>
      <c r="L49" s="16" t="s">
        <v>237</v>
      </c>
      <c r="M49" s="16" t="s">
        <v>147</v>
      </c>
    </row>
    <row r="50" spans="1:13" ht="19.5" customHeight="1" x14ac:dyDescent="0.35">
      <c r="A50" s="16" t="s">
        <v>238</v>
      </c>
      <c r="B50" s="16" t="s">
        <v>3764</v>
      </c>
      <c r="C50" s="16" t="s">
        <v>3732</v>
      </c>
      <c r="D50" s="16" t="s">
        <v>143</v>
      </c>
      <c r="E50" s="16" t="s">
        <v>109</v>
      </c>
      <c r="F50" s="16" t="s">
        <v>3733</v>
      </c>
      <c r="G50" s="16" t="s">
        <v>3734</v>
      </c>
      <c r="H50" s="16" t="s">
        <v>3735</v>
      </c>
      <c r="I50" s="19">
        <v>1999</v>
      </c>
      <c r="J50" s="16" t="s">
        <v>3736</v>
      </c>
      <c r="K50" s="16" t="s">
        <v>146</v>
      </c>
      <c r="L50" s="16" t="s">
        <v>239</v>
      </c>
      <c r="M50" s="16" t="s">
        <v>147</v>
      </c>
    </row>
    <row r="51" spans="1:13" ht="19.5" customHeight="1" x14ac:dyDescent="0.35">
      <c r="A51" s="16" t="s">
        <v>240</v>
      </c>
      <c r="B51" s="16" t="s">
        <v>3765</v>
      </c>
      <c r="C51" s="16" t="s">
        <v>3732</v>
      </c>
      <c r="D51" s="16" t="s">
        <v>143</v>
      </c>
      <c r="E51" s="16" t="s">
        <v>109</v>
      </c>
      <c r="F51" s="16" t="s">
        <v>3733</v>
      </c>
      <c r="G51" s="16" t="s">
        <v>3734</v>
      </c>
      <c r="H51" s="16" t="s">
        <v>3735</v>
      </c>
      <c r="I51" s="19">
        <v>1999</v>
      </c>
      <c r="J51" s="16" t="s">
        <v>3736</v>
      </c>
      <c r="K51" s="16" t="s">
        <v>146</v>
      </c>
      <c r="L51" s="16" t="s">
        <v>241</v>
      </c>
      <c r="M51" s="16" t="s">
        <v>147</v>
      </c>
    </row>
    <row r="52" spans="1:13" ht="19.5" customHeight="1" x14ac:dyDescent="0.35">
      <c r="A52" s="16" t="s">
        <v>242</v>
      </c>
      <c r="B52" s="16" t="s">
        <v>3766</v>
      </c>
      <c r="C52" s="16" t="s">
        <v>3732</v>
      </c>
      <c r="D52" s="16" t="s">
        <v>143</v>
      </c>
      <c r="E52" s="16" t="s">
        <v>109</v>
      </c>
      <c r="F52" s="16" t="s">
        <v>3733</v>
      </c>
      <c r="G52" s="16" t="s">
        <v>3734</v>
      </c>
      <c r="H52" s="16" t="s">
        <v>3735</v>
      </c>
      <c r="I52" s="19">
        <v>1999</v>
      </c>
      <c r="J52" s="16" t="s">
        <v>3736</v>
      </c>
      <c r="K52" s="16" t="s">
        <v>146</v>
      </c>
      <c r="L52" s="16" t="s">
        <v>243</v>
      </c>
      <c r="M52" s="16" t="s">
        <v>147</v>
      </c>
    </row>
    <row r="53" spans="1:13" ht="19.5" customHeight="1" x14ac:dyDescent="0.35">
      <c r="A53" s="16" t="s">
        <v>244</v>
      </c>
      <c r="B53" s="16" t="s">
        <v>3767</v>
      </c>
      <c r="C53" s="16" t="s">
        <v>3732</v>
      </c>
      <c r="D53" s="16" t="s">
        <v>143</v>
      </c>
      <c r="E53" s="16" t="s">
        <v>109</v>
      </c>
      <c r="F53" s="16" t="s">
        <v>3733</v>
      </c>
      <c r="G53" s="16" t="s">
        <v>3734</v>
      </c>
      <c r="H53" s="16" t="s">
        <v>3735</v>
      </c>
      <c r="I53" s="19">
        <v>1999</v>
      </c>
      <c r="J53" s="16" t="s">
        <v>3747</v>
      </c>
      <c r="K53" s="16" t="s">
        <v>146</v>
      </c>
      <c r="L53" s="16" t="s">
        <v>221</v>
      </c>
      <c r="M53" s="16" t="s">
        <v>147</v>
      </c>
    </row>
    <row r="54" spans="1:13" ht="19.5" customHeight="1" x14ac:dyDescent="0.35">
      <c r="A54" s="16" t="s">
        <v>245</v>
      </c>
      <c r="B54" s="16" t="s">
        <v>3768</v>
      </c>
      <c r="C54" s="16" t="s">
        <v>3732</v>
      </c>
      <c r="D54" s="16" t="s">
        <v>143</v>
      </c>
      <c r="E54" s="16" t="s">
        <v>109</v>
      </c>
      <c r="F54" s="16" t="s">
        <v>3733</v>
      </c>
      <c r="G54" s="16" t="s">
        <v>3734</v>
      </c>
      <c r="H54" s="16" t="s">
        <v>3735</v>
      </c>
      <c r="I54" s="19">
        <v>1999</v>
      </c>
      <c r="J54" s="16" t="s">
        <v>3769</v>
      </c>
      <c r="K54" s="16" t="s">
        <v>146</v>
      </c>
      <c r="L54" s="16" t="s">
        <v>246</v>
      </c>
      <c r="M54" s="16" t="s">
        <v>147</v>
      </c>
    </row>
    <row r="55" spans="1:13" ht="19.5" customHeight="1" x14ac:dyDescent="0.35">
      <c r="A55" s="16" t="s">
        <v>247</v>
      </c>
      <c r="B55" s="16" t="s">
        <v>3770</v>
      </c>
      <c r="C55" s="16" t="s">
        <v>3732</v>
      </c>
      <c r="D55" s="16" t="s">
        <v>143</v>
      </c>
      <c r="E55" s="16" t="s">
        <v>109</v>
      </c>
      <c r="F55" s="16" t="s">
        <v>3733</v>
      </c>
      <c r="G55" s="16" t="s">
        <v>3734</v>
      </c>
      <c r="H55" s="16" t="s">
        <v>3735</v>
      </c>
      <c r="I55" s="19">
        <v>1999</v>
      </c>
      <c r="J55" s="16" t="s">
        <v>3736</v>
      </c>
      <c r="K55" s="16" t="s">
        <v>146</v>
      </c>
      <c r="L55" s="16" t="s">
        <v>248</v>
      </c>
      <c r="M55" s="16" t="s">
        <v>147</v>
      </c>
    </row>
    <row r="56" spans="1:13" ht="19.5" customHeight="1" x14ac:dyDescent="0.35">
      <c r="A56" s="16" t="s">
        <v>249</v>
      </c>
      <c r="B56" s="16" t="s">
        <v>3771</v>
      </c>
      <c r="C56" s="16" t="s">
        <v>3732</v>
      </c>
      <c r="D56" s="16" t="s">
        <v>143</v>
      </c>
      <c r="E56" s="16" t="s">
        <v>109</v>
      </c>
      <c r="F56" s="16" t="s">
        <v>3733</v>
      </c>
      <c r="G56" s="16" t="s">
        <v>3734</v>
      </c>
      <c r="H56" s="16" t="s">
        <v>3735</v>
      </c>
      <c r="I56" s="19">
        <v>1999</v>
      </c>
      <c r="J56" s="16" t="s">
        <v>3736</v>
      </c>
      <c r="K56" s="16" t="s">
        <v>146</v>
      </c>
      <c r="L56" s="16" t="s">
        <v>250</v>
      </c>
      <c r="M56" s="16" t="s">
        <v>147</v>
      </c>
    </row>
    <row r="57" spans="1:13" ht="19.5" customHeight="1" x14ac:dyDescent="0.35">
      <c r="A57" s="16" t="s">
        <v>251</v>
      </c>
      <c r="B57" s="16" t="s">
        <v>3772</v>
      </c>
      <c r="C57" s="16" t="s">
        <v>3732</v>
      </c>
      <c r="D57" s="16" t="s">
        <v>143</v>
      </c>
      <c r="E57" s="16" t="s">
        <v>109</v>
      </c>
      <c r="F57" s="16" t="s">
        <v>3733</v>
      </c>
      <c r="G57" s="16" t="s">
        <v>3734</v>
      </c>
      <c r="H57" s="16" t="s">
        <v>3735</v>
      </c>
      <c r="I57" s="19">
        <v>1999</v>
      </c>
      <c r="J57" s="16" t="s">
        <v>3736</v>
      </c>
      <c r="K57" s="16" t="s">
        <v>146</v>
      </c>
      <c r="L57" s="16" t="s">
        <v>252</v>
      </c>
      <c r="M57" s="16" t="s">
        <v>147</v>
      </c>
    </row>
    <row r="58" spans="1:13" ht="19.5" customHeight="1" x14ac:dyDescent="0.35">
      <c r="A58" s="16" t="s">
        <v>253</v>
      </c>
      <c r="B58" s="16" t="s">
        <v>3773</v>
      </c>
      <c r="C58" s="16" t="s">
        <v>3732</v>
      </c>
      <c r="D58" s="16" t="s">
        <v>143</v>
      </c>
      <c r="E58" s="16" t="s">
        <v>109</v>
      </c>
      <c r="F58" s="16" t="s">
        <v>3733</v>
      </c>
      <c r="G58" s="16" t="s">
        <v>3734</v>
      </c>
      <c r="H58" s="16" t="s">
        <v>3735</v>
      </c>
      <c r="I58" s="19">
        <v>1999</v>
      </c>
      <c r="J58" s="16" t="s">
        <v>3736</v>
      </c>
      <c r="K58" s="16" t="s">
        <v>146</v>
      </c>
      <c r="L58" s="16" t="s">
        <v>254</v>
      </c>
      <c r="M58" s="16" t="s">
        <v>147</v>
      </c>
    </row>
    <row r="59" spans="1:13" ht="19.5" customHeight="1" x14ac:dyDescent="0.35">
      <c r="A59" s="16" t="s">
        <v>255</v>
      </c>
      <c r="B59" s="16" t="s">
        <v>3774</v>
      </c>
      <c r="C59" s="16" t="s">
        <v>3732</v>
      </c>
      <c r="D59" s="16" t="s">
        <v>143</v>
      </c>
      <c r="E59" s="16" t="s">
        <v>109</v>
      </c>
      <c r="F59" s="16" t="s">
        <v>3733</v>
      </c>
      <c r="G59" s="16" t="s">
        <v>3734</v>
      </c>
      <c r="H59" s="16" t="s">
        <v>3735</v>
      </c>
      <c r="I59" s="19">
        <v>1999</v>
      </c>
      <c r="J59" s="16" t="s">
        <v>3736</v>
      </c>
      <c r="K59" s="16" t="s">
        <v>146</v>
      </c>
      <c r="L59" s="16" t="s">
        <v>256</v>
      </c>
      <c r="M59" s="16" t="s">
        <v>147</v>
      </c>
    </row>
    <row r="60" spans="1:13" ht="19.5" customHeight="1" x14ac:dyDescent="0.35">
      <c r="A60" s="16" t="s">
        <v>257</v>
      </c>
      <c r="B60" s="16" t="s">
        <v>3775</v>
      </c>
      <c r="C60" s="16" t="s">
        <v>3732</v>
      </c>
      <c r="D60" s="16" t="s">
        <v>143</v>
      </c>
      <c r="E60" s="16" t="s">
        <v>109</v>
      </c>
      <c r="F60" s="16" t="s">
        <v>3733</v>
      </c>
      <c r="G60" s="16" t="s">
        <v>3734</v>
      </c>
      <c r="H60" s="16" t="s">
        <v>3735</v>
      </c>
      <c r="I60" s="19">
        <v>1999</v>
      </c>
      <c r="J60" s="16" t="s">
        <v>3776</v>
      </c>
      <c r="K60" s="16" t="s">
        <v>259</v>
      </c>
      <c r="L60" s="16" t="s">
        <v>260</v>
      </c>
      <c r="M60" s="16" t="s">
        <v>147</v>
      </c>
    </row>
    <row r="61" spans="1:13" ht="19.5" customHeight="1" x14ac:dyDescent="0.35">
      <c r="A61" s="16" t="s">
        <v>261</v>
      </c>
      <c r="B61" s="16" t="s">
        <v>3777</v>
      </c>
      <c r="C61" s="16" t="s">
        <v>3732</v>
      </c>
      <c r="D61" s="16" t="s">
        <v>143</v>
      </c>
      <c r="E61" s="16" t="s">
        <v>109</v>
      </c>
      <c r="F61" s="16" t="s">
        <v>3733</v>
      </c>
      <c r="G61" s="16" t="s">
        <v>3734</v>
      </c>
      <c r="H61" s="16" t="s">
        <v>3735</v>
      </c>
      <c r="I61" s="19">
        <v>1999</v>
      </c>
      <c r="J61" s="16" t="s">
        <v>3776</v>
      </c>
      <c r="K61" s="16" t="s">
        <v>259</v>
      </c>
      <c r="L61" s="16" t="s">
        <v>262</v>
      </c>
      <c r="M61" s="16" t="s">
        <v>147</v>
      </c>
    </row>
    <row r="62" spans="1:13" ht="19.5" customHeight="1" x14ac:dyDescent="0.35">
      <c r="A62" s="16" t="s">
        <v>263</v>
      </c>
      <c r="B62" s="16" t="s">
        <v>3778</v>
      </c>
      <c r="C62" s="16" t="s">
        <v>3732</v>
      </c>
      <c r="D62" s="16" t="s">
        <v>143</v>
      </c>
      <c r="E62" s="16" t="s">
        <v>109</v>
      </c>
      <c r="F62" s="16" t="s">
        <v>3733</v>
      </c>
      <c r="G62" s="16" t="s">
        <v>3734</v>
      </c>
      <c r="H62" s="16" t="s">
        <v>3735</v>
      </c>
      <c r="I62" s="19">
        <v>1999</v>
      </c>
      <c r="J62" s="16" t="s">
        <v>3779</v>
      </c>
      <c r="K62" s="16" t="s">
        <v>146</v>
      </c>
      <c r="L62" s="16" t="s">
        <v>264</v>
      </c>
      <c r="M62" s="16" t="s">
        <v>147</v>
      </c>
    </row>
    <row r="63" spans="1:13" ht="19.5" customHeight="1" x14ac:dyDescent="0.35">
      <c r="A63" s="16" t="s">
        <v>265</v>
      </c>
      <c r="B63" s="16" t="s">
        <v>3780</v>
      </c>
      <c r="C63" s="16" t="s">
        <v>3732</v>
      </c>
      <c r="D63" s="16" t="s">
        <v>143</v>
      </c>
      <c r="E63" s="16" t="s">
        <v>109</v>
      </c>
      <c r="F63" s="16" t="s">
        <v>3733</v>
      </c>
      <c r="G63" s="16" t="s">
        <v>3734</v>
      </c>
      <c r="H63" s="16" t="s">
        <v>3735</v>
      </c>
      <c r="I63" s="19">
        <v>1999</v>
      </c>
      <c r="J63" s="16" t="s">
        <v>3736</v>
      </c>
      <c r="K63" s="16" t="s">
        <v>259</v>
      </c>
      <c r="L63" s="16" t="s">
        <v>266</v>
      </c>
      <c r="M63" s="16" t="s">
        <v>147</v>
      </c>
    </row>
    <row r="64" spans="1:13" ht="19.5" customHeight="1" x14ac:dyDescent="0.35">
      <c r="A64" s="16" t="s">
        <v>267</v>
      </c>
      <c r="B64" s="16" t="s">
        <v>3781</v>
      </c>
      <c r="C64" s="16" t="s">
        <v>3732</v>
      </c>
      <c r="D64" s="16" t="s">
        <v>143</v>
      </c>
      <c r="E64" s="16" t="s">
        <v>109</v>
      </c>
      <c r="F64" s="16" t="s">
        <v>3733</v>
      </c>
      <c r="G64" s="16" t="s">
        <v>3734</v>
      </c>
      <c r="H64" s="16" t="s">
        <v>3735</v>
      </c>
      <c r="I64" s="19">
        <v>1999</v>
      </c>
      <c r="J64" s="16" t="s">
        <v>3736</v>
      </c>
      <c r="K64" s="16" t="s">
        <v>158</v>
      </c>
      <c r="L64" s="16" t="s">
        <v>268</v>
      </c>
      <c r="M64" s="16" t="s">
        <v>147</v>
      </c>
    </row>
    <row r="65" spans="1:13" ht="19.5" customHeight="1" x14ac:dyDescent="0.35">
      <c r="A65" s="16" t="s">
        <v>269</v>
      </c>
      <c r="B65" s="16" t="s">
        <v>3782</v>
      </c>
      <c r="C65" s="16" t="s">
        <v>3732</v>
      </c>
      <c r="D65" s="16" t="s">
        <v>143</v>
      </c>
      <c r="E65" s="16" t="s">
        <v>109</v>
      </c>
      <c r="F65" s="16" t="s">
        <v>3733</v>
      </c>
      <c r="G65" s="16" t="s">
        <v>3734</v>
      </c>
      <c r="H65" s="16" t="s">
        <v>3735</v>
      </c>
      <c r="I65" s="19">
        <v>1999</v>
      </c>
      <c r="J65" s="16" t="s">
        <v>3736</v>
      </c>
      <c r="K65" s="16" t="s">
        <v>158</v>
      </c>
      <c r="L65" s="16" t="s">
        <v>270</v>
      </c>
      <c r="M65" s="16" t="s">
        <v>147</v>
      </c>
    </row>
    <row r="66" spans="1:13" ht="19.5" customHeight="1" x14ac:dyDescent="0.35">
      <c r="A66" s="16" t="s">
        <v>271</v>
      </c>
      <c r="B66" s="16" t="s">
        <v>3783</v>
      </c>
      <c r="C66" s="16" t="s">
        <v>3732</v>
      </c>
      <c r="D66" s="16" t="s">
        <v>143</v>
      </c>
      <c r="E66" s="16" t="s">
        <v>109</v>
      </c>
      <c r="F66" s="16" t="s">
        <v>3733</v>
      </c>
      <c r="G66" s="16" t="s">
        <v>3734</v>
      </c>
      <c r="H66" s="16" t="s">
        <v>3735</v>
      </c>
      <c r="I66" s="19">
        <v>1999</v>
      </c>
      <c r="J66" s="16" t="s">
        <v>3736</v>
      </c>
      <c r="K66" s="16" t="s">
        <v>158</v>
      </c>
      <c r="L66" s="16" t="s">
        <v>272</v>
      </c>
      <c r="M66" s="16" t="s">
        <v>147</v>
      </c>
    </row>
    <row r="67" spans="1:13" ht="19.5" customHeight="1" x14ac:dyDescent="0.35">
      <c r="A67" s="16" t="s">
        <v>273</v>
      </c>
      <c r="B67" s="16" t="s">
        <v>3784</v>
      </c>
      <c r="C67" s="16" t="s">
        <v>3732</v>
      </c>
      <c r="D67" s="16" t="s">
        <v>143</v>
      </c>
      <c r="E67" s="16" t="s">
        <v>109</v>
      </c>
      <c r="F67" s="16" t="s">
        <v>3733</v>
      </c>
      <c r="G67" s="16" t="s">
        <v>3734</v>
      </c>
      <c r="H67" s="16" t="s">
        <v>3735</v>
      </c>
      <c r="I67" s="19">
        <v>1999</v>
      </c>
      <c r="J67" s="16" t="s">
        <v>3736</v>
      </c>
      <c r="K67" s="16" t="s">
        <v>146</v>
      </c>
      <c r="L67" s="16" t="s">
        <v>274</v>
      </c>
      <c r="M67" s="16" t="s">
        <v>147</v>
      </c>
    </row>
    <row r="68" spans="1:13" ht="19.5" customHeight="1" x14ac:dyDescent="0.35">
      <c r="A68" s="16" t="s">
        <v>275</v>
      </c>
      <c r="B68" s="16" t="s">
        <v>3785</v>
      </c>
      <c r="C68" s="16" t="s">
        <v>3732</v>
      </c>
      <c r="D68" s="16" t="s">
        <v>143</v>
      </c>
      <c r="E68" s="16" t="s">
        <v>109</v>
      </c>
      <c r="F68" s="16" t="s">
        <v>3733</v>
      </c>
      <c r="G68" s="16" t="s">
        <v>3734</v>
      </c>
      <c r="H68" s="16" t="s">
        <v>3735</v>
      </c>
      <c r="I68" s="19">
        <v>1999</v>
      </c>
      <c r="J68" s="16" t="s">
        <v>3736</v>
      </c>
      <c r="K68" s="16" t="s">
        <v>146</v>
      </c>
      <c r="L68" s="16" t="s">
        <v>276</v>
      </c>
      <c r="M68" s="16" t="s">
        <v>147</v>
      </c>
    </row>
    <row r="69" spans="1:13" ht="19.5" customHeight="1" x14ac:dyDescent="0.35">
      <c r="A69" s="16" t="s">
        <v>277</v>
      </c>
      <c r="B69" s="16" t="s">
        <v>3786</v>
      </c>
      <c r="C69" s="16" t="s">
        <v>3732</v>
      </c>
      <c r="D69" s="16" t="s">
        <v>143</v>
      </c>
      <c r="E69" s="16" t="s">
        <v>109</v>
      </c>
      <c r="F69" s="16" t="s">
        <v>3733</v>
      </c>
      <c r="G69" s="16" t="s">
        <v>3734</v>
      </c>
      <c r="H69" s="16" t="s">
        <v>3735</v>
      </c>
      <c r="I69" s="19">
        <v>1999</v>
      </c>
      <c r="J69" s="16" t="s">
        <v>3736</v>
      </c>
      <c r="K69" s="16" t="s">
        <v>146</v>
      </c>
      <c r="L69" s="16" t="s">
        <v>278</v>
      </c>
      <c r="M69" s="16" t="s">
        <v>147</v>
      </c>
    </row>
    <row r="70" spans="1:13" ht="19.5" customHeight="1" x14ac:dyDescent="0.35">
      <c r="A70" s="16" t="s">
        <v>279</v>
      </c>
      <c r="B70" s="16" t="s">
        <v>3787</v>
      </c>
      <c r="C70" s="16" t="s">
        <v>3732</v>
      </c>
      <c r="D70" s="16" t="s">
        <v>143</v>
      </c>
      <c r="E70" s="16" t="s">
        <v>109</v>
      </c>
      <c r="F70" s="16" t="s">
        <v>3733</v>
      </c>
      <c r="G70" s="16" t="s">
        <v>3734</v>
      </c>
      <c r="H70" s="16" t="s">
        <v>3735</v>
      </c>
      <c r="I70" s="19">
        <v>1999</v>
      </c>
      <c r="J70" s="16" t="s">
        <v>3736</v>
      </c>
      <c r="K70" s="16" t="s">
        <v>146</v>
      </c>
      <c r="L70" s="16" t="s">
        <v>280</v>
      </c>
      <c r="M70" s="16" t="s">
        <v>147</v>
      </c>
    </row>
    <row r="71" spans="1:13" ht="19.5" customHeight="1" x14ac:dyDescent="0.35">
      <c r="A71" s="16" t="s">
        <v>281</v>
      </c>
      <c r="B71" s="16" t="s">
        <v>3788</v>
      </c>
      <c r="C71" s="16" t="s">
        <v>3732</v>
      </c>
      <c r="D71" s="16" t="s">
        <v>143</v>
      </c>
      <c r="E71" s="16" t="s">
        <v>109</v>
      </c>
      <c r="F71" s="16" t="s">
        <v>3733</v>
      </c>
      <c r="G71" s="16" t="s">
        <v>3734</v>
      </c>
      <c r="H71" s="16" t="s">
        <v>3789</v>
      </c>
      <c r="I71" s="19">
        <v>2000</v>
      </c>
      <c r="J71" s="16" t="s">
        <v>3779</v>
      </c>
      <c r="K71" s="16" t="s">
        <v>146</v>
      </c>
      <c r="L71" s="16" t="s">
        <v>282</v>
      </c>
      <c r="M71" s="16" t="s">
        <v>147</v>
      </c>
    </row>
    <row r="72" spans="1:13" ht="19.5" customHeight="1" x14ac:dyDescent="0.35">
      <c r="A72" s="16" t="s">
        <v>283</v>
      </c>
      <c r="B72" s="16" t="s">
        <v>3790</v>
      </c>
      <c r="C72" s="16" t="s">
        <v>3732</v>
      </c>
      <c r="D72" s="16" t="s">
        <v>143</v>
      </c>
      <c r="E72" s="16" t="s">
        <v>109</v>
      </c>
      <c r="F72" s="16" t="s">
        <v>3733</v>
      </c>
      <c r="G72" s="16" t="s">
        <v>3734</v>
      </c>
      <c r="H72" s="16" t="s">
        <v>3789</v>
      </c>
      <c r="I72" s="19">
        <v>2000</v>
      </c>
      <c r="J72" s="16" t="s">
        <v>3779</v>
      </c>
      <c r="K72" s="16" t="s">
        <v>146</v>
      </c>
      <c r="L72" s="16" t="s">
        <v>284</v>
      </c>
      <c r="M72" s="16" t="s">
        <v>147</v>
      </c>
    </row>
    <row r="73" spans="1:13" ht="19.5" customHeight="1" x14ac:dyDescent="0.35">
      <c r="A73" s="16" t="s">
        <v>285</v>
      </c>
      <c r="B73" s="16" t="s">
        <v>3791</v>
      </c>
      <c r="C73" s="16" t="s">
        <v>3732</v>
      </c>
      <c r="D73" s="16" t="s">
        <v>143</v>
      </c>
      <c r="E73" s="16" t="s">
        <v>109</v>
      </c>
      <c r="F73" s="16" t="s">
        <v>3792</v>
      </c>
      <c r="G73" s="16" t="s">
        <v>3734</v>
      </c>
      <c r="H73" s="16" t="s">
        <v>3789</v>
      </c>
      <c r="I73" s="19">
        <v>2000</v>
      </c>
      <c r="J73" s="16" t="s">
        <v>3779</v>
      </c>
      <c r="K73" s="16" t="s">
        <v>146</v>
      </c>
      <c r="L73" s="16" t="s">
        <v>286</v>
      </c>
      <c r="M73" s="16" t="s">
        <v>147</v>
      </c>
    </row>
    <row r="74" spans="1:13" ht="19.5" customHeight="1" x14ac:dyDescent="0.35">
      <c r="A74" s="16" t="s">
        <v>287</v>
      </c>
      <c r="B74" s="16" t="s">
        <v>3793</v>
      </c>
      <c r="C74" s="16" t="s">
        <v>3732</v>
      </c>
      <c r="D74" s="16" t="s">
        <v>143</v>
      </c>
      <c r="E74" s="16" t="s">
        <v>109</v>
      </c>
      <c r="F74" s="16" t="s">
        <v>3733</v>
      </c>
      <c r="G74" s="16" t="s">
        <v>3734</v>
      </c>
      <c r="H74" s="16" t="s">
        <v>3789</v>
      </c>
      <c r="I74" s="19">
        <v>2000</v>
      </c>
      <c r="J74" s="16" t="s">
        <v>3776</v>
      </c>
      <c r="K74" s="16" t="s">
        <v>259</v>
      </c>
      <c r="L74" s="16" t="s">
        <v>262</v>
      </c>
      <c r="M74" s="16" t="s">
        <v>147</v>
      </c>
    </row>
    <row r="75" spans="1:13" ht="19.5" customHeight="1" x14ac:dyDescent="0.35">
      <c r="A75" s="16" t="s">
        <v>288</v>
      </c>
      <c r="B75" s="16" t="s">
        <v>3794</v>
      </c>
      <c r="C75" s="16" t="s">
        <v>3732</v>
      </c>
      <c r="D75" s="16" t="s">
        <v>143</v>
      </c>
      <c r="E75" s="16" t="s">
        <v>109</v>
      </c>
      <c r="F75" s="16" t="s">
        <v>3733</v>
      </c>
      <c r="G75" s="16" t="s">
        <v>3734</v>
      </c>
      <c r="H75" s="16" t="s">
        <v>3789</v>
      </c>
      <c r="I75" s="19">
        <v>2000</v>
      </c>
      <c r="J75" s="16" t="s">
        <v>3776</v>
      </c>
      <c r="K75" s="16" t="s">
        <v>259</v>
      </c>
      <c r="L75" s="16" t="s">
        <v>260</v>
      </c>
      <c r="M75" s="16" t="s">
        <v>147</v>
      </c>
    </row>
    <row r="76" spans="1:13" ht="19.5" customHeight="1" x14ac:dyDescent="0.35">
      <c r="A76" s="16" t="s">
        <v>289</v>
      </c>
      <c r="B76" s="16" t="s">
        <v>3795</v>
      </c>
      <c r="C76" s="16" t="s">
        <v>3732</v>
      </c>
      <c r="D76" s="16" t="s">
        <v>143</v>
      </c>
      <c r="E76" s="16" t="s">
        <v>109</v>
      </c>
      <c r="F76" s="16" t="s">
        <v>3733</v>
      </c>
      <c r="G76" s="16" t="s">
        <v>3734</v>
      </c>
      <c r="H76" s="16" t="s">
        <v>3789</v>
      </c>
      <c r="I76" s="19">
        <v>2000</v>
      </c>
      <c r="J76" s="16" t="s">
        <v>3776</v>
      </c>
      <c r="K76" s="16" t="s">
        <v>146</v>
      </c>
      <c r="L76" s="16" t="s">
        <v>290</v>
      </c>
      <c r="M76" s="16" t="s">
        <v>147</v>
      </c>
    </row>
    <row r="77" spans="1:13" ht="19.5" customHeight="1" x14ac:dyDescent="0.35">
      <c r="A77" s="16" t="s">
        <v>291</v>
      </c>
      <c r="B77" s="16" t="s">
        <v>3796</v>
      </c>
      <c r="C77" s="16" t="s">
        <v>3732</v>
      </c>
      <c r="D77" s="16" t="s">
        <v>143</v>
      </c>
      <c r="E77" s="16" t="s">
        <v>109</v>
      </c>
      <c r="F77" s="16" t="s">
        <v>3733</v>
      </c>
      <c r="G77" s="16" t="s">
        <v>3734</v>
      </c>
      <c r="H77" s="16" t="s">
        <v>3789</v>
      </c>
      <c r="I77" s="19">
        <v>2000</v>
      </c>
      <c r="J77" s="16" t="s">
        <v>3797</v>
      </c>
      <c r="K77" s="16" t="s">
        <v>146</v>
      </c>
      <c r="L77" s="16" t="s">
        <v>292</v>
      </c>
      <c r="M77" s="16" t="s">
        <v>147</v>
      </c>
    </row>
    <row r="78" spans="1:13" ht="19.5" customHeight="1" x14ac:dyDescent="0.35">
      <c r="A78" s="16" t="s">
        <v>293</v>
      </c>
      <c r="B78" s="16" t="s">
        <v>3798</v>
      </c>
      <c r="C78" s="16" t="s">
        <v>3732</v>
      </c>
      <c r="D78" s="16" t="s">
        <v>143</v>
      </c>
      <c r="E78" s="16" t="s">
        <v>109</v>
      </c>
      <c r="F78" s="16" t="s">
        <v>3733</v>
      </c>
      <c r="G78" s="16" t="s">
        <v>3734</v>
      </c>
      <c r="H78" s="16" t="s">
        <v>3789</v>
      </c>
      <c r="I78" s="19">
        <v>2000</v>
      </c>
      <c r="J78" s="16" t="s">
        <v>3779</v>
      </c>
      <c r="K78" s="16" t="s">
        <v>146</v>
      </c>
      <c r="L78" s="16" t="s">
        <v>294</v>
      </c>
      <c r="M78" s="16" t="s">
        <v>147</v>
      </c>
    </row>
    <row r="79" spans="1:13" ht="19.5" customHeight="1" x14ac:dyDescent="0.35">
      <c r="A79" s="16" t="s">
        <v>295</v>
      </c>
      <c r="B79" s="16" t="s">
        <v>3799</v>
      </c>
      <c r="C79" s="16" t="s">
        <v>3732</v>
      </c>
      <c r="D79" s="16" t="s">
        <v>143</v>
      </c>
      <c r="E79" s="16" t="s">
        <v>109</v>
      </c>
      <c r="F79" s="16" t="s">
        <v>3733</v>
      </c>
      <c r="G79" s="16" t="s">
        <v>3734</v>
      </c>
      <c r="H79" s="16" t="s">
        <v>3789</v>
      </c>
      <c r="I79" s="19">
        <v>2000</v>
      </c>
      <c r="J79" s="16" t="s">
        <v>3779</v>
      </c>
      <c r="K79" s="16" t="s">
        <v>259</v>
      </c>
      <c r="L79" s="16" t="s">
        <v>296</v>
      </c>
      <c r="M79" s="16" t="s">
        <v>147</v>
      </c>
    </row>
    <row r="80" spans="1:13" ht="19.5" customHeight="1" x14ac:dyDescent="0.35">
      <c r="A80" s="16" t="s">
        <v>297</v>
      </c>
      <c r="B80" s="16" t="s">
        <v>3800</v>
      </c>
      <c r="C80" s="16" t="s">
        <v>3732</v>
      </c>
      <c r="D80" s="16" t="s">
        <v>143</v>
      </c>
      <c r="E80" s="16" t="s">
        <v>109</v>
      </c>
      <c r="F80" s="16" t="s">
        <v>3733</v>
      </c>
      <c r="G80" s="16" t="s">
        <v>3734</v>
      </c>
      <c r="H80" s="16" t="s">
        <v>3789</v>
      </c>
      <c r="I80" s="19">
        <v>2000</v>
      </c>
      <c r="J80" s="16" t="s">
        <v>3736</v>
      </c>
      <c r="K80" s="16" t="s">
        <v>146</v>
      </c>
      <c r="L80" s="16" t="s">
        <v>298</v>
      </c>
      <c r="M80" s="16" t="s">
        <v>147</v>
      </c>
    </row>
    <row r="81" spans="1:13" ht="19.5" customHeight="1" x14ac:dyDescent="0.35">
      <c r="A81" s="16" t="s">
        <v>299</v>
      </c>
      <c r="B81" s="16" t="s">
        <v>3801</v>
      </c>
      <c r="C81" s="16" t="s">
        <v>3732</v>
      </c>
      <c r="D81" s="16" t="s">
        <v>143</v>
      </c>
      <c r="E81" s="16" t="s">
        <v>109</v>
      </c>
      <c r="F81" s="16" t="s">
        <v>3733</v>
      </c>
      <c r="G81" s="16" t="s">
        <v>3734</v>
      </c>
      <c r="H81" s="16" t="s">
        <v>3789</v>
      </c>
      <c r="I81" s="19">
        <v>2000</v>
      </c>
      <c r="J81" s="16" t="s">
        <v>3736</v>
      </c>
      <c r="K81" s="16" t="s">
        <v>146</v>
      </c>
      <c r="L81" s="16" t="s">
        <v>298</v>
      </c>
      <c r="M81" s="16" t="s">
        <v>147</v>
      </c>
    </row>
    <row r="82" spans="1:13" ht="19.5" customHeight="1" x14ac:dyDescent="0.35">
      <c r="A82" s="16" t="s">
        <v>300</v>
      </c>
      <c r="B82" s="16" t="s">
        <v>3802</v>
      </c>
      <c r="C82" s="16" t="s">
        <v>3732</v>
      </c>
      <c r="D82" s="16" t="s">
        <v>143</v>
      </c>
      <c r="E82" s="16" t="s">
        <v>109</v>
      </c>
      <c r="F82" s="16" t="s">
        <v>3733</v>
      </c>
      <c r="G82" s="16" t="s">
        <v>3734</v>
      </c>
      <c r="H82" s="16" t="s">
        <v>3789</v>
      </c>
      <c r="I82" s="19">
        <v>2000</v>
      </c>
      <c r="J82" s="16" t="s">
        <v>3736</v>
      </c>
      <c r="K82" s="16" t="s">
        <v>146</v>
      </c>
      <c r="L82" s="16" t="s">
        <v>298</v>
      </c>
      <c r="M82" s="16" t="s">
        <v>147</v>
      </c>
    </row>
    <row r="83" spans="1:13" ht="19.5" customHeight="1" x14ac:dyDescent="0.35">
      <c r="A83" s="16" t="s">
        <v>301</v>
      </c>
      <c r="B83" s="16" t="s">
        <v>3803</v>
      </c>
      <c r="C83" s="16" t="s">
        <v>3732</v>
      </c>
      <c r="D83" s="16" t="s">
        <v>143</v>
      </c>
      <c r="E83" s="16" t="s">
        <v>109</v>
      </c>
      <c r="F83" s="16" t="s">
        <v>3733</v>
      </c>
      <c r="G83" s="16" t="s">
        <v>3734</v>
      </c>
      <c r="H83" s="16" t="s">
        <v>3789</v>
      </c>
      <c r="I83" s="19">
        <v>2000</v>
      </c>
      <c r="J83" s="16" t="s">
        <v>3736</v>
      </c>
      <c r="K83" s="16" t="s">
        <v>158</v>
      </c>
      <c r="L83" s="16" t="s">
        <v>302</v>
      </c>
      <c r="M83" s="16" t="s">
        <v>147</v>
      </c>
    </row>
    <row r="84" spans="1:13" ht="19.5" customHeight="1" x14ac:dyDescent="0.35">
      <c r="A84" s="16" t="s">
        <v>303</v>
      </c>
      <c r="B84" s="16" t="s">
        <v>3804</v>
      </c>
      <c r="C84" s="16" t="s">
        <v>3732</v>
      </c>
      <c r="D84" s="16" t="s">
        <v>143</v>
      </c>
      <c r="E84" s="16" t="s">
        <v>109</v>
      </c>
      <c r="F84" s="16" t="s">
        <v>3733</v>
      </c>
      <c r="G84" s="16" t="s">
        <v>3734</v>
      </c>
      <c r="H84" s="16" t="s">
        <v>3789</v>
      </c>
      <c r="I84" s="19">
        <v>2000</v>
      </c>
      <c r="J84" s="16" t="s">
        <v>3736</v>
      </c>
      <c r="K84" s="16" t="s">
        <v>146</v>
      </c>
      <c r="L84" s="16" t="s">
        <v>304</v>
      </c>
      <c r="M84" s="16" t="s">
        <v>147</v>
      </c>
    </row>
    <row r="85" spans="1:13" ht="19.5" customHeight="1" x14ac:dyDescent="0.35">
      <c r="A85" s="16" t="s">
        <v>305</v>
      </c>
      <c r="B85" s="16" t="s">
        <v>3805</v>
      </c>
      <c r="C85" s="16" t="s">
        <v>3732</v>
      </c>
      <c r="D85" s="16" t="s">
        <v>143</v>
      </c>
      <c r="E85" s="16" t="s">
        <v>109</v>
      </c>
      <c r="F85" s="16" t="s">
        <v>3733</v>
      </c>
      <c r="G85" s="16" t="s">
        <v>3734</v>
      </c>
      <c r="H85" s="16" t="s">
        <v>3789</v>
      </c>
      <c r="I85" s="19">
        <v>2000</v>
      </c>
      <c r="J85" s="16" t="s">
        <v>3736</v>
      </c>
      <c r="K85" s="16" t="s">
        <v>146</v>
      </c>
      <c r="L85" s="16" t="s">
        <v>306</v>
      </c>
      <c r="M85" s="16" t="s">
        <v>147</v>
      </c>
    </row>
    <row r="86" spans="1:13" ht="19.5" customHeight="1" x14ac:dyDescent="0.35">
      <c r="A86" s="16" t="s">
        <v>307</v>
      </c>
      <c r="B86" s="16" t="s">
        <v>3806</v>
      </c>
      <c r="C86" s="16" t="s">
        <v>3732</v>
      </c>
      <c r="D86" s="16" t="s">
        <v>143</v>
      </c>
      <c r="E86" s="16" t="s">
        <v>109</v>
      </c>
      <c r="F86" s="16" t="s">
        <v>3733</v>
      </c>
      <c r="G86" s="16" t="s">
        <v>3734</v>
      </c>
      <c r="H86" s="16" t="s">
        <v>3789</v>
      </c>
      <c r="I86" s="19">
        <v>2000</v>
      </c>
      <c r="J86" s="16" t="s">
        <v>3736</v>
      </c>
      <c r="K86" s="16" t="s">
        <v>146</v>
      </c>
      <c r="L86" s="16" t="s">
        <v>308</v>
      </c>
      <c r="M86" s="16" t="s">
        <v>147</v>
      </c>
    </row>
    <row r="87" spans="1:13" ht="19.5" customHeight="1" x14ac:dyDescent="0.35">
      <c r="A87" s="16" t="s">
        <v>309</v>
      </c>
      <c r="B87" s="16" t="s">
        <v>3807</v>
      </c>
      <c r="C87" s="16" t="s">
        <v>3732</v>
      </c>
      <c r="D87" s="16" t="s">
        <v>143</v>
      </c>
      <c r="E87" s="16" t="s">
        <v>109</v>
      </c>
      <c r="F87" s="16" t="s">
        <v>3733</v>
      </c>
      <c r="G87" s="16" t="s">
        <v>3734</v>
      </c>
      <c r="H87" s="16" t="s">
        <v>3789</v>
      </c>
      <c r="I87" s="19">
        <v>2000</v>
      </c>
      <c r="J87" s="16" t="s">
        <v>3736</v>
      </c>
      <c r="K87" s="16" t="s">
        <v>146</v>
      </c>
      <c r="L87" s="16" t="s">
        <v>310</v>
      </c>
      <c r="M87" s="16" t="s">
        <v>147</v>
      </c>
    </row>
    <row r="88" spans="1:13" ht="19.5" customHeight="1" x14ac:dyDescent="0.35">
      <c r="A88" s="16" t="s">
        <v>311</v>
      </c>
      <c r="B88" s="16" t="s">
        <v>3808</v>
      </c>
      <c r="C88" s="16" t="s">
        <v>3732</v>
      </c>
      <c r="D88" s="16" t="s">
        <v>143</v>
      </c>
      <c r="E88" s="16" t="s">
        <v>109</v>
      </c>
      <c r="F88" s="16" t="s">
        <v>3733</v>
      </c>
      <c r="G88" s="16" t="s">
        <v>3734</v>
      </c>
      <c r="H88" s="16" t="s">
        <v>3789</v>
      </c>
      <c r="I88" s="19">
        <v>2000</v>
      </c>
      <c r="J88" s="16" t="s">
        <v>3736</v>
      </c>
      <c r="K88" s="16" t="s">
        <v>146</v>
      </c>
      <c r="L88" s="16" t="s">
        <v>312</v>
      </c>
      <c r="M88" s="16" t="s">
        <v>147</v>
      </c>
    </row>
    <row r="89" spans="1:13" ht="19.5" customHeight="1" x14ac:dyDescent="0.35">
      <c r="A89" s="16" t="s">
        <v>313</v>
      </c>
      <c r="B89" s="16" t="s">
        <v>3809</v>
      </c>
      <c r="C89" s="16" t="s">
        <v>3732</v>
      </c>
      <c r="D89" s="16" t="s">
        <v>143</v>
      </c>
      <c r="E89" s="16" t="s">
        <v>109</v>
      </c>
      <c r="F89" s="16" t="s">
        <v>3733</v>
      </c>
      <c r="G89" s="16" t="s">
        <v>3734</v>
      </c>
      <c r="H89" s="16" t="s">
        <v>3789</v>
      </c>
      <c r="I89" s="19">
        <v>2000</v>
      </c>
      <c r="J89" s="16" t="s">
        <v>3736</v>
      </c>
      <c r="K89" s="16" t="s">
        <v>146</v>
      </c>
      <c r="L89" s="16" t="s">
        <v>274</v>
      </c>
      <c r="M89" s="16" t="s">
        <v>147</v>
      </c>
    </row>
    <row r="90" spans="1:13" ht="19.5" customHeight="1" x14ac:dyDescent="0.35">
      <c r="A90" s="16" t="s">
        <v>314</v>
      </c>
      <c r="B90" s="16" t="s">
        <v>3810</v>
      </c>
      <c r="C90" s="16" t="s">
        <v>3732</v>
      </c>
      <c r="D90" s="16" t="s">
        <v>143</v>
      </c>
      <c r="E90" s="16" t="s">
        <v>109</v>
      </c>
      <c r="F90" s="16" t="s">
        <v>3733</v>
      </c>
      <c r="G90" s="16" t="s">
        <v>3734</v>
      </c>
      <c r="H90" s="16" t="s">
        <v>3789</v>
      </c>
      <c r="I90" s="19">
        <v>2000</v>
      </c>
      <c r="J90" s="16" t="s">
        <v>3736</v>
      </c>
      <c r="K90" s="16" t="s">
        <v>146</v>
      </c>
      <c r="L90" s="16" t="s">
        <v>315</v>
      </c>
      <c r="M90" s="16" t="s">
        <v>147</v>
      </c>
    </row>
    <row r="91" spans="1:13" ht="19.5" customHeight="1" x14ac:dyDescent="0.35">
      <c r="A91" s="16" t="s">
        <v>316</v>
      </c>
      <c r="B91" s="16" t="s">
        <v>3811</v>
      </c>
      <c r="C91" s="16" t="s">
        <v>3732</v>
      </c>
      <c r="D91" s="16" t="s">
        <v>143</v>
      </c>
      <c r="E91" s="16" t="s">
        <v>109</v>
      </c>
      <c r="F91" s="16" t="s">
        <v>3733</v>
      </c>
      <c r="G91" s="16" t="s">
        <v>3734</v>
      </c>
      <c r="H91" s="16" t="s">
        <v>3789</v>
      </c>
      <c r="I91" s="19">
        <v>2000</v>
      </c>
      <c r="J91" s="16" t="s">
        <v>3754</v>
      </c>
      <c r="K91" s="16" t="s">
        <v>146</v>
      </c>
      <c r="L91" s="16" t="s">
        <v>317</v>
      </c>
      <c r="M91" s="16" t="s">
        <v>147</v>
      </c>
    </row>
    <row r="92" spans="1:13" ht="19.5" customHeight="1" x14ac:dyDescent="0.35">
      <c r="A92" s="16" t="s">
        <v>318</v>
      </c>
      <c r="B92" s="16" t="s">
        <v>3812</v>
      </c>
      <c r="C92" s="16" t="s">
        <v>3732</v>
      </c>
      <c r="D92" s="16" t="s">
        <v>143</v>
      </c>
      <c r="E92" s="16" t="s">
        <v>109</v>
      </c>
      <c r="F92" s="16" t="s">
        <v>3733</v>
      </c>
      <c r="G92" s="16" t="s">
        <v>3734</v>
      </c>
      <c r="H92" s="16" t="s">
        <v>3789</v>
      </c>
      <c r="I92" s="19">
        <v>2000</v>
      </c>
      <c r="J92" s="16" t="s">
        <v>3736</v>
      </c>
      <c r="K92" s="16" t="s">
        <v>146</v>
      </c>
      <c r="L92" s="16" t="s">
        <v>319</v>
      </c>
      <c r="M92" s="16" t="s">
        <v>147</v>
      </c>
    </row>
    <row r="93" spans="1:13" ht="19.5" customHeight="1" x14ac:dyDescent="0.35">
      <c r="A93" s="16" t="s">
        <v>320</v>
      </c>
      <c r="B93" s="16" t="s">
        <v>3813</v>
      </c>
      <c r="C93" s="16" t="s">
        <v>3732</v>
      </c>
      <c r="D93" s="16" t="s">
        <v>143</v>
      </c>
      <c r="E93" s="16" t="s">
        <v>109</v>
      </c>
      <c r="F93" s="16" t="s">
        <v>3733</v>
      </c>
      <c r="G93" s="16" t="s">
        <v>3734</v>
      </c>
      <c r="H93" s="16" t="s">
        <v>3789</v>
      </c>
      <c r="I93" s="19">
        <v>2000</v>
      </c>
      <c r="J93" s="16" t="s">
        <v>3736</v>
      </c>
      <c r="K93" s="16" t="s">
        <v>146</v>
      </c>
      <c r="L93" s="16" t="s">
        <v>321</v>
      </c>
      <c r="M93" s="16" t="s">
        <v>147</v>
      </c>
    </row>
    <row r="94" spans="1:13" ht="19.5" customHeight="1" x14ac:dyDescent="0.35">
      <c r="A94" s="16" t="s">
        <v>322</v>
      </c>
      <c r="B94" s="16" t="s">
        <v>3814</v>
      </c>
      <c r="C94" s="16" t="s">
        <v>3732</v>
      </c>
      <c r="D94" s="16" t="s">
        <v>143</v>
      </c>
      <c r="E94" s="16" t="s">
        <v>109</v>
      </c>
      <c r="F94" s="16" t="s">
        <v>3733</v>
      </c>
      <c r="G94" s="16" t="s">
        <v>3734</v>
      </c>
      <c r="H94" s="16" t="s">
        <v>3789</v>
      </c>
      <c r="I94" s="19">
        <v>2000</v>
      </c>
      <c r="J94" s="16" t="s">
        <v>3736</v>
      </c>
      <c r="K94" s="16" t="s">
        <v>146</v>
      </c>
      <c r="L94" s="16" t="s">
        <v>323</v>
      </c>
      <c r="M94" s="16" t="s">
        <v>147</v>
      </c>
    </row>
    <row r="95" spans="1:13" ht="19.5" customHeight="1" x14ac:dyDescent="0.35">
      <c r="A95" s="16" t="s">
        <v>324</v>
      </c>
      <c r="B95" s="16" t="s">
        <v>3815</v>
      </c>
      <c r="C95" s="16" t="s">
        <v>3732</v>
      </c>
      <c r="D95" s="16" t="s">
        <v>143</v>
      </c>
      <c r="E95" s="16" t="s">
        <v>109</v>
      </c>
      <c r="F95" s="16" t="s">
        <v>3733</v>
      </c>
      <c r="G95" s="16" t="s">
        <v>3734</v>
      </c>
      <c r="H95" s="16" t="s">
        <v>3789</v>
      </c>
      <c r="I95" s="19">
        <v>2000</v>
      </c>
      <c r="J95" s="16" t="s">
        <v>3736</v>
      </c>
      <c r="K95" s="16" t="s">
        <v>146</v>
      </c>
      <c r="L95" s="16" t="s">
        <v>325</v>
      </c>
      <c r="M95" s="16" t="s">
        <v>147</v>
      </c>
    </row>
    <row r="96" spans="1:13" ht="19.5" customHeight="1" x14ac:dyDescent="0.35">
      <c r="A96" s="16" t="s">
        <v>326</v>
      </c>
      <c r="B96" s="16" t="s">
        <v>3816</v>
      </c>
      <c r="C96" s="16" t="s">
        <v>3732</v>
      </c>
      <c r="D96" s="16" t="s">
        <v>143</v>
      </c>
      <c r="E96" s="16" t="s">
        <v>109</v>
      </c>
      <c r="F96" s="16" t="s">
        <v>3733</v>
      </c>
      <c r="G96" s="16" t="s">
        <v>3734</v>
      </c>
      <c r="H96" s="16" t="s">
        <v>3789</v>
      </c>
      <c r="I96" s="19">
        <v>2000</v>
      </c>
      <c r="J96" s="16" t="s">
        <v>3754</v>
      </c>
      <c r="K96" s="16" t="s">
        <v>146</v>
      </c>
      <c r="L96" s="16" t="s">
        <v>327</v>
      </c>
      <c r="M96" s="16" t="s">
        <v>147</v>
      </c>
    </row>
    <row r="97" spans="1:13" ht="19.5" customHeight="1" x14ac:dyDescent="0.35">
      <c r="A97" s="16" t="s">
        <v>328</v>
      </c>
      <c r="B97" s="16" t="s">
        <v>3817</v>
      </c>
      <c r="C97" s="16" t="s">
        <v>3732</v>
      </c>
      <c r="D97" s="16" t="s">
        <v>143</v>
      </c>
      <c r="E97" s="16" t="s">
        <v>109</v>
      </c>
      <c r="F97" s="16" t="s">
        <v>3733</v>
      </c>
      <c r="G97" s="16" t="s">
        <v>3734</v>
      </c>
      <c r="H97" s="16" t="s">
        <v>3789</v>
      </c>
      <c r="I97" s="19">
        <v>2000</v>
      </c>
      <c r="J97" s="16" t="s">
        <v>3736</v>
      </c>
      <c r="K97" s="16" t="s">
        <v>146</v>
      </c>
      <c r="L97" s="16" t="s">
        <v>329</v>
      </c>
      <c r="M97" s="16" t="s">
        <v>147</v>
      </c>
    </row>
    <row r="98" spans="1:13" ht="19.5" customHeight="1" x14ac:dyDescent="0.35">
      <c r="A98" s="16" t="s">
        <v>330</v>
      </c>
      <c r="B98" s="16" t="s">
        <v>3818</v>
      </c>
      <c r="C98" s="16" t="s">
        <v>3732</v>
      </c>
      <c r="D98" s="16" t="s">
        <v>143</v>
      </c>
      <c r="E98" s="16" t="s">
        <v>109</v>
      </c>
      <c r="F98" s="16" t="s">
        <v>3733</v>
      </c>
      <c r="G98" s="16" t="s">
        <v>3734</v>
      </c>
      <c r="H98" s="16" t="s">
        <v>3789</v>
      </c>
      <c r="I98" s="19">
        <v>2000</v>
      </c>
      <c r="J98" s="16" t="s">
        <v>3736</v>
      </c>
      <c r="K98" s="16" t="s">
        <v>146</v>
      </c>
      <c r="L98" s="16" t="s">
        <v>329</v>
      </c>
      <c r="M98" s="16" t="s">
        <v>147</v>
      </c>
    </row>
    <row r="99" spans="1:13" ht="19.5" customHeight="1" x14ac:dyDescent="0.35">
      <c r="A99" s="16" t="s">
        <v>331</v>
      </c>
      <c r="B99" s="16" t="s">
        <v>3819</v>
      </c>
      <c r="C99" s="16" t="s">
        <v>3732</v>
      </c>
      <c r="D99" s="16" t="s">
        <v>143</v>
      </c>
      <c r="E99" s="16" t="s">
        <v>109</v>
      </c>
      <c r="F99" s="16" t="s">
        <v>3733</v>
      </c>
      <c r="G99" s="16" t="s">
        <v>3734</v>
      </c>
      <c r="H99" s="16" t="s">
        <v>3789</v>
      </c>
      <c r="I99" s="19">
        <v>2000</v>
      </c>
      <c r="J99" s="16" t="s">
        <v>3736</v>
      </c>
      <c r="K99" s="16" t="s">
        <v>146</v>
      </c>
      <c r="L99" s="16" t="s">
        <v>332</v>
      </c>
      <c r="M99" s="16" t="s">
        <v>147</v>
      </c>
    </row>
    <row r="100" spans="1:13" ht="19.5" customHeight="1" x14ac:dyDescent="0.35">
      <c r="A100" s="16" t="s">
        <v>333</v>
      </c>
      <c r="B100" s="16" t="s">
        <v>3820</v>
      </c>
      <c r="C100" s="16" t="s">
        <v>3732</v>
      </c>
      <c r="D100" s="16" t="s">
        <v>143</v>
      </c>
      <c r="E100" s="16" t="s">
        <v>109</v>
      </c>
      <c r="F100" s="16" t="s">
        <v>3733</v>
      </c>
      <c r="G100" s="16" t="s">
        <v>3734</v>
      </c>
      <c r="H100" s="16" t="s">
        <v>3789</v>
      </c>
      <c r="I100" s="19">
        <v>2000</v>
      </c>
      <c r="J100" s="16" t="s">
        <v>3747</v>
      </c>
      <c r="K100" s="16" t="s">
        <v>146</v>
      </c>
      <c r="L100" s="16" t="s">
        <v>334</v>
      </c>
      <c r="M100" s="16" t="s">
        <v>147</v>
      </c>
    </row>
    <row r="101" spans="1:13" ht="19.5" customHeight="1" x14ac:dyDescent="0.35">
      <c r="A101" s="16" t="s">
        <v>335</v>
      </c>
      <c r="B101" s="16" t="s">
        <v>3821</v>
      </c>
      <c r="C101" s="16" t="s">
        <v>3732</v>
      </c>
      <c r="D101" s="16" t="s">
        <v>143</v>
      </c>
      <c r="E101" s="16" t="s">
        <v>109</v>
      </c>
      <c r="F101" s="16" t="s">
        <v>3733</v>
      </c>
      <c r="G101" s="16" t="s">
        <v>3734</v>
      </c>
      <c r="H101" s="16" t="s">
        <v>3789</v>
      </c>
      <c r="I101" s="19">
        <v>2000</v>
      </c>
      <c r="J101" s="16" t="s">
        <v>3736</v>
      </c>
      <c r="K101" s="16" t="s">
        <v>146</v>
      </c>
      <c r="L101" s="16" t="s">
        <v>336</v>
      </c>
      <c r="M101" s="16" t="s">
        <v>147</v>
      </c>
    </row>
    <row r="102" spans="1:13" ht="19.5" customHeight="1" x14ac:dyDescent="0.35">
      <c r="A102" s="16" t="s">
        <v>337</v>
      </c>
      <c r="B102" s="16" t="s">
        <v>3822</v>
      </c>
      <c r="C102" s="16" t="s">
        <v>3732</v>
      </c>
      <c r="D102" s="16" t="s">
        <v>143</v>
      </c>
      <c r="E102" s="16" t="s">
        <v>109</v>
      </c>
      <c r="F102" s="16" t="s">
        <v>3733</v>
      </c>
      <c r="G102" s="16" t="s">
        <v>3734</v>
      </c>
      <c r="H102" s="16" t="s">
        <v>3789</v>
      </c>
      <c r="I102" s="19">
        <v>2000</v>
      </c>
      <c r="J102" s="16" t="s">
        <v>3736</v>
      </c>
      <c r="K102" s="16" t="s">
        <v>146</v>
      </c>
      <c r="L102" s="16" t="s">
        <v>338</v>
      </c>
      <c r="M102" s="16" t="s">
        <v>147</v>
      </c>
    </row>
    <row r="103" spans="1:13" ht="19.5" customHeight="1" x14ac:dyDescent="0.35">
      <c r="A103" s="16" t="s">
        <v>339</v>
      </c>
      <c r="B103" s="16" t="s">
        <v>3823</v>
      </c>
      <c r="C103" s="16" t="s">
        <v>3732</v>
      </c>
      <c r="D103" s="16" t="s">
        <v>143</v>
      </c>
      <c r="E103" s="16" t="s">
        <v>109</v>
      </c>
      <c r="F103" s="16" t="s">
        <v>3733</v>
      </c>
      <c r="G103" s="16" t="s">
        <v>3734</v>
      </c>
      <c r="H103" s="16" t="s">
        <v>3789</v>
      </c>
      <c r="I103" s="19">
        <v>2000</v>
      </c>
      <c r="J103" s="16" t="s">
        <v>3736</v>
      </c>
      <c r="K103" s="16" t="s">
        <v>146</v>
      </c>
      <c r="L103" s="16" t="s">
        <v>340</v>
      </c>
      <c r="M103" s="16" t="s">
        <v>147</v>
      </c>
    </row>
    <row r="104" spans="1:13" ht="19.5" customHeight="1" x14ac:dyDescent="0.35">
      <c r="A104" s="16" t="s">
        <v>341</v>
      </c>
      <c r="B104" s="16" t="s">
        <v>3824</v>
      </c>
      <c r="C104" s="16" t="s">
        <v>3732</v>
      </c>
      <c r="D104" s="16" t="s">
        <v>143</v>
      </c>
      <c r="E104" s="16" t="s">
        <v>109</v>
      </c>
      <c r="F104" s="16" t="s">
        <v>3733</v>
      </c>
      <c r="G104" s="16" t="s">
        <v>3734</v>
      </c>
      <c r="H104" s="16" t="s">
        <v>3789</v>
      </c>
      <c r="I104" s="19">
        <v>2000</v>
      </c>
      <c r="J104" s="16" t="s">
        <v>3736</v>
      </c>
      <c r="K104" s="16" t="s">
        <v>146</v>
      </c>
      <c r="L104" s="16" t="s">
        <v>342</v>
      </c>
      <c r="M104" s="16" t="s">
        <v>147</v>
      </c>
    </row>
    <row r="105" spans="1:13" ht="19.5" customHeight="1" x14ac:dyDescent="0.35">
      <c r="A105" s="16" t="s">
        <v>343</v>
      </c>
      <c r="B105" s="16" t="s">
        <v>3825</v>
      </c>
      <c r="C105" s="16" t="s">
        <v>3732</v>
      </c>
      <c r="D105" s="16" t="s">
        <v>143</v>
      </c>
      <c r="E105" s="16" t="s">
        <v>109</v>
      </c>
      <c r="F105" s="16" t="s">
        <v>3733</v>
      </c>
      <c r="G105" s="16" t="s">
        <v>3734</v>
      </c>
      <c r="H105" s="16" t="s">
        <v>3789</v>
      </c>
      <c r="I105" s="19">
        <v>2000</v>
      </c>
      <c r="J105" s="16" t="s">
        <v>3736</v>
      </c>
      <c r="K105" s="16" t="s">
        <v>146</v>
      </c>
      <c r="L105" s="16" t="s">
        <v>344</v>
      </c>
      <c r="M105" s="16" t="s">
        <v>147</v>
      </c>
    </row>
    <row r="106" spans="1:13" ht="19.5" customHeight="1" x14ac:dyDescent="0.35">
      <c r="A106" s="16" t="s">
        <v>345</v>
      </c>
      <c r="B106" s="16" t="s">
        <v>3826</v>
      </c>
      <c r="C106" s="16" t="s">
        <v>3732</v>
      </c>
      <c r="D106" s="16" t="s">
        <v>143</v>
      </c>
      <c r="E106" s="16" t="s">
        <v>109</v>
      </c>
      <c r="F106" s="16" t="s">
        <v>3733</v>
      </c>
      <c r="G106" s="16" t="s">
        <v>3734</v>
      </c>
      <c r="H106" s="16" t="s">
        <v>3789</v>
      </c>
      <c r="I106" s="19">
        <v>2000</v>
      </c>
      <c r="J106" s="16" t="s">
        <v>3736</v>
      </c>
      <c r="K106" s="16" t="s">
        <v>146</v>
      </c>
      <c r="L106" s="16" t="s">
        <v>346</v>
      </c>
      <c r="M106" s="16" t="s">
        <v>147</v>
      </c>
    </row>
    <row r="107" spans="1:13" ht="19.5" customHeight="1" x14ac:dyDescent="0.35">
      <c r="A107" s="16" t="s">
        <v>347</v>
      </c>
      <c r="B107" s="16" t="s">
        <v>3827</v>
      </c>
      <c r="C107" s="16" t="s">
        <v>3732</v>
      </c>
      <c r="D107" s="16" t="s">
        <v>143</v>
      </c>
      <c r="E107" s="16" t="s">
        <v>109</v>
      </c>
      <c r="F107" s="16" t="s">
        <v>3733</v>
      </c>
      <c r="G107" s="16" t="s">
        <v>3734</v>
      </c>
      <c r="H107" s="16" t="s">
        <v>3789</v>
      </c>
      <c r="I107" s="19">
        <v>2000</v>
      </c>
      <c r="J107" s="16" t="s">
        <v>3747</v>
      </c>
      <c r="K107" s="16" t="s">
        <v>146</v>
      </c>
      <c r="L107" s="16" t="s">
        <v>348</v>
      </c>
      <c r="M107" s="16" t="s">
        <v>147</v>
      </c>
    </row>
    <row r="108" spans="1:13" ht="19.5" customHeight="1" x14ac:dyDescent="0.35">
      <c r="A108" s="16" t="s">
        <v>349</v>
      </c>
      <c r="B108" s="16" t="s">
        <v>3828</v>
      </c>
      <c r="C108" s="16" t="s">
        <v>3732</v>
      </c>
      <c r="D108" s="16" t="s">
        <v>143</v>
      </c>
      <c r="E108" s="16" t="s">
        <v>109</v>
      </c>
      <c r="F108" s="16" t="s">
        <v>3733</v>
      </c>
      <c r="G108" s="16" t="s">
        <v>3734</v>
      </c>
      <c r="H108" s="16" t="s">
        <v>3789</v>
      </c>
      <c r="I108" s="19">
        <v>2000</v>
      </c>
      <c r="J108" s="16" t="s">
        <v>3736</v>
      </c>
      <c r="K108" s="16" t="s">
        <v>146</v>
      </c>
      <c r="L108" s="16" t="s">
        <v>350</v>
      </c>
      <c r="M108" s="16" t="s">
        <v>147</v>
      </c>
    </row>
    <row r="109" spans="1:13" ht="19.5" customHeight="1" x14ac:dyDescent="0.35">
      <c r="A109" s="16" t="s">
        <v>351</v>
      </c>
      <c r="B109" s="16" t="s">
        <v>3829</v>
      </c>
      <c r="C109" s="16" t="s">
        <v>3732</v>
      </c>
      <c r="D109" s="16" t="s">
        <v>143</v>
      </c>
      <c r="E109" s="16" t="s">
        <v>109</v>
      </c>
      <c r="F109" s="16" t="s">
        <v>3733</v>
      </c>
      <c r="G109" s="16" t="s">
        <v>3734</v>
      </c>
      <c r="H109" s="16" t="s">
        <v>3789</v>
      </c>
      <c r="I109" s="19">
        <v>2000</v>
      </c>
      <c r="J109" s="16" t="s">
        <v>3736</v>
      </c>
      <c r="K109" s="16" t="s">
        <v>146</v>
      </c>
      <c r="L109" s="16" t="s">
        <v>352</v>
      </c>
      <c r="M109" s="16" t="s">
        <v>147</v>
      </c>
    </row>
    <row r="110" spans="1:13" ht="19.5" customHeight="1" x14ac:dyDescent="0.35">
      <c r="A110" s="16" t="s">
        <v>353</v>
      </c>
      <c r="B110" s="16" t="s">
        <v>3830</v>
      </c>
      <c r="C110" s="16" t="s">
        <v>3732</v>
      </c>
      <c r="D110" s="16" t="s">
        <v>143</v>
      </c>
      <c r="E110" s="16" t="s">
        <v>109</v>
      </c>
      <c r="F110" s="16" t="s">
        <v>3733</v>
      </c>
      <c r="G110" s="16" t="s">
        <v>3734</v>
      </c>
      <c r="H110" s="16" t="s">
        <v>3789</v>
      </c>
      <c r="I110" s="19">
        <v>2000</v>
      </c>
      <c r="J110" s="16" t="s">
        <v>3736</v>
      </c>
      <c r="K110" s="16" t="s">
        <v>146</v>
      </c>
      <c r="L110" s="16" t="s">
        <v>354</v>
      </c>
      <c r="M110" s="16" t="s">
        <v>147</v>
      </c>
    </row>
    <row r="111" spans="1:13" ht="19.5" customHeight="1" x14ac:dyDescent="0.35">
      <c r="A111" s="16" t="s">
        <v>355</v>
      </c>
      <c r="B111" s="16" t="s">
        <v>3831</v>
      </c>
      <c r="C111" s="16" t="s">
        <v>3732</v>
      </c>
      <c r="D111" s="16" t="s">
        <v>143</v>
      </c>
      <c r="E111" s="16" t="s">
        <v>109</v>
      </c>
      <c r="F111" s="16" t="s">
        <v>3733</v>
      </c>
      <c r="G111" s="16" t="s">
        <v>3734</v>
      </c>
      <c r="H111" s="16" t="s">
        <v>3789</v>
      </c>
      <c r="I111" s="19">
        <v>2000</v>
      </c>
      <c r="J111" s="16" t="s">
        <v>3736</v>
      </c>
      <c r="K111" s="16" t="s">
        <v>146</v>
      </c>
      <c r="L111" s="16" t="s">
        <v>354</v>
      </c>
      <c r="M111" s="16" t="s">
        <v>147</v>
      </c>
    </row>
    <row r="112" spans="1:13" ht="19.5" customHeight="1" x14ac:dyDescent="0.35">
      <c r="A112" s="16" t="s">
        <v>356</v>
      </c>
      <c r="B112" s="16" t="s">
        <v>3832</v>
      </c>
      <c r="C112" s="16" t="s">
        <v>3732</v>
      </c>
      <c r="D112" s="16" t="s">
        <v>143</v>
      </c>
      <c r="E112" s="16" t="s">
        <v>109</v>
      </c>
      <c r="F112" s="16" t="s">
        <v>3733</v>
      </c>
      <c r="G112" s="16" t="s">
        <v>3734</v>
      </c>
      <c r="H112" s="16" t="s">
        <v>3789</v>
      </c>
      <c r="I112" s="19">
        <v>2000</v>
      </c>
      <c r="J112" s="16" t="s">
        <v>3736</v>
      </c>
      <c r="K112" s="16" t="s">
        <v>146</v>
      </c>
      <c r="L112" s="16" t="s">
        <v>357</v>
      </c>
      <c r="M112" s="16" t="s">
        <v>147</v>
      </c>
    </row>
    <row r="113" spans="1:13" ht="19.5" customHeight="1" x14ac:dyDescent="0.35">
      <c r="A113" s="16" t="s">
        <v>358</v>
      </c>
      <c r="B113" s="16" t="s">
        <v>3833</v>
      </c>
      <c r="C113" s="16" t="s">
        <v>3732</v>
      </c>
      <c r="D113" s="16" t="s">
        <v>143</v>
      </c>
      <c r="E113" s="16" t="s">
        <v>109</v>
      </c>
      <c r="F113" s="16" t="s">
        <v>3733</v>
      </c>
      <c r="G113" s="16" t="s">
        <v>3734</v>
      </c>
      <c r="H113" s="16" t="s">
        <v>3789</v>
      </c>
      <c r="I113" s="19">
        <v>2000</v>
      </c>
      <c r="J113" s="16" t="s">
        <v>3736</v>
      </c>
      <c r="K113" s="16" t="s">
        <v>146</v>
      </c>
      <c r="L113" s="16" t="s">
        <v>359</v>
      </c>
      <c r="M113" s="16" t="s">
        <v>147</v>
      </c>
    </row>
    <row r="114" spans="1:13" ht="19.5" customHeight="1" x14ac:dyDescent="0.35">
      <c r="A114" s="16" t="s">
        <v>360</v>
      </c>
      <c r="B114" s="16" t="s">
        <v>3834</v>
      </c>
      <c r="C114" s="16" t="s">
        <v>3732</v>
      </c>
      <c r="D114" s="16" t="s">
        <v>143</v>
      </c>
      <c r="E114" s="16" t="s">
        <v>109</v>
      </c>
      <c r="F114" s="16" t="s">
        <v>3733</v>
      </c>
      <c r="G114" s="16" t="s">
        <v>3734</v>
      </c>
      <c r="H114" s="16" t="s">
        <v>3789</v>
      </c>
      <c r="I114" s="19">
        <v>2000</v>
      </c>
      <c r="J114" s="16" t="s">
        <v>3736</v>
      </c>
      <c r="K114" s="16" t="s">
        <v>158</v>
      </c>
      <c r="L114" s="16" t="s">
        <v>272</v>
      </c>
      <c r="M114" s="16" t="s">
        <v>147</v>
      </c>
    </row>
    <row r="115" spans="1:13" ht="19.5" customHeight="1" x14ac:dyDescent="0.35">
      <c r="A115" s="16" t="s">
        <v>361</v>
      </c>
      <c r="B115" s="16" t="s">
        <v>3835</v>
      </c>
      <c r="C115" s="16" t="s">
        <v>3732</v>
      </c>
      <c r="D115" s="16" t="s">
        <v>143</v>
      </c>
      <c r="E115" s="16" t="s">
        <v>109</v>
      </c>
      <c r="F115" s="16" t="s">
        <v>3836</v>
      </c>
      <c r="G115" s="16" t="s">
        <v>3734</v>
      </c>
      <c r="H115" s="16" t="s">
        <v>3789</v>
      </c>
      <c r="I115" s="19">
        <v>2000</v>
      </c>
      <c r="J115" s="16" t="s">
        <v>3837</v>
      </c>
      <c r="K115" s="16" t="s">
        <v>146</v>
      </c>
      <c r="L115" s="16" t="s">
        <v>362</v>
      </c>
      <c r="M115" s="16" t="s">
        <v>147</v>
      </c>
    </row>
    <row r="116" spans="1:13" ht="19.5" customHeight="1" x14ac:dyDescent="0.35">
      <c r="A116" s="16" t="s">
        <v>363</v>
      </c>
      <c r="B116" s="16" t="s">
        <v>3838</v>
      </c>
      <c r="C116" s="16" t="s">
        <v>3732</v>
      </c>
      <c r="D116" s="16" t="s">
        <v>143</v>
      </c>
      <c r="E116" s="16" t="s">
        <v>109</v>
      </c>
      <c r="F116" s="16" t="s">
        <v>3836</v>
      </c>
      <c r="G116" s="16" t="s">
        <v>3734</v>
      </c>
      <c r="H116" s="16" t="s">
        <v>3789</v>
      </c>
      <c r="I116" s="19">
        <v>2000</v>
      </c>
      <c r="J116" s="16" t="s">
        <v>3837</v>
      </c>
      <c r="K116" s="16" t="s">
        <v>146</v>
      </c>
      <c r="L116" s="16" t="s">
        <v>364</v>
      </c>
      <c r="M116" s="16" t="s">
        <v>147</v>
      </c>
    </row>
    <row r="117" spans="1:13" ht="19.5" customHeight="1" x14ac:dyDescent="0.35">
      <c r="A117" s="16" t="s">
        <v>365</v>
      </c>
      <c r="B117" s="16" t="s">
        <v>3839</v>
      </c>
      <c r="C117" s="16" t="s">
        <v>3732</v>
      </c>
      <c r="D117" s="16" t="s">
        <v>143</v>
      </c>
      <c r="E117" s="16" t="s">
        <v>109</v>
      </c>
      <c r="F117" s="16" t="s">
        <v>3733</v>
      </c>
      <c r="G117" s="16" t="s">
        <v>3734</v>
      </c>
      <c r="H117" s="16" t="s">
        <v>3789</v>
      </c>
      <c r="I117" s="19">
        <v>2000</v>
      </c>
      <c r="J117" s="16" t="s">
        <v>3736</v>
      </c>
      <c r="K117" s="16" t="s">
        <v>146</v>
      </c>
      <c r="L117" s="16" t="s">
        <v>248</v>
      </c>
      <c r="M117" s="16" t="s">
        <v>147</v>
      </c>
    </row>
    <row r="118" spans="1:13" ht="19.5" customHeight="1" x14ac:dyDescent="0.35">
      <c r="A118" s="16" t="s">
        <v>366</v>
      </c>
      <c r="B118" s="16" t="s">
        <v>3840</v>
      </c>
      <c r="C118" s="16" t="s">
        <v>3732</v>
      </c>
      <c r="D118" s="16" t="s">
        <v>143</v>
      </c>
      <c r="E118" s="16" t="s">
        <v>109</v>
      </c>
      <c r="F118" s="16" t="s">
        <v>3733</v>
      </c>
      <c r="G118" s="16" t="s">
        <v>3734</v>
      </c>
      <c r="H118" s="16" t="s">
        <v>3789</v>
      </c>
      <c r="I118" s="19">
        <v>2000</v>
      </c>
      <c r="J118" s="16" t="s">
        <v>3736</v>
      </c>
      <c r="K118" s="16" t="s">
        <v>146</v>
      </c>
      <c r="L118" s="16" t="s">
        <v>367</v>
      </c>
      <c r="M118" s="16" t="s">
        <v>147</v>
      </c>
    </row>
    <row r="119" spans="1:13" ht="19.5" customHeight="1" x14ac:dyDescent="0.35">
      <c r="A119" s="16" t="s">
        <v>368</v>
      </c>
      <c r="B119" s="16" t="s">
        <v>3841</v>
      </c>
      <c r="C119" s="16" t="s">
        <v>3732</v>
      </c>
      <c r="D119" s="16" t="s">
        <v>143</v>
      </c>
      <c r="E119" s="16" t="s">
        <v>109</v>
      </c>
      <c r="F119" s="16" t="s">
        <v>3733</v>
      </c>
      <c r="G119" s="16" t="s">
        <v>3734</v>
      </c>
      <c r="H119" s="16" t="s">
        <v>3789</v>
      </c>
      <c r="I119" s="19">
        <v>2000</v>
      </c>
      <c r="J119" s="16" t="s">
        <v>3736</v>
      </c>
      <c r="K119" s="16" t="s">
        <v>146</v>
      </c>
      <c r="L119" s="16" t="s">
        <v>369</v>
      </c>
      <c r="M119" s="16" t="s">
        <v>147</v>
      </c>
    </row>
    <row r="120" spans="1:13" ht="19.5" customHeight="1" x14ac:dyDescent="0.35">
      <c r="A120" s="16" t="s">
        <v>370</v>
      </c>
      <c r="B120" s="16" t="s">
        <v>3842</v>
      </c>
      <c r="C120" s="16" t="s">
        <v>3732</v>
      </c>
      <c r="D120" s="16" t="s">
        <v>143</v>
      </c>
      <c r="E120" s="16" t="s">
        <v>109</v>
      </c>
      <c r="F120" s="16" t="s">
        <v>3733</v>
      </c>
      <c r="G120" s="16" t="s">
        <v>3734</v>
      </c>
      <c r="H120" s="16" t="s">
        <v>3789</v>
      </c>
      <c r="I120" s="19">
        <v>2000</v>
      </c>
      <c r="J120" s="16" t="s">
        <v>3736</v>
      </c>
      <c r="K120" s="16" t="s">
        <v>146</v>
      </c>
      <c r="L120" s="16" t="s">
        <v>371</v>
      </c>
      <c r="M120" s="16" t="s">
        <v>147</v>
      </c>
    </row>
    <row r="121" spans="1:13" ht="19.5" customHeight="1" x14ac:dyDescent="0.35">
      <c r="A121" s="16" t="s">
        <v>372</v>
      </c>
      <c r="B121" s="16" t="s">
        <v>3843</v>
      </c>
      <c r="C121" s="16" t="s">
        <v>3732</v>
      </c>
      <c r="D121" s="16" t="s">
        <v>143</v>
      </c>
      <c r="E121" s="16" t="s">
        <v>109</v>
      </c>
      <c r="F121" s="16" t="s">
        <v>3733</v>
      </c>
      <c r="G121" s="16" t="s">
        <v>3734</v>
      </c>
      <c r="H121" s="16" t="s">
        <v>3789</v>
      </c>
      <c r="I121" s="19">
        <v>2000</v>
      </c>
      <c r="J121" s="16" t="s">
        <v>3837</v>
      </c>
      <c r="K121" s="16" t="s">
        <v>146</v>
      </c>
      <c r="L121" s="16" t="s">
        <v>373</v>
      </c>
      <c r="M121" s="16" t="s">
        <v>147</v>
      </c>
    </row>
    <row r="122" spans="1:13" ht="19.5" customHeight="1" x14ac:dyDescent="0.35">
      <c r="A122" s="16" t="s">
        <v>374</v>
      </c>
      <c r="B122" s="16" t="s">
        <v>3844</v>
      </c>
      <c r="C122" s="16" t="s">
        <v>3732</v>
      </c>
      <c r="D122" s="16" t="s">
        <v>143</v>
      </c>
      <c r="E122" s="16" t="s">
        <v>109</v>
      </c>
      <c r="F122" s="16" t="s">
        <v>3733</v>
      </c>
      <c r="G122" s="16" t="s">
        <v>3734</v>
      </c>
      <c r="H122" s="16" t="s">
        <v>3789</v>
      </c>
      <c r="I122" s="19">
        <v>2000</v>
      </c>
      <c r="J122" s="16" t="s">
        <v>3837</v>
      </c>
      <c r="K122" s="16" t="s">
        <v>146</v>
      </c>
      <c r="L122" s="16" t="s">
        <v>375</v>
      </c>
      <c r="M122" s="16" t="s">
        <v>147</v>
      </c>
    </row>
    <row r="123" spans="1:13" ht="19.5" customHeight="1" x14ac:dyDescent="0.35">
      <c r="A123" s="16" t="s">
        <v>376</v>
      </c>
      <c r="B123" s="16" t="s">
        <v>3845</v>
      </c>
      <c r="C123" s="16" t="s">
        <v>3732</v>
      </c>
      <c r="D123" s="16" t="s">
        <v>143</v>
      </c>
      <c r="E123" s="16" t="s">
        <v>109</v>
      </c>
      <c r="F123" s="16" t="s">
        <v>3733</v>
      </c>
      <c r="G123" s="16" t="s">
        <v>3734</v>
      </c>
      <c r="H123" s="16" t="s">
        <v>3789</v>
      </c>
      <c r="I123" s="19">
        <v>2000</v>
      </c>
      <c r="J123" s="16" t="s">
        <v>3837</v>
      </c>
      <c r="K123" s="16" t="s">
        <v>146</v>
      </c>
      <c r="L123" s="16" t="s">
        <v>377</v>
      </c>
      <c r="M123" s="16" t="s">
        <v>147</v>
      </c>
    </row>
    <row r="124" spans="1:13" ht="19.5" customHeight="1" x14ac:dyDescent="0.35">
      <c r="A124" s="16" t="s">
        <v>378</v>
      </c>
      <c r="B124" s="16" t="s">
        <v>3846</v>
      </c>
      <c r="C124" s="16" t="s">
        <v>3732</v>
      </c>
      <c r="D124" s="16" t="s">
        <v>143</v>
      </c>
      <c r="E124" s="16" t="s">
        <v>109</v>
      </c>
      <c r="F124" s="16" t="s">
        <v>3733</v>
      </c>
      <c r="G124" s="16" t="s">
        <v>3734</v>
      </c>
      <c r="H124" s="16" t="s">
        <v>3789</v>
      </c>
      <c r="I124" s="19">
        <v>2000</v>
      </c>
      <c r="J124" s="16" t="s">
        <v>3837</v>
      </c>
      <c r="K124" s="16" t="s">
        <v>146</v>
      </c>
      <c r="L124" s="16" t="s">
        <v>379</v>
      </c>
      <c r="M124" s="16" t="s">
        <v>147</v>
      </c>
    </row>
    <row r="125" spans="1:13" ht="19.5" customHeight="1" x14ac:dyDescent="0.35">
      <c r="A125" s="16" t="s">
        <v>380</v>
      </c>
      <c r="B125" s="16" t="s">
        <v>3847</v>
      </c>
      <c r="C125" s="16" t="s">
        <v>3732</v>
      </c>
      <c r="D125" s="16" t="s">
        <v>143</v>
      </c>
      <c r="E125" s="16" t="s">
        <v>109</v>
      </c>
      <c r="F125" s="16" t="s">
        <v>3733</v>
      </c>
      <c r="G125" s="16" t="s">
        <v>3734</v>
      </c>
      <c r="H125" s="16" t="s">
        <v>3789</v>
      </c>
      <c r="I125" s="19">
        <v>2000</v>
      </c>
      <c r="J125" s="16" t="s">
        <v>3736</v>
      </c>
      <c r="K125" s="16" t="s">
        <v>146</v>
      </c>
      <c r="L125" s="16" t="s">
        <v>381</v>
      </c>
      <c r="M125" s="16" t="s">
        <v>147</v>
      </c>
    </row>
    <row r="126" spans="1:13" ht="19.5" customHeight="1" x14ac:dyDescent="0.35">
      <c r="A126" s="16" t="s">
        <v>382</v>
      </c>
      <c r="B126" s="16" t="s">
        <v>3848</v>
      </c>
      <c r="C126" s="16" t="s">
        <v>3732</v>
      </c>
      <c r="D126" s="16" t="s">
        <v>143</v>
      </c>
      <c r="E126" s="16" t="s">
        <v>109</v>
      </c>
      <c r="F126" s="16" t="s">
        <v>3733</v>
      </c>
      <c r="G126" s="16" t="s">
        <v>3734</v>
      </c>
      <c r="H126" s="16" t="s">
        <v>3789</v>
      </c>
      <c r="I126" s="19">
        <v>2000</v>
      </c>
      <c r="J126" s="16" t="s">
        <v>3736</v>
      </c>
      <c r="K126" s="16" t="s">
        <v>146</v>
      </c>
      <c r="L126" s="16" t="s">
        <v>276</v>
      </c>
      <c r="M126" s="16" t="s">
        <v>147</v>
      </c>
    </row>
    <row r="127" spans="1:13" ht="19.5" customHeight="1" x14ac:dyDescent="0.35">
      <c r="A127" s="16" t="s">
        <v>383</v>
      </c>
      <c r="B127" s="16" t="s">
        <v>3849</v>
      </c>
      <c r="C127" s="16" t="s">
        <v>3732</v>
      </c>
      <c r="D127" s="16" t="s">
        <v>143</v>
      </c>
      <c r="E127" s="16" t="s">
        <v>109</v>
      </c>
      <c r="F127" s="16" t="s">
        <v>3733</v>
      </c>
      <c r="G127" s="16" t="s">
        <v>3734</v>
      </c>
      <c r="H127" s="16" t="s">
        <v>3789</v>
      </c>
      <c r="I127" s="19">
        <v>2000</v>
      </c>
      <c r="J127" s="16" t="s">
        <v>3736</v>
      </c>
      <c r="K127" s="16" t="s">
        <v>146</v>
      </c>
      <c r="L127" s="16" t="s">
        <v>280</v>
      </c>
      <c r="M127" s="16" t="s">
        <v>147</v>
      </c>
    </row>
    <row r="128" spans="1:13" ht="19.5" customHeight="1" x14ac:dyDescent="0.35">
      <c r="A128" s="16" t="s">
        <v>384</v>
      </c>
      <c r="B128" s="16" t="s">
        <v>3850</v>
      </c>
      <c r="C128" s="16" t="s">
        <v>3732</v>
      </c>
      <c r="D128" s="16" t="s">
        <v>143</v>
      </c>
      <c r="E128" s="16" t="s">
        <v>109</v>
      </c>
      <c r="F128" s="16" t="s">
        <v>3733</v>
      </c>
      <c r="G128" s="16" t="s">
        <v>3734</v>
      </c>
      <c r="H128" s="16" t="s">
        <v>3789</v>
      </c>
      <c r="I128" s="19">
        <v>2000</v>
      </c>
      <c r="J128" s="16" t="s">
        <v>3736</v>
      </c>
      <c r="K128" s="16" t="s">
        <v>146</v>
      </c>
      <c r="L128" s="16" t="s">
        <v>280</v>
      </c>
      <c r="M128" s="16" t="s">
        <v>147</v>
      </c>
    </row>
    <row r="129" spans="1:13" ht="19.5" customHeight="1" x14ac:dyDescent="0.35">
      <c r="A129" s="16" t="s">
        <v>385</v>
      </c>
      <c r="B129" s="16" t="s">
        <v>3851</v>
      </c>
      <c r="C129" s="16" t="s">
        <v>3732</v>
      </c>
      <c r="D129" s="16" t="s">
        <v>143</v>
      </c>
      <c r="E129" s="16" t="s">
        <v>109</v>
      </c>
      <c r="F129" s="16" t="s">
        <v>3733</v>
      </c>
      <c r="G129" s="16" t="s">
        <v>3734</v>
      </c>
      <c r="H129" s="16" t="s">
        <v>3735</v>
      </c>
      <c r="I129" s="19">
        <v>2006</v>
      </c>
      <c r="J129" s="16" t="s">
        <v>3736</v>
      </c>
      <c r="K129" s="16" t="s">
        <v>146</v>
      </c>
      <c r="L129" s="16" t="s">
        <v>386</v>
      </c>
      <c r="M129" s="16" t="s">
        <v>147</v>
      </c>
    </row>
    <row r="130" spans="1:13" ht="19.5" customHeight="1" x14ac:dyDescent="0.35">
      <c r="A130" s="16" t="s">
        <v>387</v>
      </c>
      <c r="B130" s="16" t="s">
        <v>3852</v>
      </c>
      <c r="C130" s="16" t="s">
        <v>3732</v>
      </c>
      <c r="D130" s="16" t="s">
        <v>143</v>
      </c>
      <c r="E130" s="16" t="s">
        <v>109</v>
      </c>
      <c r="F130" s="16" t="s">
        <v>3733</v>
      </c>
      <c r="G130" s="16" t="s">
        <v>3734</v>
      </c>
      <c r="H130" s="16" t="s">
        <v>3735</v>
      </c>
      <c r="I130" s="19">
        <v>2006</v>
      </c>
      <c r="J130" s="16" t="s">
        <v>3837</v>
      </c>
      <c r="K130" s="16" t="s">
        <v>146</v>
      </c>
      <c r="L130" s="16" t="s">
        <v>388</v>
      </c>
      <c r="M130" s="16" t="s">
        <v>147</v>
      </c>
    </row>
    <row r="131" spans="1:13" ht="19.5" customHeight="1" x14ac:dyDescent="0.35">
      <c r="A131" s="16" t="s">
        <v>389</v>
      </c>
      <c r="B131" s="16" t="s">
        <v>3853</v>
      </c>
      <c r="C131" s="16" t="s">
        <v>3732</v>
      </c>
      <c r="D131" s="16" t="s">
        <v>143</v>
      </c>
      <c r="E131" s="16" t="s">
        <v>109</v>
      </c>
      <c r="F131" s="16" t="s">
        <v>3733</v>
      </c>
      <c r="G131" s="16" t="s">
        <v>3734</v>
      </c>
      <c r="H131" s="16" t="s">
        <v>3735</v>
      </c>
      <c r="I131" s="19">
        <v>2006</v>
      </c>
      <c r="J131" s="16" t="s">
        <v>3736</v>
      </c>
      <c r="K131" s="16" t="s">
        <v>146</v>
      </c>
      <c r="L131" s="16" t="s">
        <v>390</v>
      </c>
      <c r="M131" s="16" t="s">
        <v>147</v>
      </c>
    </row>
    <row r="132" spans="1:13" ht="19.5" customHeight="1" x14ac:dyDescent="0.35">
      <c r="A132" s="16" t="s">
        <v>391</v>
      </c>
      <c r="B132" s="16" t="s">
        <v>3854</v>
      </c>
      <c r="C132" s="16" t="s">
        <v>3732</v>
      </c>
      <c r="D132" s="16" t="s">
        <v>143</v>
      </c>
      <c r="E132" s="16" t="s">
        <v>109</v>
      </c>
      <c r="F132" s="16" t="s">
        <v>3733</v>
      </c>
      <c r="G132" s="16" t="s">
        <v>3734</v>
      </c>
      <c r="H132" s="16" t="s">
        <v>3735</v>
      </c>
      <c r="I132" s="19">
        <v>2006</v>
      </c>
      <c r="J132" s="16" t="s">
        <v>3736</v>
      </c>
      <c r="K132" s="16" t="s">
        <v>146</v>
      </c>
      <c r="L132" s="16" t="s">
        <v>392</v>
      </c>
      <c r="M132" s="16" t="s">
        <v>147</v>
      </c>
    </row>
    <row r="133" spans="1:13" ht="19.5" customHeight="1" x14ac:dyDescent="0.35">
      <c r="A133" s="16" t="s">
        <v>393</v>
      </c>
      <c r="B133" s="16" t="s">
        <v>3855</v>
      </c>
      <c r="C133" s="16" t="s">
        <v>3732</v>
      </c>
      <c r="D133" s="16" t="s">
        <v>143</v>
      </c>
      <c r="E133" s="16" t="s">
        <v>109</v>
      </c>
      <c r="F133" s="16" t="s">
        <v>3733</v>
      </c>
      <c r="G133" s="16" t="s">
        <v>3734</v>
      </c>
      <c r="H133" s="16" t="s">
        <v>3735</v>
      </c>
      <c r="I133" s="19">
        <v>2006</v>
      </c>
      <c r="J133" s="16" t="s">
        <v>3736</v>
      </c>
      <c r="K133" s="16" t="s">
        <v>146</v>
      </c>
      <c r="L133" s="16" t="s">
        <v>394</v>
      </c>
      <c r="M133" s="16" t="s">
        <v>147</v>
      </c>
    </row>
    <row r="134" spans="1:13" ht="19.5" customHeight="1" x14ac:dyDescent="0.35">
      <c r="A134" s="16" t="s">
        <v>395</v>
      </c>
      <c r="B134" s="16" t="s">
        <v>3856</v>
      </c>
      <c r="C134" s="16" t="s">
        <v>3732</v>
      </c>
      <c r="D134" s="16" t="s">
        <v>143</v>
      </c>
      <c r="E134" s="16" t="s">
        <v>109</v>
      </c>
      <c r="F134" s="16" t="s">
        <v>3733</v>
      </c>
      <c r="G134" s="16" t="s">
        <v>3734</v>
      </c>
      <c r="H134" s="16" t="s">
        <v>3735</v>
      </c>
      <c r="I134" s="19">
        <v>2006</v>
      </c>
      <c r="J134" s="16" t="s">
        <v>3736</v>
      </c>
      <c r="K134" s="16" t="s">
        <v>146</v>
      </c>
      <c r="L134" s="16" t="s">
        <v>396</v>
      </c>
      <c r="M134" s="16" t="s">
        <v>147</v>
      </c>
    </row>
    <row r="135" spans="1:13" ht="19.5" customHeight="1" x14ac:dyDescent="0.35">
      <c r="A135" s="16" t="s">
        <v>397</v>
      </c>
      <c r="B135" s="16" t="s">
        <v>3857</v>
      </c>
      <c r="C135" s="16" t="s">
        <v>3732</v>
      </c>
      <c r="D135" s="16" t="s">
        <v>143</v>
      </c>
      <c r="E135" s="16" t="s">
        <v>109</v>
      </c>
      <c r="F135" s="16" t="s">
        <v>3733</v>
      </c>
      <c r="G135" s="16" t="s">
        <v>3734</v>
      </c>
      <c r="H135" s="16" t="s">
        <v>3735</v>
      </c>
      <c r="I135" s="19">
        <v>2006</v>
      </c>
      <c r="J135" s="16" t="s">
        <v>3736</v>
      </c>
      <c r="K135" s="16" t="s">
        <v>146</v>
      </c>
      <c r="L135" s="16" t="s">
        <v>394</v>
      </c>
      <c r="M135" s="16" t="s">
        <v>147</v>
      </c>
    </row>
    <row r="136" spans="1:13" ht="19.5" customHeight="1" x14ac:dyDescent="0.35">
      <c r="A136" s="16" t="s">
        <v>398</v>
      </c>
      <c r="B136" s="16" t="s">
        <v>3858</v>
      </c>
      <c r="C136" s="16" t="s">
        <v>3732</v>
      </c>
      <c r="D136" s="16" t="s">
        <v>143</v>
      </c>
      <c r="E136" s="16" t="s">
        <v>109</v>
      </c>
      <c r="F136" s="16" t="s">
        <v>3733</v>
      </c>
      <c r="G136" s="16" t="s">
        <v>3734</v>
      </c>
      <c r="H136" s="16" t="s">
        <v>3735</v>
      </c>
      <c r="I136" s="19">
        <v>2006</v>
      </c>
      <c r="J136" s="16" t="s">
        <v>3747</v>
      </c>
      <c r="K136" s="16" t="s">
        <v>146</v>
      </c>
      <c r="L136" s="16" t="s">
        <v>399</v>
      </c>
      <c r="M136" s="16" t="s">
        <v>147</v>
      </c>
    </row>
    <row r="137" spans="1:13" ht="19.5" customHeight="1" x14ac:dyDescent="0.35">
      <c r="A137" s="16" t="s">
        <v>400</v>
      </c>
      <c r="B137" s="16" t="s">
        <v>3859</v>
      </c>
      <c r="C137" s="16" t="s">
        <v>3732</v>
      </c>
      <c r="D137" s="16" t="s">
        <v>143</v>
      </c>
      <c r="E137" s="16" t="s">
        <v>109</v>
      </c>
      <c r="F137" s="16" t="s">
        <v>3733</v>
      </c>
      <c r="G137" s="16" t="s">
        <v>3734</v>
      </c>
      <c r="H137" s="16" t="s">
        <v>3735</v>
      </c>
      <c r="I137" s="19">
        <v>2006</v>
      </c>
      <c r="J137" s="16" t="s">
        <v>3736</v>
      </c>
      <c r="K137" s="16" t="s">
        <v>146</v>
      </c>
      <c r="L137" s="16" t="s">
        <v>401</v>
      </c>
      <c r="M137" s="16" t="s">
        <v>147</v>
      </c>
    </row>
    <row r="138" spans="1:13" ht="19.5" customHeight="1" x14ac:dyDescent="0.35">
      <c r="A138" s="16" t="s">
        <v>402</v>
      </c>
      <c r="B138" s="16" t="s">
        <v>3860</v>
      </c>
      <c r="C138" s="16" t="s">
        <v>3732</v>
      </c>
      <c r="D138" s="16" t="s">
        <v>143</v>
      </c>
      <c r="E138" s="16" t="s">
        <v>109</v>
      </c>
      <c r="F138" s="16" t="s">
        <v>3733</v>
      </c>
      <c r="G138" s="16" t="s">
        <v>3734</v>
      </c>
      <c r="H138" s="16" t="s">
        <v>3735</v>
      </c>
      <c r="I138" s="19">
        <v>2006</v>
      </c>
      <c r="J138" s="16" t="s">
        <v>3736</v>
      </c>
      <c r="K138" s="16" t="s">
        <v>146</v>
      </c>
      <c r="L138" s="16" t="s">
        <v>403</v>
      </c>
      <c r="M138" s="16" t="s">
        <v>147</v>
      </c>
    </row>
    <row r="139" spans="1:13" ht="19.5" customHeight="1" x14ac:dyDescent="0.35">
      <c r="A139" s="16" t="s">
        <v>404</v>
      </c>
      <c r="B139" s="16" t="s">
        <v>3861</v>
      </c>
      <c r="C139" s="16" t="s">
        <v>3732</v>
      </c>
      <c r="D139" s="16" t="s">
        <v>143</v>
      </c>
      <c r="E139" s="16" t="s">
        <v>109</v>
      </c>
      <c r="F139" s="16" t="s">
        <v>3733</v>
      </c>
      <c r="G139" s="16" t="s">
        <v>3734</v>
      </c>
      <c r="H139" s="16" t="s">
        <v>3789</v>
      </c>
      <c r="I139" s="19">
        <v>2009</v>
      </c>
      <c r="J139" s="16" t="s">
        <v>3736</v>
      </c>
      <c r="K139" s="16" t="s">
        <v>146</v>
      </c>
      <c r="L139" s="16" t="s">
        <v>392</v>
      </c>
      <c r="M139" s="16" t="s">
        <v>147</v>
      </c>
    </row>
    <row r="140" spans="1:13" ht="19.5" customHeight="1" x14ac:dyDescent="0.35">
      <c r="A140" s="16" t="s">
        <v>405</v>
      </c>
      <c r="B140" s="16" t="s">
        <v>3862</v>
      </c>
      <c r="C140" s="16" t="s">
        <v>3732</v>
      </c>
      <c r="D140" s="16" t="s">
        <v>143</v>
      </c>
      <c r="E140" s="16" t="s">
        <v>109</v>
      </c>
      <c r="F140" s="16" t="s">
        <v>3733</v>
      </c>
      <c r="G140" s="16" t="s">
        <v>3734</v>
      </c>
      <c r="H140" s="16" t="s">
        <v>3789</v>
      </c>
      <c r="I140" s="19">
        <v>2009</v>
      </c>
      <c r="J140" s="16" t="s">
        <v>3754</v>
      </c>
      <c r="K140" s="16" t="s">
        <v>146</v>
      </c>
      <c r="L140" s="16" t="s">
        <v>406</v>
      </c>
      <c r="M140" s="16" t="s">
        <v>147</v>
      </c>
    </row>
    <row r="141" spans="1:13" ht="19.5" customHeight="1" x14ac:dyDescent="0.35">
      <c r="A141" s="16" t="s">
        <v>407</v>
      </c>
      <c r="B141" s="16" t="s">
        <v>3863</v>
      </c>
      <c r="C141" s="16" t="s">
        <v>3732</v>
      </c>
      <c r="D141" s="16" t="s">
        <v>143</v>
      </c>
      <c r="E141" s="16" t="s">
        <v>109</v>
      </c>
      <c r="F141" s="16" t="s">
        <v>3733</v>
      </c>
      <c r="G141" s="16" t="s">
        <v>3734</v>
      </c>
      <c r="H141" s="16" t="s">
        <v>3789</v>
      </c>
      <c r="I141" s="19">
        <v>2009</v>
      </c>
      <c r="J141" s="16" t="s">
        <v>3837</v>
      </c>
      <c r="K141" s="16" t="s">
        <v>146</v>
      </c>
      <c r="L141" s="16" t="s">
        <v>408</v>
      </c>
      <c r="M141" s="16" t="s">
        <v>147</v>
      </c>
    </row>
    <row r="142" spans="1:13" ht="19.5" customHeight="1" x14ac:dyDescent="0.35">
      <c r="A142" s="16" t="s">
        <v>409</v>
      </c>
      <c r="B142" s="16" t="s">
        <v>3864</v>
      </c>
      <c r="C142" s="16" t="s">
        <v>3732</v>
      </c>
      <c r="D142" s="16" t="s">
        <v>143</v>
      </c>
      <c r="E142" s="16" t="s">
        <v>109</v>
      </c>
      <c r="F142" s="16" t="s">
        <v>3733</v>
      </c>
      <c r="G142" s="16" t="s">
        <v>3734</v>
      </c>
      <c r="H142" s="16" t="s">
        <v>3789</v>
      </c>
      <c r="I142" s="19">
        <v>2009</v>
      </c>
      <c r="J142" s="16" t="s">
        <v>3736</v>
      </c>
      <c r="K142" s="16" t="s">
        <v>146</v>
      </c>
      <c r="L142" s="16" t="s">
        <v>410</v>
      </c>
      <c r="M142" s="16" t="s">
        <v>147</v>
      </c>
    </row>
    <row r="143" spans="1:13" ht="19.5" customHeight="1" x14ac:dyDescent="0.35">
      <c r="A143" s="16" t="s">
        <v>411</v>
      </c>
      <c r="B143" s="16" t="s">
        <v>3865</v>
      </c>
      <c r="C143" s="16" t="s">
        <v>3732</v>
      </c>
      <c r="D143" s="16" t="s">
        <v>143</v>
      </c>
      <c r="E143" s="16" t="s">
        <v>109</v>
      </c>
      <c r="F143" s="16" t="s">
        <v>3733</v>
      </c>
      <c r="G143" s="16" t="s">
        <v>3734</v>
      </c>
      <c r="H143" s="16" t="s">
        <v>3789</v>
      </c>
      <c r="I143" s="19">
        <v>2009</v>
      </c>
      <c r="J143" s="16" t="s">
        <v>3736</v>
      </c>
      <c r="K143" s="16" t="s">
        <v>146</v>
      </c>
      <c r="L143" s="16" t="s">
        <v>412</v>
      </c>
      <c r="M143" s="16" t="s">
        <v>147</v>
      </c>
    </row>
    <row r="144" spans="1:13" ht="19.5" customHeight="1" x14ac:dyDescent="0.35">
      <c r="A144" s="16" t="s">
        <v>413</v>
      </c>
      <c r="B144" s="16" t="s">
        <v>3866</v>
      </c>
      <c r="C144" s="16" t="s">
        <v>3732</v>
      </c>
      <c r="D144" s="16" t="s">
        <v>143</v>
      </c>
      <c r="E144" s="16" t="s">
        <v>109</v>
      </c>
      <c r="F144" s="16" t="s">
        <v>3733</v>
      </c>
      <c r="G144" s="16" t="s">
        <v>3734</v>
      </c>
      <c r="H144" s="16" t="s">
        <v>3789</v>
      </c>
      <c r="I144" s="19">
        <v>2009</v>
      </c>
      <c r="J144" s="16" t="s">
        <v>3736</v>
      </c>
      <c r="K144" s="16" t="s">
        <v>146</v>
      </c>
      <c r="L144" s="16" t="s">
        <v>414</v>
      </c>
      <c r="M144" s="16" t="s">
        <v>147</v>
      </c>
    </row>
    <row r="145" spans="1:13" ht="19.5" customHeight="1" x14ac:dyDescent="0.35">
      <c r="A145" s="16" t="s">
        <v>415</v>
      </c>
      <c r="B145" s="16" t="s">
        <v>3867</v>
      </c>
      <c r="C145" s="16" t="s">
        <v>3732</v>
      </c>
      <c r="D145" s="16" t="s">
        <v>143</v>
      </c>
      <c r="E145" s="16" t="s">
        <v>109</v>
      </c>
      <c r="F145" s="16" t="s">
        <v>3733</v>
      </c>
      <c r="G145" s="16" t="s">
        <v>3734</v>
      </c>
      <c r="H145" s="16" t="s">
        <v>3789</v>
      </c>
      <c r="I145" s="19">
        <v>2013</v>
      </c>
      <c r="J145" s="16" t="s">
        <v>3776</v>
      </c>
      <c r="K145" s="16" t="s">
        <v>146</v>
      </c>
      <c r="L145" s="16" t="s">
        <v>416</v>
      </c>
      <c r="M145" s="16" t="s">
        <v>147</v>
      </c>
    </row>
    <row r="146" spans="1:13" ht="19.5" customHeight="1" x14ac:dyDescent="0.35">
      <c r="A146" s="16" t="s">
        <v>417</v>
      </c>
      <c r="B146" s="16" t="s">
        <v>3868</v>
      </c>
      <c r="C146" s="16" t="s">
        <v>3732</v>
      </c>
      <c r="D146" s="16" t="s">
        <v>143</v>
      </c>
      <c r="E146" s="16" t="s">
        <v>109</v>
      </c>
      <c r="F146" s="16" t="s">
        <v>3733</v>
      </c>
      <c r="G146" s="16"/>
      <c r="H146" s="16" t="s">
        <v>3789</v>
      </c>
      <c r="I146" s="19">
        <v>2015</v>
      </c>
      <c r="J146" s="16" t="s">
        <v>3869</v>
      </c>
      <c r="K146" s="16" t="s">
        <v>146</v>
      </c>
      <c r="L146" s="16" t="s">
        <v>418</v>
      </c>
      <c r="M146" s="16" t="s">
        <v>147</v>
      </c>
    </row>
    <row r="147" spans="1:13" ht="19.5" customHeight="1" x14ac:dyDescent="0.35">
      <c r="A147" s="16" t="s">
        <v>419</v>
      </c>
      <c r="B147" s="16" t="s">
        <v>3870</v>
      </c>
      <c r="C147" s="16" t="s">
        <v>3732</v>
      </c>
      <c r="D147" s="16" t="s">
        <v>143</v>
      </c>
      <c r="E147" s="16" t="s">
        <v>109</v>
      </c>
      <c r="F147" s="16" t="s">
        <v>3733</v>
      </c>
      <c r="G147" s="16"/>
      <c r="H147" s="16" t="s">
        <v>3789</v>
      </c>
      <c r="I147" s="19">
        <v>2015</v>
      </c>
      <c r="J147" s="16" t="s">
        <v>3869</v>
      </c>
      <c r="K147" s="16" t="s">
        <v>146</v>
      </c>
      <c r="L147" s="16" t="s">
        <v>420</v>
      </c>
      <c r="M147" s="16" t="s">
        <v>147</v>
      </c>
    </row>
    <row r="148" spans="1:13" ht="19.5" customHeight="1" x14ac:dyDescent="0.35">
      <c r="A148" s="16" t="s">
        <v>421</v>
      </c>
      <c r="B148" s="16" t="s">
        <v>3871</v>
      </c>
      <c r="C148" s="16" t="s">
        <v>3732</v>
      </c>
      <c r="D148" s="16" t="s">
        <v>143</v>
      </c>
      <c r="E148" s="16" t="s">
        <v>109</v>
      </c>
      <c r="F148" s="16" t="s">
        <v>3733</v>
      </c>
      <c r="G148" s="16"/>
      <c r="H148" s="16" t="s">
        <v>3789</v>
      </c>
      <c r="I148" s="19">
        <v>2015</v>
      </c>
      <c r="J148" s="16" t="s">
        <v>3869</v>
      </c>
      <c r="K148" s="16" t="s">
        <v>146</v>
      </c>
      <c r="L148" s="16" t="s">
        <v>422</v>
      </c>
      <c r="M148" s="16" t="s">
        <v>147</v>
      </c>
    </row>
    <row r="149" spans="1:13" ht="19.5" customHeight="1" x14ac:dyDescent="0.35">
      <c r="A149" s="16" t="s">
        <v>224</v>
      </c>
      <c r="B149" s="16" t="s">
        <v>3757</v>
      </c>
      <c r="C149" s="16" t="s">
        <v>3732</v>
      </c>
      <c r="D149" s="16" t="s">
        <v>143</v>
      </c>
      <c r="E149" s="16" t="s">
        <v>109</v>
      </c>
      <c r="F149" s="16" t="s">
        <v>3872</v>
      </c>
      <c r="G149" s="16" t="s">
        <v>3734</v>
      </c>
      <c r="H149" s="16" t="s">
        <v>3735</v>
      </c>
      <c r="I149" s="19">
        <v>2016</v>
      </c>
      <c r="J149" s="16" t="s">
        <v>3736</v>
      </c>
      <c r="K149" s="16" t="s">
        <v>146</v>
      </c>
      <c r="L149" s="16" t="s">
        <v>423</v>
      </c>
      <c r="M149" s="16" t="s">
        <v>147</v>
      </c>
    </row>
    <row r="150" spans="1:13" ht="19.5" customHeight="1" x14ac:dyDescent="0.35">
      <c r="A150" s="16"/>
      <c r="B150" s="16"/>
      <c r="C150" s="16" t="s">
        <v>424</v>
      </c>
      <c r="D150" s="16"/>
      <c r="E150" s="16" t="s">
        <v>109</v>
      </c>
      <c r="F150" s="16" t="s">
        <v>3714</v>
      </c>
      <c r="G150" s="16"/>
      <c r="H150" s="16" t="s">
        <v>3789</v>
      </c>
      <c r="I150" s="19">
        <v>2016</v>
      </c>
      <c r="J150" s="16" t="s">
        <v>3873</v>
      </c>
      <c r="K150" s="16" t="s">
        <v>146</v>
      </c>
      <c r="L150" s="16" t="s">
        <v>426</v>
      </c>
      <c r="M150" s="16" t="s">
        <v>425</v>
      </c>
    </row>
    <row r="151" spans="1:13" ht="19.5" customHeight="1" x14ac:dyDescent="0.35">
      <c r="A151" s="16" t="s">
        <v>427</v>
      </c>
      <c r="B151" s="16" t="s">
        <v>3874</v>
      </c>
      <c r="C151" s="16" t="s">
        <v>3732</v>
      </c>
      <c r="D151" s="16" t="s">
        <v>143</v>
      </c>
      <c r="E151" s="16" t="s">
        <v>109</v>
      </c>
      <c r="F151" s="16" t="s">
        <v>3875</v>
      </c>
      <c r="G151" s="16" t="s">
        <v>3734</v>
      </c>
      <c r="H151" s="16" t="s">
        <v>3789</v>
      </c>
      <c r="I151" s="19">
        <v>2016</v>
      </c>
      <c r="J151" s="16" t="s">
        <v>3876</v>
      </c>
      <c r="K151" s="16" t="s">
        <v>146</v>
      </c>
      <c r="L151" s="16" t="s">
        <v>428</v>
      </c>
      <c r="M151" s="16" t="s">
        <v>147</v>
      </c>
    </row>
    <row r="152" spans="1:13" ht="19.5" customHeight="1" x14ac:dyDescent="0.35">
      <c r="A152" s="16" t="s">
        <v>429</v>
      </c>
      <c r="B152" s="16" t="s">
        <v>3877</v>
      </c>
      <c r="C152" s="16" t="s">
        <v>3732</v>
      </c>
      <c r="D152" s="16" t="s">
        <v>143</v>
      </c>
      <c r="E152" s="16" t="s">
        <v>109</v>
      </c>
      <c r="F152" s="16" t="s">
        <v>3714</v>
      </c>
      <c r="G152" s="16"/>
      <c r="H152" s="16" t="s">
        <v>3735</v>
      </c>
      <c r="I152" s="19">
        <v>2019</v>
      </c>
      <c r="J152" s="16" t="s">
        <v>3878</v>
      </c>
      <c r="K152" s="16" t="s">
        <v>146</v>
      </c>
      <c r="L152" s="16" t="s">
        <v>430</v>
      </c>
      <c r="M152" s="16" t="s">
        <v>147</v>
      </c>
    </row>
    <row r="153" spans="1:13" ht="19.5" customHeight="1" x14ac:dyDescent="0.35">
      <c r="A153" s="16" t="s">
        <v>431</v>
      </c>
      <c r="B153" s="16" t="s">
        <v>431</v>
      </c>
      <c r="C153" s="16" t="s">
        <v>3732</v>
      </c>
      <c r="D153" s="16" t="s">
        <v>143</v>
      </c>
      <c r="E153" s="16" t="s">
        <v>109</v>
      </c>
      <c r="F153" s="16" t="s">
        <v>3879</v>
      </c>
      <c r="G153" s="16" t="s">
        <v>3734</v>
      </c>
      <c r="H153" s="16" t="s">
        <v>3735</v>
      </c>
      <c r="I153" s="19">
        <v>2020</v>
      </c>
      <c r="J153" s="16" t="s">
        <v>3736</v>
      </c>
      <c r="K153" s="16" t="s">
        <v>146</v>
      </c>
      <c r="L153" s="16" t="s">
        <v>432</v>
      </c>
      <c r="M153" s="16" t="s">
        <v>147</v>
      </c>
    </row>
    <row r="154" spans="1:13" ht="19.5" customHeight="1" x14ac:dyDescent="0.35">
      <c r="A154" s="16" t="s">
        <v>433</v>
      </c>
      <c r="B154" s="16"/>
      <c r="C154" s="16" t="s">
        <v>3701</v>
      </c>
      <c r="D154" s="16" t="s">
        <v>42</v>
      </c>
      <c r="E154" s="16" t="s">
        <v>109</v>
      </c>
      <c r="F154" s="16" t="s">
        <v>3714</v>
      </c>
      <c r="G154" s="16" t="s">
        <v>3715</v>
      </c>
      <c r="H154" s="16"/>
      <c r="I154" s="16"/>
      <c r="J154" s="16" t="s">
        <v>3716</v>
      </c>
      <c r="K154" s="16" t="s">
        <v>146</v>
      </c>
      <c r="L154" s="16" t="s">
        <v>435</v>
      </c>
      <c r="M154" s="16" t="s">
        <v>434</v>
      </c>
    </row>
    <row r="155" spans="1:13" ht="19.5" customHeight="1" x14ac:dyDescent="0.35">
      <c r="A155" s="16" t="s">
        <v>433</v>
      </c>
      <c r="B155" s="16"/>
      <c r="C155" s="16" t="s">
        <v>3701</v>
      </c>
      <c r="D155" s="16" t="s">
        <v>42</v>
      </c>
      <c r="E155" s="16" t="s">
        <v>109</v>
      </c>
      <c r="F155" s="16" t="s">
        <v>3714</v>
      </c>
      <c r="G155" s="16" t="s">
        <v>3715</v>
      </c>
      <c r="H155" s="16"/>
      <c r="I155" s="16"/>
      <c r="J155" s="16" t="s">
        <v>3716</v>
      </c>
      <c r="K155" s="16" t="s">
        <v>146</v>
      </c>
      <c r="L155" s="16" t="s">
        <v>436</v>
      </c>
      <c r="M155" s="16" t="s">
        <v>434</v>
      </c>
    </row>
    <row r="156" spans="1:13" ht="19.5" customHeight="1" x14ac:dyDescent="0.35">
      <c r="A156" s="16" t="s">
        <v>433</v>
      </c>
      <c r="B156" s="16"/>
      <c r="C156" s="16" t="s">
        <v>3701</v>
      </c>
      <c r="D156" s="16" t="s">
        <v>42</v>
      </c>
      <c r="E156" s="16" t="s">
        <v>109</v>
      </c>
      <c r="F156" s="16" t="s">
        <v>3714</v>
      </c>
      <c r="G156" s="16" t="s">
        <v>3715</v>
      </c>
      <c r="H156" s="16"/>
      <c r="I156" s="16"/>
      <c r="J156" s="16" t="s">
        <v>3716</v>
      </c>
      <c r="K156" s="16" t="s">
        <v>146</v>
      </c>
      <c r="L156" s="16" t="s">
        <v>437</v>
      </c>
      <c r="M156" s="16" t="s">
        <v>434</v>
      </c>
    </row>
    <row r="157" spans="1:13" ht="19.5" customHeight="1" x14ac:dyDescent="0.35">
      <c r="A157" s="16" t="s">
        <v>433</v>
      </c>
      <c r="B157" s="16"/>
      <c r="C157" s="16" t="s">
        <v>3701</v>
      </c>
      <c r="D157" s="16" t="s">
        <v>42</v>
      </c>
      <c r="E157" s="16" t="s">
        <v>109</v>
      </c>
      <c r="F157" s="16" t="s">
        <v>3714</v>
      </c>
      <c r="G157" s="16" t="s">
        <v>3715</v>
      </c>
      <c r="H157" s="16"/>
      <c r="I157" s="16"/>
      <c r="J157" s="16"/>
      <c r="K157" s="16" t="s">
        <v>146</v>
      </c>
      <c r="L157" s="16" t="s">
        <v>438</v>
      </c>
      <c r="M157" s="16" t="s">
        <v>434</v>
      </c>
    </row>
    <row r="158" spans="1:13" ht="19.5" customHeight="1" x14ac:dyDescent="0.35">
      <c r="A158" s="16" t="s">
        <v>439</v>
      </c>
      <c r="B158" s="16" t="s">
        <v>442</v>
      </c>
      <c r="C158" s="16" t="s">
        <v>3701</v>
      </c>
      <c r="D158" s="16" t="s">
        <v>40</v>
      </c>
      <c r="E158" s="16" t="s">
        <v>109</v>
      </c>
      <c r="F158" s="16" t="s">
        <v>3717</v>
      </c>
      <c r="G158" s="16" t="s">
        <v>3718</v>
      </c>
      <c r="H158" s="16"/>
      <c r="I158" s="16"/>
      <c r="J158" s="16"/>
      <c r="K158" s="16" t="s">
        <v>146</v>
      </c>
      <c r="L158" s="16" t="s">
        <v>441</v>
      </c>
      <c r="M158" s="16" t="s">
        <v>440</v>
      </c>
    </row>
    <row r="159" spans="1:13" ht="19.5" customHeight="1" x14ac:dyDescent="0.35">
      <c r="A159" s="16" t="s">
        <v>442</v>
      </c>
      <c r="B159" s="16" t="s">
        <v>442</v>
      </c>
      <c r="C159" s="16" t="s">
        <v>3701</v>
      </c>
      <c r="D159" s="16" t="s">
        <v>40</v>
      </c>
      <c r="E159" s="16" t="s">
        <v>109</v>
      </c>
      <c r="F159" s="16" t="s">
        <v>3717</v>
      </c>
      <c r="G159" s="16" t="s">
        <v>3718</v>
      </c>
      <c r="H159" s="16"/>
      <c r="I159" s="16"/>
      <c r="J159" s="16"/>
      <c r="K159" s="16" t="s">
        <v>146</v>
      </c>
      <c r="L159" s="16" t="s">
        <v>443</v>
      </c>
      <c r="M159" s="16" t="s">
        <v>440</v>
      </c>
    </row>
    <row r="160" spans="1:13" ht="19.5" customHeight="1" x14ac:dyDescent="0.35">
      <c r="A160" s="16" t="s">
        <v>444</v>
      </c>
      <c r="B160" s="16" t="s">
        <v>444</v>
      </c>
      <c r="C160" s="16" t="s">
        <v>3701</v>
      </c>
      <c r="D160" s="16" t="s">
        <v>40</v>
      </c>
      <c r="E160" s="16" t="s">
        <v>109</v>
      </c>
      <c r="F160" s="16" t="s">
        <v>3717</v>
      </c>
      <c r="G160" s="16" t="s">
        <v>3718</v>
      </c>
      <c r="H160" s="16"/>
      <c r="I160" s="16"/>
      <c r="J160" s="16"/>
      <c r="K160" s="16" t="s">
        <v>146</v>
      </c>
      <c r="L160" s="16" t="s">
        <v>445</v>
      </c>
      <c r="M160" s="16" t="s">
        <v>440</v>
      </c>
    </row>
    <row r="161" spans="1:13" ht="19.5" customHeight="1" x14ac:dyDescent="0.35">
      <c r="A161" s="16" t="s">
        <v>446</v>
      </c>
      <c r="B161" s="16" t="s">
        <v>446</v>
      </c>
      <c r="C161" s="16" t="s">
        <v>3701</v>
      </c>
      <c r="D161" s="16" t="s">
        <v>40</v>
      </c>
      <c r="E161" s="16" t="s">
        <v>109</v>
      </c>
      <c r="F161" s="16" t="s">
        <v>3717</v>
      </c>
      <c r="G161" s="16" t="s">
        <v>3718</v>
      </c>
      <c r="H161" s="16"/>
      <c r="I161" s="16"/>
      <c r="J161" s="16"/>
      <c r="K161" s="16" t="s">
        <v>146</v>
      </c>
      <c r="L161" s="16" t="s">
        <v>447</v>
      </c>
      <c r="M161" s="16" t="s">
        <v>440</v>
      </c>
    </row>
    <row r="162" spans="1:13" ht="19.5" customHeight="1" x14ac:dyDescent="0.35">
      <c r="A162" s="16" t="s">
        <v>448</v>
      </c>
      <c r="B162" s="16" t="s">
        <v>448</v>
      </c>
      <c r="C162" s="16" t="s">
        <v>3701</v>
      </c>
      <c r="D162" s="16" t="s">
        <v>40</v>
      </c>
      <c r="E162" s="16" t="s">
        <v>109</v>
      </c>
      <c r="F162" s="16" t="s">
        <v>3717</v>
      </c>
      <c r="G162" s="16" t="s">
        <v>3718</v>
      </c>
      <c r="H162" s="16"/>
      <c r="I162" s="16"/>
      <c r="J162" s="16"/>
      <c r="K162" s="16" t="s">
        <v>146</v>
      </c>
      <c r="L162" s="16" t="s">
        <v>449</v>
      </c>
      <c r="M162" s="16" t="s">
        <v>440</v>
      </c>
    </row>
    <row r="163" spans="1:13" ht="19.5" customHeight="1" x14ac:dyDescent="0.35">
      <c r="A163" s="16" t="s">
        <v>450</v>
      </c>
      <c r="B163" s="16" t="s">
        <v>450</v>
      </c>
      <c r="C163" s="16" t="s">
        <v>3701</v>
      </c>
      <c r="D163" s="16" t="s">
        <v>40</v>
      </c>
      <c r="E163" s="16" t="s">
        <v>109</v>
      </c>
      <c r="F163" s="16" t="s">
        <v>3717</v>
      </c>
      <c r="G163" s="16" t="s">
        <v>3718</v>
      </c>
      <c r="H163" s="16"/>
      <c r="I163" s="16"/>
      <c r="J163" s="16"/>
      <c r="K163" s="16" t="s">
        <v>146</v>
      </c>
      <c r="L163" s="16" t="s">
        <v>451</v>
      </c>
      <c r="M163" s="16" t="s">
        <v>440</v>
      </c>
    </row>
    <row r="164" spans="1:13" ht="19.5" customHeight="1" x14ac:dyDescent="0.35">
      <c r="A164" s="16" t="s">
        <v>452</v>
      </c>
      <c r="B164" s="16" t="s">
        <v>452</v>
      </c>
      <c r="C164" s="16" t="s">
        <v>3701</v>
      </c>
      <c r="D164" s="16" t="s">
        <v>40</v>
      </c>
      <c r="E164" s="16" t="s">
        <v>109</v>
      </c>
      <c r="F164" s="16" t="s">
        <v>3717</v>
      </c>
      <c r="G164" s="16" t="s">
        <v>3718</v>
      </c>
      <c r="H164" s="16"/>
      <c r="I164" s="16"/>
      <c r="J164" s="16"/>
      <c r="K164" s="16" t="s">
        <v>146</v>
      </c>
      <c r="L164" s="16" t="s">
        <v>453</v>
      </c>
      <c r="M164" s="16" t="s">
        <v>440</v>
      </c>
    </row>
    <row r="165" spans="1:13" ht="19.5" customHeight="1" x14ac:dyDescent="0.35">
      <c r="A165" s="16" t="s">
        <v>454</v>
      </c>
      <c r="B165" s="16" t="s">
        <v>454</v>
      </c>
      <c r="C165" s="16" t="s">
        <v>3701</v>
      </c>
      <c r="D165" s="16" t="s">
        <v>40</v>
      </c>
      <c r="E165" s="16" t="s">
        <v>109</v>
      </c>
      <c r="F165" s="16" t="s">
        <v>3717</v>
      </c>
      <c r="G165" s="16" t="s">
        <v>3718</v>
      </c>
      <c r="H165" s="16"/>
      <c r="I165" s="16"/>
      <c r="J165" s="16"/>
      <c r="K165" s="16" t="s">
        <v>158</v>
      </c>
      <c r="L165" s="16" t="s">
        <v>455</v>
      </c>
      <c r="M165" s="16" t="s">
        <v>440</v>
      </c>
    </row>
    <row r="166" spans="1:13" ht="19.5" customHeight="1" x14ac:dyDescent="0.35">
      <c r="A166" s="16" t="s">
        <v>456</v>
      </c>
      <c r="B166" s="16" t="s">
        <v>456</v>
      </c>
      <c r="C166" s="16" t="s">
        <v>3701</v>
      </c>
      <c r="D166" s="16" t="s">
        <v>40</v>
      </c>
      <c r="E166" s="16" t="s">
        <v>109</v>
      </c>
      <c r="F166" s="16" t="s">
        <v>3717</v>
      </c>
      <c r="G166" s="16" t="s">
        <v>3718</v>
      </c>
      <c r="H166" s="16"/>
      <c r="I166" s="16"/>
      <c r="J166" s="16"/>
      <c r="K166" s="16" t="s">
        <v>146</v>
      </c>
      <c r="L166" s="16" t="s">
        <v>453</v>
      </c>
      <c r="M166" s="16" t="s">
        <v>440</v>
      </c>
    </row>
    <row r="167" spans="1:13" ht="19.5" customHeight="1" x14ac:dyDescent="0.35">
      <c r="A167" s="16" t="s">
        <v>457</v>
      </c>
      <c r="B167" s="16" t="s">
        <v>457</v>
      </c>
      <c r="C167" s="16" t="s">
        <v>3701</v>
      </c>
      <c r="D167" s="16" t="s">
        <v>40</v>
      </c>
      <c r="E167" s="16" t="s">
        <v>109</v>
      </c>
      <c r="F167" s="16" t="s">
        <v>3717</v>
      </c>
      <c r="G167" s="16" t="s">
        <v>3718</v>
      </c>
      <c r="H167" s="16"/>
      <c r="I167" s="16"/>
      <c r="J167" s="16"/>
      <c r="K167" s="16" t="s">
        <v>146</v>
      </c>
      <c r="L167" s="16" t="s">
        <v>458</v>
      </c>
      <c r="M167" s="16" t="s">
        <v>440</v>
      </c>
    </row>
    <row r="168" spans="1:13" ht="19.5" customHeight="1" x14ac:dyDescent="0.35">
      <c r="A168" s="16" t="s">
        <v>459</v>
      </c>
      <c r="B168" s="16" t="s">
        <v>459</v>
      </c>
      <c r="C168" s="16" t="s">
        <v>3701</v>
      </c>
      <c r="D168" s="16" t="s">
        <v>40</v>
      </c>
      <c r="E168" s="16" t="s">
        <v>109</v>
      </c>
      <c r="F168" s="16" t="s">
        <v>3717</v>
      </c>
      <c r="G168" s="16" t="s">
        <v>3718</v>
      </c>
      <c r="H168" s="16"/>
      <c r="I168" s="16"/>
      <c r="J168" s="16"/>
      <c r="K168" s="16" t="s">
        <v>146</v>
      </c>
      <c r="L168" s="16" t="s">
        <v>460</v>
      </c>
      <c r="M168" s="16" t="s">
        <v>440</v>
      </c>
    </row>
    <row r="169" spans="1:13" ht="19.5" customHeight="1" x14ac:dyDescent="0.35">
      <c r="A169" s="16" t="s">
        <v>461</v>
      </c>
      <c r="B169" s="16" t="s">
        <v>461</v>
      </c>
      <c r="C169" s="16" t="s">
        <v>3701</v>
      </c>
      <c r="D169" s="16" t="s">
        <v>40</v>
      </c>
      <c r="E169" s="16" t="s">
        <v>109</v>
      </c>
      <c r="F169" s="16" t="s">
        <v>3717</v>
      </c>
      <c r="G169" s="16" t="s">
        <v>3718</v>
      </c>
      <c r="H169" s="16"/>
      <c r="I169" s="16"/>
      <c r="J169" s="16"/>
      <c r="K169" s="16" t="s">
        <v>146</v>
      </c>
      <c r="L169" s="16" t="s">
        <v>462</v>
      </c>
      <c r="M169" s="16" t="s">
        <v>440</v>
      </c>
    </row>
    <row r="170" spans="1:13" ht="19.5" customHeight="1" x14ac:dyDescent="0.35">
      <c r="A170" s="16" t="s">
        <v>463</v>
      </c>
      <c r="B170" s="16" t="s">
        <v>463</v>
      </c>
      <c r="C170" s="16" t="s">
        <v>3701</v>
      </c>
      <c r="D170" s="16" t="s">
        <v>40</v>
      </c>
      <c r="E170" s="16" t="s">
        <v>109</v>
      </c>
      <c r="F170" s="16" t="s">
        <v>3717</v>
      </c>
      <c r="G170" s="16" t="s">
        <v>3718</v>
      </c>
      <c r="H170" s="16"/>
      <c r="I170" s="16"/>
      <c r="J170" s="16"/>
      <c r="K170" s="16" t="s">
        <v>158</v>
      </c>
      <c r="L170" s="16" t="s">
        <v>455</v>
      </c>
      <c r="M170" s="16" t="s">
        <v>440</v>
      </c>
    </row>
    <row r="171" spans="1:13" ht="19.5" customHeight="1" x14ac:dyDescent="0.35">
      <c r="A171" s="16" t="s">
        <v>464</v>
      </c>
      <c r="B171" s="16" t="s">
        <v>464</v>
      </c>
      <c r="C171" s="16" t="s">
        <v>3701</v>
      </c>
      <c r="D171" s="16" t="s">
        <v>38</v>
      </c>
      <c r="E171" s="16" t="s">
        <v>109</v>
      </c>
      <c r="F171" s="16" t="s">
        <v>3719</v>
      </c>
      <c r="G171" s="16" t="s">
        <v>3720</v>
      </c>
      <c r="H171" s="16"/>
      <c r="I171" s="16"/>
      <c r="J171" s="16"/>
      <c r="K171" s="16" t="s">
        <v>146</v>
      </c>
      <c r="L171" s="16" t="s">
        <v>466</v>
      </c>
      <c r="M171" s="16" t="s">
        <v>465</v>
      </c>
    </row>
    <row r="172" spans="1:13" ht="19.5" customHeight="1" x14ac:dyDescent="0.35">
      <c r="A172" s="16" t="s">
        <v>467</v>
      </c>
      <c r="B172" s="16" t="s">
        <v>467</v>
      </c>
      <c r="C172" s="16" t="s">
        <v>3701</v>
      </c>
      <c r="D172" s="16" t="s">
        <v>38</v>
      </c>
      <c r="E172" s="16" t="s">
        <v>109</v>
      </c>
      <c r="F172" s="16" t="s">
        <v>3719</v>
      </c>
      <c r="G172" s="16" t="s">
        <v>3720</v>
      </c>
      <c r="H172" s="16"/>
      <c r="I172" s="16"/>
      <c r="J172" s="16"/>
      <c r="K172" s="16" t="s">
        <v>146</v>
      </c>
      <c r="L172" s="16" t="s">
        <v>468</v>
      </c>
      <c r="M172" s="16" t="s">
        <v>465</v>
      </c>
    </row>
    <row r="173" spans="1:13" ht="19.5" customHeight="1" x14ac:dyDescent="0.35">
      <c r="A173" s="16" t="s">
        <v>469</v>
      </c>
      <c r="B173" s="16" t="s">
        <v>469</v>
      </c>
      <c r="C173" s="16" t="s">
        <v>3701</v>
      </c>
      <c r="D173" s="16" t="s">
        <v>38</v>
      </c>
      <c r="E173" s="16" t="s">
        <v>109</v>
      </c>
      <c r="F173" s="16" t="s">
        <v>3719</v>
      </c>
      <c r="G173" s="16" t="s">
        <v>3720</v>
      </c>
      <c r="H173" s="16"/>
      <c r="I173" s="16"/>
      <c r="J173" s="16"/>
      <c r="K173" s="16" t="s">
        <v>146</v>
      </c>
      <c r="L173" s="16" t="s">
        <v>470</v>
      </c>
      <c r="M173" s="16" t="s">
        <v>465</v>
      </c>
    </row>
    <row r="174" spans="1:13" ht="19.5" customHeight="1" x14ac:dyDescent="0.35">
      <c r="A174" s="16" t="s">
        <v>471</v>
      </c>
      <c r="B174" s="16" t="s">
        <v>471</v>
      </c>
      <c r="C174" s="16" t="s">
        <v>3701</v>
      </c>
      <c r="D174" s="16" t="s">
        <v>38</v>
      </c>
      <c r="E174" s="16" t="s">
        <v>109</v>
      </c>
      <c r="F174" s="16" t="s">
        <v>3719</v>
      </c>
      <c r="G174" s="16" t="s">
        <v>3720</v>
      </c>
      <c r="H174" s="16"/>
      <c r="I174" s="16"/>
      <c r="J174" s="16"/>
      <c r="K174" s="16" t="s">
        <v>146</v>
      </c>
      <c r="L174" s="16" t="s">
        <v>472</v>
      </c>
      <c r="M174" s="16" t="s">
        <v>465</v>
      </c>
    </row>
    <row r="175" spans="1:13" ht="19.5" customHeight="1" x14ac:dyDescent="0.35">
      <c r="A175" s="16" t="s">
        <v>473</v>
      </c>
      <c r="B175" s="16" t="s">
        <v>473</v>
      </c>
      <c r="C175" s="16" t="s">
        <v>3701</v>
      </c>
      <c r="D175" s="16" t="s">
        <v>38</v>
      </c>
      <c r="E175" s="16" t="s">
        <v>109</v>
      </c>
      <c r="F175" s="16" t="s">
        <v>3719</v>
      </c>
      <c r="G175" s="16" t="s">
        <v>3720</v>
      </c>
      <c r="H175" s="16"/>
      <c r="I175" s="16"/>
      <c r="J175" s="16"/>
      <c r="K175" s="16" t="s">
        <v>146</v>
      </c>
      <c r="L175" s="16" t="s">
        <v>474</v>
      </c>
      <c r="M175" s="16" t="s">
        <v>465</v>
      </c>
    </row>
    <row r="176" spans="1:13" ht="19.5" customHeight="1" x14ac:dyDescent="0.35">
      <c r="A176" s="16" t="s">
        <v>475</v>
      </c>
      <c r="B176" s="16" t="s">
        <v>475</v>
      </c>
      <c r="C176" s="16" t="s">
        <v>3701</v>
      </c>
      <c r="D176" s="16" t="s">
        <v>38</v>
      </c>
      <c r="E176" s="16" t="s">
        <v>109</v>
      </c>
      <c r="F176" s="16" t="s">
        <v>3719</v>
      </c>
      <c r="G176" s="16" t="s">
        <v>3720</v>
      </c>
      <c r="H176" s="16"/>
      <c r="I176" s="16"/>
      <c r="J176" s="16"/>
      <c r="K176" s="16" t="s">
        <v>146</v>
      </c>
      <c r="L176" s="16" t="s">
        <v>476</v>
      </c>
      <c r="M176" s="16" t="s">
        <v>465</v>
      </c>
    </row>
    <row r="177" spans="1:13" ht="19.5" customHeight="1" x14ac:dyDescent="0.35">
      <c r="A177" s="16" t="s">
        <v>477</v>
      </c>
      <c r="B177" s="16" t="s">
        <v>477</v>
      </c>
      <c r="C177" s="16" t="s">
        <v>3701</v>
      </c>
      <c r="D177" s="16" t="s">
        <v>38</v>
      </c>
      <c r="E177" s="16" t="s">
        <v>109</v>
      </c>
      <c r="F177" s="16" t="s">
        <v>3719</v>
      </c>
      <c r="G177" s="16" t="s">
        <v>3720</v>
      </c>
      <c r="H177" s="16"/>
      <c r="I177" s="16"/>
      <c r="J177" s="16"/>
      <c r="K177" s="16" t="s">
        <v>146</v>
      </c>
      <c r="L177" s="16" t="s">
        <v>478</v>
      </c>
      <c r="M177" s="16" t="s">
        <v>465</v>
      </c>
    </row>
    <row r="178" spans="1:13" ht="19.5" customHeight="1" x14ac:dyDescent="0.35">
      <c r="A178" s="16" t="s">
        <v>479</v>
      </c>
      <c r="B178" s="16" t="s">
        <v>479</v>
      </c>
      <c r="C178" s="16" t="s">
        <v>3701</v>
      </c>
      <c r="D178" s="16" t="s">
        <v>38</v>
      </c>
      <c r="E178" s="16" t="s">
        <v>109</v>
      </c>
      <c r="F178" s="16" t="s">
        <v>3719</v>
      </c>
      <c r="G178" s="16" t="s">
        <v>3720</v>
      </c>
      <c r="H178" s="16"/>
      <c r="I178" s="16"/>
      <c r="J178" s="16"/>
      <c r="K178" s="16" t="s">
        <v>146</v>
      </c>
      <c r="L178" s="16" t="s">
        <v>480</v>
      </c>
      <c r="M178" s="16" t="s">
        <v>465</v>
      </c>
    </row>
    <row r="179" spans="1:13" ht="19.5" customHeight="1" x14ac:dyDescent="0.35">
      <c r="A179" s="16" t="s">
        <v>481</v>
      </c>
      <c r="B179" s="16" t="s">
        <v>481</v>
      </c>
      <c r="C179" s="16" t="s">
        <v>3701</v>
      </c>
      <c r="D179" s="16" t="s">
        <v>38</v>
      </c>
      <c r="E179" s="16" t="s">
        <v>109</v>
      </c>
      <c r="F179" s="16" t="s">
        <v>3719</v>
      </c>
      <c r="G179" s="16" t="s">
        <v>3720</v>
      </c>
      <c r="H179" s="16"/>
      <c r="I179" s="16"/>
      <c r="J179" s="16"/>
      <c r="K179" s="16" t="s">
        <v>146</v>
      </c>
      <c r="L179" s="16" t="s">
        <v>482</v>
      </c>
      <c r="M179" s="16" t="s">
        <v>465</v>
      </c>
    </row>
    <row r="180" spans="1:13" ht="19.5" customHeight="1" x14ac:dyDescent="0.35">
      <c r="A180" s="16" t="s">
        <v>483</v>
      </c>
      <c r="B180" s="16" t="s">
        <v>483</v>
      </c>
      <c r="C180" s="16" t="s">
        <v>3701</v>
      </c>
      <c r="D180" s="16" t="s">
        <v>38</v>
      </c>
      <c r="E180" s="16" t="s">
        <v>109</v>
      </c>
      <c r="F180" s="16" t="s">
        <v>3719</v>
      </c>
      <c r="G180" s="16" t="s">
        <v>3720</v>
      </c>
      <c r="H180" s="16"/>
      <c r="I180" s="16"/>
      <c r="J180" s="16"/>
      <c r="K180" s="16" t="s">
        <v>146</v>
      </c>
      <c r="L180" s="16" t="s">
        <v>484</v>
      </c>
      <c r="M180" s="16" t="s">
        <v>465</v>
      </c>
    </row>
    <row r="181" spans="1:13" ht="19.5" customHeight="1" x14ac:dyDescent="0.35">
      <c r="A181" s="16" t="s">
        <v>485</v>
      </c>
      <c r="B181" s="16" t="s">
        <v>485</v>
      </c>
      <c r="C181" s="16" t="s">
        <v>3701</v>
      </c>
      <c r="D181" s="16" t="s">
        <v>38</v>
      </c>
      <c r="E181" s="16" t="s">
        <v>109</v>
      </c>
      <c r="F181" s="16" t="s">
        <v>3719</v>
      </c>
      <c r="G181" s="16" t="s">
        <v>3720</v>
      </c>
      <c r="H181" s="16"/>
      <c r="I181" s="16"/>
      <c r="J181" s="16"/>
      <c r="K181" s="16" t="s">
        <v>146</v>
      </c>
      <c r="L181" s="16" t="s">
        <v>486</v>
      </c>
      <c r="M181" s="16" t="s">
        <v>465</v>
      </c>
    </row>
    <row r="182" spans="1:13" ht="19.5" customHeight="1" x14ac:dyDescent="0.35">
      <c r="A182" s="16" t="s">
        <v>487</v>
      </c>
      <c r="B182" s="16" t="s">
        <v>487</v>
      </c>
      <c r="C182" s="16" t="s">
        <v>3701</v>
      </c>
      <c r="D182" s="16" t="s">
        <v>38</v>
      </c>
      <c r="E182" s="16" t="s">
        <v>109</v>
      </c>
      <c r="F182" s="16" t="s">
        <v>3719</v>
      </c>
      <c r="G182" s="16" t="s">
        <v>3720</v>
      </c>
      <c r="H182" s="16"/>
      <c r="I182" s="16"/>
      <c r="J182" s="16"/>
      <c r="K182" s="16" t="s">
        <v>146</v>
      </c>
      <c r="L182" s="16" t="s">
        <v>488</v>
      </c>
      <c r="M182" s="16" t="s">
        <v>465</v>
      </c>
    </row>
    <row r="183" spans="1:13" ht="19.5" customHeight="1" x14ac:dyDescent="0.35">
      <c r="A183" s="16" t="s">
        <v>489</v>
      </c>
      <c r="B183" s="16" t="s">
        <v>489</v>
      </c>
      <c r="C183" s="16" t="s">
        <v>3701</v>
      </c>
      <c r="D183" s="16" t="s">
        <v>38</v>
      </c>
      <c r="E183" s="16" t="s">
        <v>109</v>
      </c>
      <c r="F183" s="16" t="s">
        <v>3719</v>
      </c>
      <c r="G183" s="16" t="s">
        <v>3720</v>
      </c>
      <c r="H183" s="16"/>
      <c r="I183" s="16"/>
      <c r="J183" s="16"/>
      <c r="K183" s="16" t="s">
        <v>146</v>
      </c>
      <c r="L183" s="16" t="s">
        <v>490</v>
      </c>
      <c r="M183" s="16" t="s">
        <v>465</v>
      </c>
    </row>
    <row r="184" spans="1:13" ht="19.5" customHeight="1" x14ac:dyDescent="0.35">
      <c r="A184" s="16" t="s">
        <v>491</v>
      </c>
      <c r="B184" s="16" t="s">
        <v>491</v>
      </c>
      <c r="C184" s="16" t="s">
        <v>3701</v>
      </c>
      <c r="D184" s="16" t="s">
        <v>38</v>
      </c>
      <c r="E184" s="16" t="s">
        <v>109</v>
      </c>
      <c r="F184" s="16" t="s">
        <v>3719</v>
      </c>
      <c r="G184" s="16" t="s">
        <v>3720</v>
      </c>
      <c r="H184" s="16"/>
      <c r="I184" s="16"/>
      <c r="J184" s="16"/>
      <c r="K184" s="16" t="s">
        <v>146</v>
      </c>
      <c r="L184" s="16" t="s">
        <v>492</v>
      </c>
      <c r="M184" s="16" t="s">
        <v>465</v>
      </c>
    </row>
    <row r="185" spans="1:13" ht="19.5" customHeight="1" x14ac:dyDescent="0.35">
      <c r="A185" s="16" t="s">
        <v>493</v>
      </c>
      <c r="B185" s="16"/>
      <c r="C185" s="16" t="s">
        <v>424</v>
      </c>
      <c r="D185" s="16"/>
      <c r="E185" s="16" t="s">
        <v>109</v>
      </c>
      <c r="F185" s="16" t="s">
        <v>3880</v>
      </c>
      <c r="G185" s="16" t="s">
        <v>3881</v>
      </c>
      <c r="H185" s="16"/>
      <c r="I185" s="16"/>
      <c r="J185" s="16"/>
      <c r="K185" s="16" t="s">
        <v>146</v>
      </c>
      <c r="L185" s="16" t="s">
        <v>494</v>
      </c>
      <c r="M185" s="16" t="s">
        <v>425</v>
      </c>
    </row>
    <row r="186" spans="1:13" ht="19.5" customHeight="1" x14ac:dyDescent="0.35">
      <c r="A186" s="16" t="s">
        <v>495</v>
      </c>
      <c r="B186" s="16"/>
      <c r="C186" s="16" t="s">
        <v>424</v>
      </c>
      <c r="D186" s="16"/>
      <c r="E186" s="16" t="s">
        <v>109</v>
      </c>
      <c r="F186" s="16" t="s">
        <v>3880</v>
      </c>
      <c r="G186" s="16" t="s">
        <v>3881</v>
      </c>
      <c r="H186" s="16"/>
      <c r="I186" s="16"/>
      <c r="J186" s="16"/>
      <c r="K186" s="16" t="s">
        <v>146</v>
      </c>
      <c r="L186" s="16" t="s">
        <v>496</v>
      </c>
      <c r="M186" s="16" t="s">
        <v>425</v>
      </c>
    </row>
    <row r="187" spans="1:13" ht="19.5" customHeight="1" x14ac:dyDescent="0.35">
      <c r="A187" s="16" t="s">
        <v>498</v>
      </c>
      <c r="B187" s="16" t="s">
        <v>498</v>
      </c>
      <c r="C187" s="16" t="s">
        <v>3732</v>
      </c>
      <c r="D187" s="16" t="s">
        <v>497</v>
      </c>
      <c r="E187" s="16" t="s">
        <v>109</v>
      </c>
      <c r="F187" s="16" t="s">
        <v>3882</v>
      </c>
      <c r="G187" s="16"/>
      <c r="H187" s="16"/>
      <c r="I187" s="19">
        <v>2018</v>
      </c>
      <c r="J187" s="16"/>
      <c r="K187" s="16" t="s">
        <v>146</v>
      </c>
      <c r="L187" s="16" t="s">
        <v>500</v>
      </c>
      <c r="M187" s="16" t="s">
        <v>499</v>
      </c>
    </row>
    <row r="188" spans="1:13" ht="19.5" customHeight="1" x14ac:dyDescent="0.35">
      <c r="A188" s="16" t="s">
        <v>501</v>
      </c>
      <c r="B188" s="16" t="s">
        <v>501</v>
      </c>
      <c r="C188" s="16" t="s">
        <v>3732</v>
      </c>
      <c r="D188" s="16" t="s">
        <v>497</v>
      </c>
      <c r="E188" s="16" t="s">
        <v>109</v>
      </c>
      <c r="F188" s="16" t="s">
        <v>3882</v>
      </c>
      <c r="G188" s="16"/>
      <c r="H188" s="16"/>
      <c r="I188" s="19">
        <v>2018</v>
      </c>
      <c r="J188" s="16"/>
      <c r="K188" s="16" t="s">
        <v>146</v>
      </c>
      <c r="L188" s="16" t="s">
        <v>502</v>
      </c>
      <c r="M188" s="16" t="s">
        <v>499</v>
      </c>
    </row>
    <row r="189" spans="1:13" ht="19.5" customHeight="1" x14ac:dyDescent="0.35">
      <c r="A189" s="16" t="s">
        <v>503</v>
      </c>
      <c r="B189" s="16" t="s">
        <v>503</v>
      </c>
      <c r="C189" s="16" t="s">
        <v>3732</v>
      </c>
      <c r="D189" s="16" t="s">
        <v>497</v>
      </c>
      <c r="E189" s="16" t="s">
        <v>109</v>
      </c>
      <c r="F189" s="16" t="s">
        <v>3882</v>
      </c>
      <c r="G189" s="16"/>
      <c r="H189" s="16"/>
      <c r="I189" s="19">
        <v>2018</v>
      </c>
      <c r="J189" s="16"/>
      <c r="K189" s="16" t="s">
        <v>146</v>
      </c>
      <c r="L189" s="16" t="s">
        <v>504</v>
      </c>
      <c r="M189" s="16" t="s">
        <v>499</v>
      </c>
    </row>
    <row r="190" spans="1:13" ht="19.5" customHeight="1" x14ac:dyDescent="0.35">
      <c r="A190" s="16" t="s">
        <v>505</v>
      </c>
      <c r="B190" s="16" t="s">
        <v>505</v>
      </c>
      <c r="C190" s="16" t="s">
        <v>3732</v>
      </c>
      <c r="D190" s="16" t="s">
        <v>497</v>
      </c>
      <c r="E190" s="16" t="s">
        <v>109</v>
      </c>
      <c r="F190" s="16" t="s">
        <v>3882</v>
      </c>
      <c r="G190" s="16"/>
      <c r="H190" s="16"/>
      <c r="I190" s="19">
        <v>2018</v>
      </c>
      <c r="J190" s="16"/>
      <c r="K190" s="16" t="s">
        <v>146</v>
      </c>
      <c r="L190" s="16" t="s">
        <v>506</v>
      </c>
      <c r="M190" s="16" t="s">
        <v>499</v>
      </c>
    </row>
    <row r="191" spans="1:13" ht="19.5" customHeight="1" x14ac:dyDescent="0.35">
      <c r="A191" s="16" t="s">
        <v>507</v>
      </c>
      <c r="B191" s="16" t="s">
        <v>507</v>
      </c>
      <c r="C191" s="16" t="s">
        <v>3732</v>
      </c>
      <c r="D191" s="16" t="s">
        <v>497</v>
      </c>
      <c r="E191" s="16" t="s">
        <v>109</v>
      </c>
      <c r="F191" s="16" t="s">
        <v>3882</v>
      </c>
      <c r="G191" s="16"/>
      <c r="H191" s="16"/>
      <c r="I191" s="19">
        <v>2018</v>
      </c>
      <c r="J191" s="16"/>
      <c r="K191" s="16" t="s">
        <v>146</v>
      </c>
      <c r="L191" s="16" t="s">
        <v>508</v>
      </c>
      <c r="M191" s="16" t="s">
        <v>499</v>
      </c>
    </row>
    <row r="192" spans="1:13" ht="19.5" customHeight="1" x14ac:dyDescent="0.35">
      <c r="A192" s="16" t="s">
        <v>509</v>
      </c>
      <c r="B192" s="16" t="s">
        <v>509</v>
      </c>
      <c r="C192" s="16" t="s">
        <v>3732</v>
      </c>
      <c r="D192" s="16" t="s">
        <v>497</v>
      </c>
      <c r="E192" s="16" t="s">
        <v>109</v>
      </c>
      <c r="F192" s="16" t="s">
        <v>3882</v>
      </c>
      <c r="G192" s="16"/>
      <c r="H192" s="16"/>
      <c r="I192" s="19">
        <v>2018</v>
      </c>
      <c r="J192" s="16"/>
      <c r="K192" s="16" t="s">
        <v>146</v>
      </c>
      <c r="L192" s="16" t="s">
        <v>510</v>
      </c>
      <c r="M192" s="16" t="s">
        <v>499</v>
      </c>
    </row>
    <row r="193" spans="1:13" ht="19.5" customHeight="1" x14ac:dyDescent="0.35">
      <c r="A193" s="16" t="s">
        <v>511</v>
      </c>
      <c r="B193" s="16" t="s">
        <v>511</v>
      </c>
      <c r="C193" s="16" t="s">
        <v>3732</v>
      </c>
      <c r="D193" s="16" t="s">
        <v>497</v>
      </c>
      <c r="E193" s="16" t="s">
        <v>109</v>
      </c>
      <c r="F193" s="16" t="s">
        <v>3882</v>
      </c>
      <c r="G193" s="16"/>
      <c r="H193" s="16"/>
      <c r="I193" s="19">
        <v>2018</v>
      </c>
      <c r="J193" s="16"/>
      <c r="K193" s="16" t="s">
        <v>146</v>
      </c>
      <c r="L193" s="16" t="s">
        <v>512</v>
      </c>
      <c r="M193" s="16" t="s">
        <v>499</v>
      </c>
    </row>
    <row r="194" spans="1:13" ht="19.5" customHeight="1" x14ac:dyDescent="0.35">
      <c r="A194" s="16" t="s">
        <v>513</v>
      </c>
      <c r="B194" s="16" t="s">
        <v>513</v>
      </c>
      <c r="C194" s="16" t="s">
        <v>3732</v>
      </c>
      <c r="D194" s="16" t="s">
        <v>497</v>
      </c>
      <c r="E194" s="16" t="s">
        <v>109</v>
      </c>
      <c r="F194" s="16" t="s">
        <v>3882</v>
      </c>
      <c r="G194" s="16"/>
      <c r="H194" s="16"/>
      <c r="I194" s="19">
        <v>2018</v>
      </c>
      <c r="J194" s="16"/>
      <c r="K194" s="16" t="s">
        <v>146</v>
      </c>
      <c r="L194" s="16" t="s">
        <v>514</v>
      </c>
      <c r="M194" s="16" t="s">
        <v>499</v>
      </c>
    </row>
    <row r="195" spans="1:13" ht="19.5" customHeight="1" x14ac:dyDescent="0.35">
      <c r="A195" s="16" t="s">
        <v>515</v>
      </c>
      <c r="B195" s="16" t="s">
        <v>515</v>
      </c>
      <c r="C195" s="16" t="s">
        <v>3732</v>
      </c>
      <c r="D195" s="16" t="s">
        <v>497</v>
      </c>
      <c r="E195" s="16" t="s">
        <v>109</v>
      </c>
      <c r="F195" s="16" t="s">
        <v>3882</v>
      </c>
      <c r="G195" s="16"/>
      <c r="H195" s="16"/>
      <c r="I195" s="19">
        <v>2018</v>
      </c>
      <c r="J195" s="16"/>
      <c r="K195" s="16" t="s">
        <v>146</v>
      </c>
      <c r="L195" s="16" t="s">
        <v>516</v>
      </c>
      <c r="M195" s="16" t="s">
        <v>499</v>
      </c>
    </row>
    <row r="196" spans="1:13" ht="19.5" customHeight="1" x14ac:dyDescent="0.35">
      <c r="A196" s="16" t="s">
        <v>517</v>
      </c>
      <c r="B196" s="16" t="s">
        <v>517</v>
      </c>
      <c r="C196" s="16" t="s">
        <v>3732</v>
      </c>
      <c r="D196" s="16" t="s">
        <v>497</v>
      </c>
      <c r="E196" s="16" t="s">
        <v>109</v>
      </c>
      <c r="F196" s="16" t="s">
        <v>3882</v>
      </c>
      <c r="G196" s="16"/>
      <c r="H196" s="16"/>
      <c r="I196" s="19">
        <v>2018</v>
      </c>
      <c r="J196" s="16"/>
      <c r="K196" s="16" t="s">
        <v>146</v>
      </c>
      <c r="L196" s="16" t="s">
        <v>518</v>
      </c>
      <c r="M196" s="16" t="s">
        <v>499</v>
      </c>
    </row>
    <row r="197" spans="1:13" ht="19.5" customHeight="1" x14ac:dyDescent="0.35">
      <c r="A197" s="16" t="s">
        <v>519</v>
      </c>
      <c r="B197" s="16" t="s">
        <v>519</v>
      </c>
      <c r="C197" s="16" t="s">
        <v>3732</v>
      </c>
      <c r="D197" s="16" t="s">
        <v>497</v>
      </c>
      <c r="E197" s="16" t="s">
        <v>109</v>
      </c>
      <c r="F197" s="16" t="s">
        <v>3882</v>
      </c>
      <c r="G197" s="16"/>
      <c r="H197" s="16"/>
      <c r="I197" s="19">
        <v>2018</v>
      </c>
      <c r="J197" s="16"/>
      <c r="K197" s="16" t="s">
        <v>146</v>
      </c>
      <c r="L197" s="16" t="s">
        <v>520</v>
      </c>
      <c r="M197" s="16" t="s">
        <v>499</v>
      </c>
    </row>
    <row r="198" spans="1:13" ht="19.5" customHeight="1" x14ac:dyDescent="0.35">
      <c r="A198" s="16" t="s">
        <v>521</v>
      </c>
      <c r="B198" s="16" t="s">
        <v>521</v>
      </c>
      <c r="C198" s="16" t="s">
        <v>3732</v>
      </c>
      <c r="D198" s="16" t="s">
        <v>497</v>
      </c>
      <c r="E198" s="16" t="s">
        <v>109</v>
      </c>
      <c r="F198" s="16" t="s">
        <v>3882</v>
      </c>
      <c r="G198" s="16"/>
      <c r="H198" s="16"/>
      <c r="I198" s="19">
        <v>2018</v>
      </c>
      <c r="J198" s="16"/>
      <c r="K198" s="16" t="s">
        <v>146</v>
      </c>
      <c r="L198" s="16" t="s">
        <v>522</v>
      </c>
      <c r="M198" s="16" t="s">
        <v>499</v>
      </c>
    </row>
    <row r="199" spans="1:13" ht="19.5" customHeight="1" x14ac:dyDescent="0.35">
      <c r="A199" s="16" t="s">
        <v>523</v>
      </c>
      <c r="B199" s="16" t="s">
        <v>523</v>
      </c>
      <c r="C199" s="16" t="s">
        <v>3732</v>
      </c>
      <c r="D199" s="16" t="s">
        <v>497</v>
      </c>
      <c r="E199" s="16" t="s">
        <v>109</v>
      </c>
      <c r="F199" s="16" t="s">
        <v>3882</v>
      </c>
      <c r="G199" s="16"/>
      <c r="H199" s="16"/>
      <c r="I199" s="19">
        <v>2018</v>
      </c>
      <c r="J199" s="16"/>
      <c r="K199" s="16" t="s">
        <v>158</v>
      </c>
      <c r="L199" s="16" t="s">
        <v>524</v>
      </c>
      <c r="M199" s="16" t="s">
        <v>499</v>
      </c>
    </row>
    <row r="200" spans="1:13" ht="19.5" customHeight="1" x14ac:dyDescent="0.35">
      <c r="A200" s="16" t="s">
        <v>525</v>
      </c>
      <c r="B200" s="16" t="s">
        <v>525</v>
      </c>
      <c r="C200" s="16" t="s">
        <v>3732</v>
      </c>
      <c r="D200" s="16" t="s">
        <v>497</v>
      </c>
      <c r="E200" s="16" t="s">
        <v>109</v>
      </c>
      <c r="F200" s="16" t="s">
        <v>3882</v>
      </c>
      <c r="G200" s="16"/>
      <c r="H200" s="16"/>
      <c r="I200" s="19">
        <v>2018</v>
      </c>
      <c r="J200" s="16"/>
      <c r="K200" s="16" t="s">
        <v>146</v>
      </c>
      <c r="L200" s="16" t="s">
        <v>526</v>
      </c>
      <c r="M200" s="16" t="s">
        <v>499</v>
      </c>
    </row>
    <row r="201" spans="1:13" ht="19.5" customHeight="1" x14ac:dyDescent="0.35">
      <c r="A201" s="16" t="s">
        <v>527</v>
      </c>
      <c r="B201" s="16" t="s">
        <v>527</v>
      </c>
      <c r="C201" s="16" t="s">
        <v>3732</v>
      </c>
      <c r="D201" s="16" t="s">
        <v>497</v>
      </c>
      <c r="E201" s="16" t="s">
        <v>109</v>
      </c>
      <c r="F201" s="16" t="s">
        <v>3882</v>
      </c>
      <c r="G201" s="16"/>
      <c r="H201" s="16"/>
      <c r="I201" s="19">
        <v>2018</v>
      </c>
      <c r="J201" s="16"/>
      <c r="K201" s="16" t="s">
        <v>146</v>
      </c>
      <c r="L201" s="16" t="s">
        <v>528</v>
      </c>
      <c r="M201" s="16" t="s">
        <v>499</v>
      </c>
    </row>
    <row r="202" spans="1:13" ht="19.5" customHeight="1" x14ac:dyDescent="0.35">
      <c r="A202" s="16" t="s">
        <v>529</v>
      </c>
      <c r="B202" s="16" t="s">
        <v>529</v>
      </c>
      <c r="C202" s="16" t="s">
        <v>3732</v>
      </c>
      <c r="D202" s="16" t="s">
        <v>497</v>
      </c>
      <c r="E202" s="16" t="s">
        <v>109</v>
      </c>
      <c r="F202" s="16" t="s">
        <v>3882</v>
      </c>
      <c r="G202" s="16"/>
      <c r="H202" s="16"/>
      <c r="I202" s="19">
        <v>2018</v>
      </c>
      <c r="J202" s="16"/>
      <c r="K202" s="16" t="s">
        <v>146</v>
      </c>
      <c r="L202" s="16" t="s">
        <v>530</v>
      </c>
      <c r="M202" s="16" t="s">
        <v>499</v>
      </c>
    </row>
    <row r="203" spans="1:13" ht="19.5" customHeight="1" x14ac:dyDescent="0.35">
      <c r="A203" s="16" t="s">
        <v>531</v>
      </c>
      <c r="B203" s="16" t="s">
        <v>531</v>
      </c>
      <c r="C203" s="16" t="s">
        <v>3732</v>
      </c>
      <c r="D203" s="16" t="s">
        <v>497</v>
      </c>
      <c r="E203" s="16" t="s">
        <v>109</v>
      </c>
      <c r="F203" s="16" t="s">
        <v>3882</v>
      </c>
      <c r="G203" s="16"/>
      <c r="H203" s="16"/>
      <c r="I203" s="19">
        <v>2018</v>
      </c>
      <c r="J203" s="16"/>
      <c r="K203" s="16" t="s">
        <v>146</v>
      </c>
      <c r="L203" s="16" t="s">
        <v>532</v>
      </c>
      <c r="M203" s="16" t="s">
        <v>499</v>
      </c>
    </row>
    <row r="204" spans="1:13" ht="19.5" customHeight="1" x14ac:dyDescent="0.35">
      <c r="A204" s="16" t="s">
        <v>533</v>
      </c>
      <c r="B204" s="16" t="s">
        <v>533</v>
      </c>
      <c r="C204" s="16" t="s">
        <v>3732</v>
      </c>
      <c r="D204" s="16" t="s">
        <v>497</v>
      </c>
      <c r="E204" s="16" t="s">
        <v>109</v>
      </c>
      <c r="F204" s="16" t="s">
        <v>3882</v>
      </c>
      <c r="G204" s="16"/>
      <c r="H204" s="16"/>
      <c r="I204" s="19">
        <v>2018</v>
      </c>
      <c r="J204" s="16"/>
      <c r="K204" s="16" t="s">
        <v>146</v>
      </c>
      <c r="L204" s="16" t="s">
        <v>534</v>
      </c>
      <c r="M204" s="16" t="s">
        <v>499</v>
      </c>
    </row>
    <row r="205" spans="1:13" ht="19.5" customHeight="1" x14ac:dyDescent="0.35">
      <c r="A205" s="16" t="s">
        <v>535</v>
      </c>
      <c r="B205" s="16" t="s">
        <v>535</v>
      </c>
      <c r="C205" s="16" t="s">
        <v>3732</v>
      </c>
      <c r="D205" s="16" t="s">
        <v>497</v>
      </c>
      <c r="E205" s="16" t="s">
        <v>109</v>
      </c>
      <c r="F205" s="16" t="s">
        <v>3882</v>
      </c>
      <c r="G205" s="16"/>
      <c r="H205" s="16"/>
      <c r="I205" s="19">
        <v>2018</v>
      </c>
      <c r="J205" s="16"/>
      <c r="K205" s="16" t="s">
        <v>158</v>
      </c>
      <c r="L205" s="16" t="s">
        <v>536</v>
      </c>
      <c r="M205" s="16" t="s">
        <v>499</v>
      </c>
    </row>
    <row r="206" spans="1:13" ht="19.5" customHeight="1" x14ac:dyDescent="0.35">
      <c r="A206" s="16" t="s">
        <v>537</v>
      </c>
      <c r="B206" s="16" t="s">
        <v>537</v>
      </c>
      <c r="C206" s="16" t="s">
        <v>3732</v>
      </c>
      <c r="D206" s="16" t="s">
        <v>497</v>
      </c>
      <c r="E206" s="16" t="s">
        <v>109</v>
      </c>
      <c r="F206" s="16" t="s">
        <v>3882</v>
      </c>
      <c r="G206" s="16"/>
      <c r="H206" s="16"/>
      <c r="I206" s="19">
        <v>2018</v>
      </c>
      <c r="J206" s="16"/>
      <c r="K206" s="16" t="s">
        <v>146</v>
      </c>
      <c r="L206" s="16" t="s">
        <v>538</v>
      </c>
      <c r="M206" s="16" t="s">
        <v>499</v>
      </c>
    </row>
    <row r="207" spans="1:13" ht="19.5" customHeight="1" x14ac:dyDescent="0.35">
      <c r="A207" s="16" t="s">
        <v>539</v>
      </c>
      <c r="B207" s="16" t="s">
        <v>539</v>
      </c>
      <c r="C207" s="16" t="s">
        <v>3732</v>
      </c>
      <c r="D207" s="16" t="s">
        <v>497</v>
      </c>
      <c r="E207" s="16" t="s">
        <v>109</v>
      </c>
      <c r="F207" s="16" t="s">
        <v>3882</v>
      </c>
      <c r="G207" s="16"/>
      <c r="H207" s="16"/>
      <c r="I207" s="19">
        <v>2018</v>
      </c>
      <c r="J207" s="16"/>
      <c r="K207" s="16" t="s">
        <v>146</v>
      </c>
      <c r="L207" s="16" t="s">
        <v>540</v>
      </c>
      <c r="M207" s="16" t="s">
        <v>499</v>
      </c>
    </row>
    <row r="208" spans="1:13" ht="19.5" customHeight="1" x14ac:dyDescent="0.35">
      <c r="A208" s="16"/>
      <c r="B208" s="16"/>
      <c r="C208" s="16" t="s">
        <v>3732</v>
      </c>
      <c r="D208" s="16" t="s">
        <v>497</v>
      </c>
      <c r="E208" s="16" t="s">
        <v>109</v>
      </c>
      <c r="F208" s="16" t="s">
        <v>3882</v>
      </c>
      <c r="G208" s="16"/>
      <c r="H208" s="16"/>
      <c r="I208" s="19">
        <v>2018</v>
      </c>
      <c r="J208" s="16"/>
      <c r="K208" s="16" t="s">
        <v>158</v>
      </c>
      <c r="L208" s="16" t="s">
        <v>541</v>
      </c>
      <c r="M208" s="16" t="s">
        <v>499</v>
      </c>
    </row>
    <row r="209" spans="1:13" ht="19.5" customHeight="1" x14ac:dyDescent="0.35">
      <c r="A209" s="16" t="s">
        <v>542</v>
      </c>
      <c r="B209" s="16" t="s">
        <v>542</v>
      </c>
      <c r="C209" s="16" t="s">
        <v>3732</v>
      </c>
      <c r="D209" s="16" t="s">
        <v>497</v>
      </c>
      <c r="E209" s="16" t="s">
        <v>109</v>
      </c>
      <c r="F209" s="16" t="s">
        <v>3882</v>
      </c>
      <c r="G209" s="16"/>
      <c r="H209" s="16"/>
      <c r="I209" s="19">
        <v>2018</v>
      </c>
      <c r="J209" s="16"/>
      <c r="K209" s="16" t="s">
        <v>146</v>
      </c>
      <c r="L209" s="16" t="s">
        <v>543</v>
      </c>
      <c r="M209" s="16" t="s">
        <v>499</v>
      </c>
    </row>
    <row r="210" spans="1:13" ht="19.5" customHeight="1" x14ac:dyDescent="0.35">
      <c r="A210" s="16" t="s">
        <v>544</v>
      </c>
      <c r="B210" s="16" t="s">
        <v>544</v>
      </c>
      <c r="C210" s="16" t="s">
        <v>3732</v>
      </c>
      <c r="D210" s="16" t="s">
        <v>497</v>
      </c>
      <c r="E210" s="16" t="s">
        <v>109</v>
      </c>
      <c r="F210" s="16" t="s">
        <v>3882</v>
      </c>
      <c r="G210" s="16"/>
      <c r="H210" s="16"/>
      <c r="I210" s="19">
        <v>2018</v>
      </c>
      <c r="J210" s="16"/>
      <c r="K210" s="16" t="s">
        <v>158</v>
      </c>
      <c r="L210" s="16" t="s">
        <v>545</v>
      </c>
      <c r="M210" s="16" t="s">
        <v>499</v>
      </c>
    </row>
    <row r="211" spans="1:13" ht="19.5" customHeight="1" x14ac:dyDescent="0.35">
      <c r="A211" s="16" t="s">
        <v>546</v>
      </c>
      <c r="B211" s="16" t="s">
        <v>546</v>
      </c>
      <c r="C211" s="16" t="s">
        <v>3732</v>
      </c>
      <c r="D211" s="16" t="s">
        <v>497</v>
      </c>
      <c r="E211" s="16" t="s">
        <v>109</v>
      </c>
      <c r="F211" s="16" t="s">
        <v>3882</v>
      </c>
      <c r="G211" s="16"/>
      <c r="H211" s="16"/>
      <c r="I211" s="19">
        <v>2018</v>
      </c>
      <c r="J211" s="16"/>
      <c r="K211" s="16" t="s">
        <v>146</v>
      </c>
      <c r="L211" s="16" t="s">
        <v>547</v>
      </c>
      <c r="M211" s="16" t="s">
        <v>499</v>
      </c>
    </row>
    <row r="212" spans="1:13" ht="19.5" customHeight="1" x14ac:dyDescent="0.35">
      <c r="A212" s="16" t="s">
        <v>548</v>
      </c>
      <c r="B212" s="16" t="s">
        <v>548</v>
      </c>
      <c r="C212" s="16" t="s">
        <v>3732</v>
      </c>
      <c r="D212" s="16" t="s">
        <v>497</v>
      </c>
      <c r="E212" s="16" t="s">
        <v>109</v>
      </c>
      <c r="F212" s="16" t="s">
        <v>3882</v>
      </c>
      <c r="G212" s="16"/>
      <c r="H212" s="16"/>
      <c r="I212" s="19">
        <v>2018</v>
      </c>
      <c r="J212" s="16"/>
      <c r="K212" s="16" t="s">
        <v>146</v>
      </c>
      <c r="L212" s="16" t="s">
        <v>549</v>
      </c>
      <c r="M212" s="16" t="s">
        <v>499</v>
      </c>
    </row>
    <row r="213" spans="1:13" ht="19.5" customHeight="1" x14ac:dyDescent="0.35">
      <c r="A213" s="16" t="s">
        <v>550</v>
      </c>
      <c r="B213" s="16" t="s">
        <v>550</v>
      </c>
      <c r="C213" s="16" t="s">
        <v>3732</v>
      </c>
      <c r="D213" s="16" t="s">
        <v>497</v>
      </c>
      <c r="E213" s="16" t="s">
        <v>109</v>
      </c>
      <c r="F213" s="16" t="s">
        <v>3882</v>
      </c>
      <c r="G213" s="16"/>
      <c r="H213" s="16"/>
      <c r="I213" s="19">
        <v>2018</v>
      </c>
      <c r="J213" s="16"/>
      <c r="K213" s="16" t="s">
        <v>146</v>
      </c>
      <c r="L213" s="16" t="s">
        <v>551</v>
      </c>
      <c r="M213" s="16" t="s">
        <v>499</v>
      </c>
    </row>
    <row r="214" spans="1:13" ht="19.5" customHeight="1" x14ac:dyDescent="0.35">
      <c r="A214" s="16" t="s">
        <v>552</v>
      </c>
      <c r="B214" s="16" t="s">
        <v>552</v>
      </c>
      <c r="C214" s="16" t="s">
        <v>3732</v>
      </c>
      <c r="D214" s="16" t="s">
        <v>497</v>
      </c>
      <c r="E214" s="16" t="s">
        <v>109</v>
      </c>
      <c r="F214" s="16" t="s">
        <v>3882</v>
      </c>
      <c r="G214" s="16"/>
      <c r="H214" s="16"/>
      <c r="I214" s="19">
        <v>2018</v>
      </c>
      <c r="J214" s="16"/>
      <c r="K214" s="16" t="s">
        <v>146</v>
      </c>
      <c r="L214" s="16" t="s">
        <v>553</v>
      </c>
      <c r="M214" s="16" t="s">
        <v>499</v>
      </c>
    </row>
    <row r="215" spans="1:13" ht="19.5" customHeight="1" x14ac:dyDescent="0.35">
      <c r="A215" s="16" t="s">
        <v>554</v>
      </c>
      <c r="B215" s="16" t="s">
        <v>554</v>
      </c>
      <c r="C215" s="16" t="s">
        <v>3732</v>
      </c>
      <c r="D215" s="16" t="s">
        <v>497</v>
      </c>
      <c r="E215" s="16" t="s">
        <v>109</v>
      </c>
      <c r="F215" s="16" t="s">
        <v>3882</v>
      </c>
      <c r="G215" s="16"/>
      <c r="H215" s="16"/>
      <c r="I215" s="19">
        <v>2018</v>
      </c>
      <c r="J215" s="16"/>
      <c r="K215" s="16" t="s">
        <v>146</v>
      </c>
      <c r="L215" s="16" t="s">
        <v>555</v>
      </c>
      <c r="M215" s="16" t="s">
        <v>499</v>
      </c>
    </row>
    <row r="216" spans="1:13" ht="19.5" customHeight="1" x14ac:dyDescent="0.35">
      <c r="A216" s="16" t="s">
        <v>556</v>
      </c>
      <c r="B216" s="16" t="s">
        <v>556</v>
      </c>
      <c r="C216" s="16" t="s">
        <v>3732</v>
      </c>
      <c r="D216" s="16" t="s">
        <v>497</v>
      </c>
      <c r="E216" s="16" t="s">
        <v>109</v>
      </c>
      <c r="F216" s="16" t="s">
        <v>3882</v>
      </c>
      <c r="G216" s="16"/>
      <c r="H216" s="16"/>
      <c r="I216" s="19">
        <v>2018</v>
      </c>
      <c r="J216" s="16"/>
      <c r="K216" s="16" t="s">
        <v>146</v>
      </c>
      <c r="L216" s="16" t="s">
        <v>557</v>
      </c>
      <c r="M216" s="16" t="s">
        <v>499</v>
      </c>
    </row>
    <row r="217" spans="1:13" ht="19.5" customHeight="1" x14ac:dyDescent="0.35">
      <c r="A217" s="16" t="s">
        <v>558</v>
      </c>
      <c r="B217" s="16" t="s">
        <v>558</v>
      </c>
      <c r="C217" s="16" t="s">
        <v>3732</v>
      </c>
      <c r="D217" s="16" t="s">
        <v>497</v>
      </c>
      <c r="E217" s="16" t="s">
        <v>109</v>
      </c>
      <c r="F217" s="16" t="s">
        <v>3882</v>
      </c>
      <c r="G217" s="16"/>
      <c r="H217" s="16"/>
      <c r="I217" s="19">
        <v>2018</v>
      </c>
      <c r="J217" s="16"/>
      <c r="K217" s="16" t="s">
        <v>146</v>
      </c>
      <c r="L217" s="16" t="s">
        <v>559</v>
      </c>
      <c r="M217" s="16" t="s">
        <v>499</v>
      </c>
    </row>
    <row r="218" spans="1:13" ht="19.5" customHeight="1" x14ac:dyDescent="0.35">
      <c r="A218" s="16" t="s">
        <v>560</v>
      </c>
      <c r="B218" s="16" t="s">
        <v>560</v>
      </c>
      <c r="C218" s="16" t="s">
        <v>3732</v>
      </c>
      <c r="D218" s="16" t="s">
        <v>497</v>
      </c>
      <c r="E218" s="16" t="s">
        <v>109</v>
      </c>
      <c r="F218" s="16" t="s">
        <v>3882</v>
      </c>
      <c r="G218" s="16"/>
      <c r="H218" s="16"/>
      <c r="I218" s="19">
        <v>2018</v>
      </c>
      <c r="J218" s="16"/>
      <c r="K218" s="16" t="s">
        <v>146</v>
      </c>
      <c r="L218" s="16" t="s">
        <v>561</v>
      </c>
      <c r="M218" s="16" t="s">
        <v>499</v>
      </c>
    </row>
    <row r="219" spans="1:13" ht="19.5" customHeight="1" x14ac:dyDescent="0.35">
      <c r="A219" s="16" t="s">
        <v>562</v>
      </c>
      <c r="B219" s="16" t="s">
        <v>562</v>
      </c>
      <c r="C219" s="16" t="s">
        <v>3732</v>
      </c>
      <c r="D219" s="16" t="s">
        <v>497</v>
      </c>
      <c r="E219" s="16" t="s">
        <v>109</v>
      </c>
      <c r="F219" s="16" t="s">
        <v>3882</v>
      </c>
      <c r="G219" s="16" t="s">
        <v>3883</v>
      </c>
      <c r="H219" s="16"/>
      <c r="I219" s="19">
        <v>2018</v>
      </c>
      <c r="J219" s="16"/>
      <c r="K219" s="16" t="s">
        <v>146</v>
      </c>
      <c r="L219" s="16" t="s">
        <v>563</v>
      </c>
      <c r="M219" s="16" t="s">
        <v>499</v>
      </c>
    </row>
    <row r="220" spans="1:13" ht="19.5" customHeight="1" x14ac:dyDescent="0.35">
      <c r="A220" s="16" t="s">
        <v>564</v>
      </c>
      <c r="B220" s="16" t="s">
        <v>564</v>
      </c>
      <c r="C220" s="16" t="s">
        <v>3732</v>
      </c>
      <c r="D220" s="16" t="s">
        <v>497</v>
      </c>
      <c r="E220" s="16" t="s">
        <v>109</v>
      </c>
      <c r="F220" s="16" t="s">
        <v>3882</v>
      </c>
      <c r="G220" s="16"/>
      <c r="H220" s="16"/>
      <c r="I220" s="19">
        <v>2018</v>
      </c>
      <c r="J220" s="16"/>
      <c r="K220" s="16" t="s">
        <v>158</v>
      </c>
      <c r="L220" s="16" t="s">
        <v>565</v>
      </c>
      <c r="M220" s="16" t="s">
        <v>499</v>
      </c>
    </row>
    <row r="221" spans="1:13" ht="19.5" customHeight="1" x14ac:dyDescent="0.35">
      <c r="A221" s="16" t="s">
        <v>566</v>
      </c>
      <c r="B221" s="16" t="s">
        <v>566</v>
      </c>
      <c r="C221" s="16" t="s">
        <v>3732</v>
      </c>
      <c r="D221" s="16" t="s">
        <v>497</v>
      </c>
      <c r="E221" s="16" t="s">
        <v>109</v>
      </c>
      <c r="F221" s="16" t="s">
        <v>3882</v>
      </c>
      <c r="G221" s="16" t="s">
        <v>3884</v>
      </c>
      <c r="H221" s="16"/>
      <c r="I221" s="19">
        <v>2018</v>
      </c>
      <c r="J221" s="16"/>
      <c r="K221" s="16" t="s">
        <v>146</v>
      </c>
      <c r="L221" s="16" t="s">
        <v>567</v>
      </c>
      <c r="M221" s="16" t="s">
        <v>499</v>
      </c>
    </row>
    <row r="222" spans="1:13" ht="19.5" customHeight="1" x14ac:dyDescent="0.35">
      <c r="A222" s="16" t="s">
        <v>568</v>
      </c>
      <c r="B222" s="16" t="s">
        <v>568</v>
      </c>
      <c r="C222" s="16" t="s">
        <v>3732</v>
      </c>
      <c r="D222" s="16" t="s">
        <v>497</v>
      </c>
      <c r="E222" s="16" t="s">
        <v>109</v>
      </c>
      <c r="F222" s="16" t="s">
        <v>3882</v>
      </c>
      <c r="G222" s="16" t="s">
        <v>3885</v>
      </c>
      <c r="H222" s="16"/>
      <c r="I222" s="19">
        <v>2018</v>
      </c>
      <c r="J222" s="16"/>
      <c r="K222" s="16" t="s">
        <v>146</v>
      </c>
      <c r="L222" s="16" t="s">
        <v>569</v>
      </c>
      <c r="M222" s="16" t="s">
        <v>499</v>
      </c>
    </row>
    <row r="223" spans="1:13" ht="19.5" customHeight="1" x14ac:dyDescent="0.35">
      <c r="A223" s="16" t="s">
        <v>570</v>
      </c>
      <c r="B223" s="16" t="s">
        <v>570</v>
      </c>
      <c r="C223" s="16" t="s">
        <v>3732</v>
      </c>
      <c r="D223" s="16" t="s">
        <v>497</v>
      </c>
      <c r="E223" s="16" t="s">
        <v>109</v>
      </c>
      <c r="F223" s="16" t="s">
        <v>3882</v>
      </c>
      <c r="G223" s="16"/>
      <c r="H223" s="16"/>
      <c r="I223" s="19">
        <v>2018</v>
      </c>
      <c r="J223" s="16"/>
      <c r="K223" s="16" t="s">
        <v>158</v>
      </c>
      <c r="L223" s="16" t="s">
        <v>571</v>
      </c>
      <c r="M223" s="16" t="s">
        <v>499</v>
      </c>
    </row>
    <row r="224" spans="1:13" ht="19.5" customHeight="1" x14ac:dyDescent="0.35">
      <c r="A224" s="16" t="s">
        <v>572</v>
      </c>
      <c r="B224" s="16" t="s">
        <v>572</v>
      </c>
      <c r="C224" s="16" t="s">
        <v>3732</v>
      </c>
      <c r="D224" s="16" t="s">
        <v>497</v>
      </c>
      <c r="E224" s="16" t="s">
        <v>109</v>
      </c>
      <c r="F224" s="16" t="s">
        <v>3882</v>
      </c>
      <c r="G224" s="16" t="s">
        <v>3886</v>
      </c>
      <c r="H224" s="16"/>
      <c r="I224" s="19">
        <v>2018</v>
      </c>
      <c r="J224" s="16"/>
      <c r="K224" s="16" t="s">
        <v>146</v>
      </c>
      <c r="L224" s="16" t="s">
        <v>567</v>
      </c>
      <c r="M224" s="16" t="s">
        <v>499</v>
      </c>
    </row>
    <row r="225" spans="1:13" ht="19.5" customHeight="1" x14ac:dyDescent="0.35">
      <c r="A225" s="16" t="s">
        <v>573</v>
      </c>
      <c r="B225" s="16" t="s">
        <v>573</v>
      </c>
      <c r="C225" s="16" t="s">
        <v>3732</v>
      </c>
      <c r="D225" s="16" t="s">
        <v>497</v>
      </c>
      <c r="E225" s="16" t="s">
        <v>109</v>
      </c>
      <c r="F225" s="16" t="s">
        <v>3882</v>
      </c>
      <c r="G225" s="16" t="s">
        <v>3887</v>
      </c>
      <c r="H225" s="16"/>
      <c r="I225" s="19">
        <v>2018</v>
      </c>
      <c r="J225" s="16"/>
      <c r="K225" s="16" t="s">
        <v>146</v>
      </c>
      <c r="L225" s="16" t="s">
        <v>574</v>
      </c>
      <c r="M225" s="16" t="s">
        <v>499</v>
      </c>
    </row>
    <row r="226" spans="1:13" ht="19.5" customHeight="1" x14ac:dyDescent="0.35">
      <c r="A226" s="16" t="s">
        <v>575</v>
      </c>
      <c r="B226" s="16" t="s">
        <v>575</v>
      </c>
      <c r="C226" s="16" t="s">
        <v>3732</v>
      </c>
      <c r="D226" s="16" t="s">
        <v>497</v>
      </c>
      <c r="E226" s="16" t="s">
        <v>109</v>
      </c>
      <c r="F226" s="16" t="s">
        <v>3882</v>
      </c>
      <c r="G226" s="16"/>
      <c r="H226" s="16"/>
      <c r="I226" s="19">
        <v>2018</v>
      </c>
      <c r="J226" s="16"/>
      <c r="K226" s="16" t="s">
        <v>158</v>
      </c>
      <c r="L226" s="16" t="s">
        <v>576</v>
      </c>
      <c r="M226" s="16" t="s">
        <v>499</v>
      </c>
    </row>
    <row r="227" spans="1:13" ht="19.5" customHeight="1" x14ac:dyDescent="0.35">
      <c r="A227" s="16" t="s">
        <v>577</v>
      </c>
      <c r="B227" s="16" t="s">
        <v>577</v>
      </c>
      <c r="C227" s="16" t="s">
        <v>3732</v>
      </c>
      <c r="D227" s="16" t="s">
        <v>497</v>
      </c>
      <c r="E227" s="16" t="s">
        <v>109</v>
      </c>
      <c r="F227" s="16" t="s">
        <v>3882</v>
      </c>
      <c r="G227" s="16"/>
      <c r="H227" s="16"/>
      <c r="I227" s="19">
        <v>2018</v>
      </c>
      <c r="J227" s="16"/>
      <c r="K227" s="16" t="s">
        <v>146</v>
      </c>
      <c r="L227" s="16" t="s">
        <v>578</v>
      </c>
      <c r="M227" s="16" t="s">
        <v>499</v>
      </c>
    </row>
    <row r="228" spans="1:13" ht="19.5" customHeight="1" x14ac:dyDescent="0.35">
      <c r="A228" s="16" t="s">
        <v>579</v>
      </c>
      <c r="B228" s="16" t="s">
        <v>579</v>
      </c>
      <c r="C228" s="16" t="s">
        <v>3732</v>
      </c>
      <c r="D228" s="16" t="s">
        <v>497</v>
      </c>
      <c r="E228" s="16" t="s">
        <v>109</v>
      </c>
      <c r="F228" s="16" t="s">
        <v>3882</v>
      </c>
      <c r="G228" s="16"/>
      <c r="H228" s="16"/>
      <c r="I228" s="19">
        <v>2018</v>
      </c>
      <c r="J228" s="16"/>
      <c r="K228" s="16" t="s">
        <v>146</v>
      </c>
      <c r="L228" s="16" t="s">
        <v>580</v>
      </c>
      <c r="M228" s="16" t="s">
        <v>499</v>
      </c>
    </row>
    <row r="229" spans="1:13" ht="19.5" customHeight="1" x14ac:dyDescent="0.35">
      <c r="A229" s="16" t="s">
        <v>581</v>
      </c>
      <c r="B229" s="16" t="s">
        <v>581</v>
      </c>
      <c r="C229" s="16" t="s">
        <v>3732</v>
      </c>
      <c r="D229" s="16" t="s">
        <v>497</v>
      </c>
      <c r="E229" s="16" t="s">
        <v>109</v>
      </c>
      <c r="F229" s="16" t="s">
        <v>3882</v>
      </c>
      <c r="G229" s="16"/>
      <c r="H229" s="16"/>
      <c r="I229" s="19">
        <v>2018</v>
      </c>
      <c r="J229" s="16"/>
      <c r="K229" s="16" t="s">
        <v>146</v>
      </c>
      <c r="L229" s="16" t="s">
        <v>582</v>
      </c>
      <c r="M229" s="16" t="s">
        <v>499</v>
      </c>
    </row>
    <row r="230" spans="1:13" ht="19.5" customHeight="1" x14ac:dyDescent="0.35">
      <c r="A230" s="16" t="s">
        <v>583</v>
      </c>
      <c r="B230" s="16" t="s">
        <v>583</v>
      </c>
      <c r="C230" s="16" t="s">
        <v>3732</v>
      </c>
      <c r="D230" s="16" t="s">
        <v>497</v>
      </c>
      <c r="E230" s="16" t="s">
        <v>109</v>
      </c>
      <c r="F230" s="16" t="s">
        <v>3882</v>
      </c>
      <c r="G230" s="16"/>
      <c r="H230" s="16"/>
      <c r="I230" s="19">
        <v>2018</v>
      </c>
      <c r="J230" s="16"/>
      <c r="K230" s="16" t="s">
        <v>146</v>
      </c>
      <c r="L230" s="16" t="s">
        <v>584</v>
      </c>
      <c r="M230" s="16" t="s">
        <v>499</v>
      </c>
    </row>
    <row r="231" spans="1:13" ht="19.5" customHeight="1" x14ac:dyDescent="0.35">
      <c r="A231" s="16"/>
      <c r="B231" s="16"/>
      <c r="C231" s="16" t="s">
        <v>3732</v>
      </c>
      <c r="D231" s="16" t="s">
        <v>497</v>
      </c>
      <c r="E231" s="16" t="s">
        <v>109</v>
      </c>
      <c r="F231" s="16" t="s">
        <v>3882</v>
      </c>
      <c r="G231" s="16"/>
      <c r="H231" s="16"/>
      <c r="I231" s="19">
        <v>2018</v>
      </c>
      <c r="J231" s="16"/>
      <c r="K231" s="16" t="s">
        <v>158</v>
      </c>
      <c r="L231" s="16" t="s">
        <v>541</v>
      </c>
      <c r="M231" s="16" t="s">
        <v>499</v>
      </c>
    </row>
    <row r="232" spans="1:13" ht="19.5" customHeight="1" x14ac:dyDescent="0.35">
      <c r="A232" s="16" t="s">
        <v>585</v>
      </c>
      <c r="B232" s="16" t="s">
        <v>585</v>
      </c>
      <c r="C232" s="16" t="s">
        <v>3732</v>
      </c>
      <c r="D232" s="16" t="s">
        <v>497</v>
      </c>
      <c r="E232" s="16" t="s">
        <v>109</v>
      </c>
      <c r="F232" s="16" t="s">
        <v>3882</v>
      </c>
      <c r="G232" s="16"/>
      <c r="H232" s="16"/>
      <c r="I232" s="19">
        <v>2018</v>
      </c>
      <c r="J232" s="16"/>
      <c r="K232" s="16" t="s">
        <v>158</v>
      </c>
      <c r="L232" s="16" t="s">
        <v>586</v>
      </c>
      <c r="M232" s="16" t="s">
        <v>499</v>
      </c>
    </row>
    <row r="233" spans="1:13" ht="19.5" customHeight="1" x14ac:dyDescent="0.35">
      <c r="A233" s="16" t="s">
        <v>587</v>
      </c>
      <c r="B233" s="16" t="s">
        <v>587</v>
      </c>
      <c r="C233" s="16" t="s">
        <v>3732</v>
      </c>
      <c r="D233" s="16" t="s">
        <v>497</v>
      </c>
      <c r="E233" s="16" t="s">
        <v>109</v>
      </c>
      <c r="F233" s="16" t="s">
        <v>3882</v>
      </c>
      <c r="G233" s="16"/>
      <c r="H233" s="16"/>
      <c r="I233" s="19">
        <v>2018</v>
      </c>
      <c r="J233" s="16"/>
      <c r="K233" s="16" t="s">
        <v>146</v>
      </c>
      <c r="L233" s="16" t="s">
        <v>588</v>
      </c>
      <c r="M233" s="16" t="s">
        <v>499</v>
      </c>
    </row>
    <row r="234" spans="1:13" ht="19.5" customHeight="1" x14ac:dyDescent="0.35">
      <c r="A234" s="16"/>
      <c r="B234" s="16"/>
      <c r="C234" s="16" t="s">
        <v>3732</v>
      </c>
      <c r="D234" s="16" t="s">
        <v>497</v>
      </c>
      <c r="E234" s="16" t="s">
        <v>109</v>
      </c>
      <c r="F234" s="16" t="s">
        <v>3882</v>
      </c>
      <c r="G234" s="16"/>
      <c r="H234" s="16"/>
      <c r="I234" s="19">
        <v>2018</v>
      </c>
      <c r="J234" s="16"/>
      <c r="K234" s="16" t="s">
        <v>158</v>
      </c>
      <c r="L234" s="16" t="s">
        <v>541</v>
      </c>
      <c r="M234" s="16" t="s">
        <v>499</v>
      </c>
    </row>
    <row r="235" spans="1:13" ht="19.5" customHeight="1" x14ac:dyDescent="0.35">
      <c r="A235" s="16" t="s">
        <v>589</v>
      </c>
      <c r="B235" s="16" t="s">
        <v>589</v>
      </c>
      <c r="C235" s="16" t="s">
        <v>3732</v>
      </c>
      <c r="D235" s="16" t="s">
        <v>497</v>
      </c>
      <c r="E235" s="16" t="s">
        <v>109</v>
      </c>
      <c r="F235" s="16" t="s">
        <v>3882</v>
      </c>
      <c r="G235" s="16" t="s">
        <v>3888</v>
      </c>
      <c r="H235" s="16"/>
      <c r="I235" s="19">
        <v>2018</v>
      </c>
      <c r="J235" s="16"/>
      <c r="K235" s="16" t="s">
        <v>146</v>
      </c>
      <c r="L235" s="16" t="s">
        <v>590</v>
      </c>
      <c r="M235" s="16" t="s">
        <v>499</v>
      </c>
    </row>
    <row r="236" spans="1:13" ht="19.5" customHeight="1" x14ac:dyDescent="0.35">
      <c r="A236" s="16" t="s">
        <v>591</v>
      </c>
      <c r="B236" s="16" t="s">
        <v>591</v>
      </c>
      <c r="C236" s="16" t="s">
        <v>3732</v>
      </c>
      <c r="D236" s="16" t="s">
        <v>497</v>
      </c>
      <c r="E236" s="16" t="s">
        <v>109</v>
      </c>
      <c r="F236" s="16" t="s">
        <v>3882</v>
      </c>
      <c r="G236" s="16" t="s">
        <v>3888</v>
      </c>
      <c r="H236" s="16"/>
      <c r="I236" s="19">
        <v>2018</v>
      </c>
      <c r="J236" s="16"/>
      <c r="K236" s="16" t="s">
        <v>146</v>
      </c>
      <c r="L236" s="16" t="s">
        <v>592</v>
      </c>
      <c r="M236" s="16" t="s">
        <v>499</v>
      </c>
    </row>
    <row r="237" spans="1:13" ht="19.5" customHeight="1" x14ac:dyDescent="0.35">
      <c r="A237" s="16" t="s">
        <v>593</v>
      </c>
      <c r="B237" s="16" t="s">
        <v>593</v>
      </c>
      <c r="C237" s="16" t="s">
        <v>3732</v>
      </c>
      <c r="D237" s="16" t="s">
        <v>497</v>
      </c>
      <c r="E237" s="16" t="s">
        <v>109</v>
      </c>
      <c r="F237" s="16" t="s">
        <v>3882</v>
      </c>
      <c r="G237" s="16" t="s">
        <v>3888</v>
      </c>
      <c r="H237" s="16"/>
      <c r="I237" s="19">
        <v>2018</v>
      </c>
      <c r="J237" s="16"/>
      <c r="K237" s="16" t="s">
        <v>146</v>
      </c>
      <c r="L237" s="16" t="s">
        <v>594</v>
      </c>
      <c r="M237" s="16" t="s">
        <v>499</v>
      </c>
    </row>
    <row r="238" spans="1:13" ht="19.5" customHeight="1" x14ac:dyDescent="0.35">
      <c r="A238" s="16" t="s">
        <v>595</v>
      </c>
      <c r="B238" s="16" t="s">
        <v>595</v>
      </c>
      <c r="C238" s="16" t="s">
        <v>3732</v>
      </c>
      <c r="D238" s="16" t="s">
        <v>497</v>
      </c>
      <c r="E238" s="16" t="s">
        <v>109</v>
      </c>
      <c r="F238" s="16" t="s">
        <v>3882</v>
      </c>
      <c r="G238" s="16" t="s">
        <v>3889</v>
      </c>
      <c r="H238" s="16"/>
      <c r="I238" s="19">
        <v>2018</v>
      </c>
      <c r="J238" s="16"/>
      <c r="K238" s="16" t="s">
        <v>158</v>
      </c>
      <c r="L238" s="16" t="s">
        <v>596</v>
      </c>
      <c r="M238" s="16" t="s">
        <v>499</v>
      </c>
    </row>
    <row r="239" spans="1:13" ht="19.5" customHeight="1" x14ac:dyDescent="0.35">
      <c r="A239" s="16"/>
      <c r="B239" s="16"/>
      <c r="C239" s="16" t="s">
        <v>3732</v>
      </c>
      <c r="D239" s="16" t="s">
        <v>497</v>
      </c>
      <c r="E239" s="16" t="s">
        <v>109</v>
      </c>
      <c r="F239" s="16" t="s">
        <v>3882</v>
      </c>
      <c r="G239" s="16"/>
      <c r="H239" s="16"/>
      <c r="I239" s="19">
        <v>2018</v>
      </c>
      <c r="J239" s="16"/>
      <c r="K239" s="16" t="s">
        <v>158</v>
      </c>
      <c r="L239" s="16" t="s">
        <v>541</v>
      </c>
      <c r="M239" s="16" t="s">
        <v>499</v>
      </c>
    </row>
    <row r="240" spans="1:13" ht="19.5" customHeight="1" x14ac:dyDescent="0.35">
      <c r="A240" s="16" t="s">
        <v>597</v>
      </c>
      <c r="B240" s="16" t="s">
        <v>597</v>
      </c>
      <c r="C240" s="16" t="s">
        <v>3732</v>
      </c>
      <c r="D240" s="16" t="s">
        <v>497</v>
      </c>
      <c r="E240" s="16" t="s">
        <v>109</v>
      </c>
      <c r="F240" s="16" t="s">
        <v>3882</v>
      </c>
      <c r="G240" s="16" t="s">
        <v>3890</v>
      </c>
      <c r="H240" s="16"/>
      <c r="I240" s="19">
        <v>2018</v>
      </c>
      <c r="J240" s="16"/>
      <c r="K240" s="16" t="s">
        <v>146</v>
      </c>
      <c r="L240" s="16" t="s">
        <v>598</v>
      </c>
      <c r="M240" s="16" t="s">
        <v>499</v>
      </c>
    </row>
    <row r="241" spans="1:13" ht="19.5" customHeight="1" x14ac:dyDescent="0.35">
      <c r="A241" s="16" t="s">
        <v>599</v>
      </c>
      <c r="B241" s="16" t="s">
        <v>599</v>
      </c>
      <c r="C241" s="16" t="s">
        <v>3732</v>
      </c>
      <c r="D241" s="16" t="s">
        <v>497</v>
      </c>
      <c r="E241" s="16" t="s">
        <v>109</v>
      </c>
      <c r="F241" s="16" t="s">
        <v>3882</v>
      </c>
      <c r="G241" s="16"/>
      <c r="H241" s="16"/>
      <c r="I241" s="19">
        <v>2018</v>
      </c>
      <c r="J241" s="16"/>
      <c r="K241" s="16" t="s">
        <v>146</v>
      </c>
      <c r="L241" s="16" t="s">
        <v>600</v>
      </c>
      <c r="M241" s="16" t="s">
        <v>499</v>
      </c>
    </row>
    <row r="242" spans="1:13" ht="19.5" customHeight="1" x14ac:dyDescent="0.35">
      <c r="A242" s="16" t="s">
        <v>601</v>
      </c>
      <c r="B242" s="16" t="s">
        <v>601</v>
      </c>
      <c r="C242" s="16" t="s">
        <v>3732</v>
      </c>
      <c r="D242" s="16" t="s">
        <v>497</v>
      </c>
      <c r="E242" s="16" t="s">
        <v>109</v>
      </c>
      <c r="F242" s="16" t="s">
        <v>3882</v>
      </c>
      <c r="G242" s="16"/>
      <c r="H242" s="16"/>
      <c r="I242" s="19">
        <v>2018</v>
      </c>
      <c r="J242" s="16"/>
      <c r="K242" s="16" t="s">
        <v>146</v>
      </c>
      <c r="L242" s="16" t="s">
        <v>602</v>
      </c>
      <c r="M242" s="16" t="s">
        <v>499</v>
      </c>
    </row>
    <row r="243" spans="1:13" ht="19.5" customHeight="1" x14ac:dyDescent="0.35">
      <c r="A243" s="16" t="s">
        <v>603</v>
      </c>
      <c r="B243" s="16" t="s">
        <v>603</v>
      </c>
      <c r="C243" s="16" t="s">
        <v>3732</v>
      </c>
      <c r="D243" s="16" t="s">
        <v>497</v>
      </c>
      <c r="E243" s="16" t="s">
        <v>109</v>
      </c>
      <c r="F243" s="16" t="s">
        <v>3882</v>
      </c>
      <c r="G243" s="16"/>
      <c r="H243" s="16"/>
      <c r="I243" s="19">
        <v>2018</v>
      </c>
      <c r="J243" s="16"/>
      <c r="K243" s="16" t="s">
        <v>146</v>
      </c>
      <c r="L243" s="16" t="s">
        <v>604</v>
      </c>
      <c r="M243" s="16" t="s">
        <v>499</v>
      </c>
    </row>
    <row r="244" spans="1:13" ht="19.5" customHeight="1" x14ac:dyDescent="0.35">
      <c r="A244" s="16"/>
      <c r="B244" s="16"/>
      <c r="C244" s="16" t="s">
        <v>3732</v>
      </c>
      <c r="D244" s="16" t="s">
        <v>497</v>
      </c>
      <c r="E244" s="16" t="s">
        <v>109</v>
      </c>
      <c r="F244" s="16" t="s">
        <v>3882</v>
      </c>
      <c r="G244" s="16"/>
      <c r="H244" s="16"/>
      <c r="I244" s="19">
        <v>2018</v>
      </c>
      <c r="J244" s="16"/>
      <c r="K244" s="16" t="s">
        <v>158</v>
      </c>
      <c r="L244" s="16" t="s">
        <v>541</v>
      </c>
      <c r="M244" s="16" t="s">
        <v>499</v>
      </c>
    </row>
    <row r="245" spans="1:13" ht="19.5" customHeight="1" x14ac:dyDescent="0.35">
      <c r="A245" s="16"/>
      <c r="B245" s="16"/>
      <c r="C245" s="16" t="s">
        <v>3732</v>
      </c>
      <c r="D245" s="16" t="s">
        <v>497</v>
      </c>
      <c r="E245" s="16" t="s">
        <v>109</v>
      </c>
      <c r="F245" s="16" t="s">
        <v>3882</v>
      </c>
      <c r="G245" s="16"/>
      <c r="H245" s="16"/>
      <c r="I245" s="19">
        <v>2018</v>
      </c>
      <c r="J245" s="16"/>
      <c r="K245" s="16" t="s">
        <v>158</v>
      </c>
      <c r="L245" s="16" t="s">
        <v>541</v>
      </c>
      <c r="M245" s="16" t="s">
        <v>499</v>
      </c>
    </row>
    <row r="246" spans="1:13" ht="19.5" customHeight="1" x14ac:dyDescent="0.35">
      <c r="A246" s="16" t="s">
        <v>605</v>
      </c>
      <c r="B246" s="16" t="s">
        <v>605</v>
      </c>
      <c r="C246" s="16" t="s">
        <v>3732</v>
      </c>
      <c r="D246" s="16" t="s">
        <v>497</v>
      </c>
      <c r="E246" s="16" t="s">
        <v>109</v>
      </c>
      <c r="F246" s="16" t="s">
        <v>3882</v>
      </c>
      <c r="G246" s="16"/>
      <c r="H246" s="16"/>
      <c r="I246" s="19">
        <v>2018</v>
      </c>
      <c r="J246" s="16"/>
      <c r="K246" s="16" t="s">
        <v>146</v>
      </c>
      <c r="L246" s="16" t="s">
        <v>606</v>
      </c>
      <c r="M246" s="16" t="s">
        <v>499</v>
      </c>
    </row>
    <row r="247" spans="1:13" ht="19.5" customHeight="1" x14ac:dyDescent="0.35">
      <c r="A247" s="16" t="s">
        <v>607</v>
      </c>
      <c r="B247" s="16" t="s">
        <v>607</v>
      </c>
      <c r="C247" s="16" t="s">
        <v>3732</v>
      </c>
      <c r="D247" s="16" t="s">
        <v>497</v>
      </c>
      <c r="E247" s="16" t="s">
        <v>109</v>
      </c>
      <c r="F247" s="16" t="s">
        <v>3882</v>
      </c>
      <c r="G247" s="16"/>
      <c r="H247" s="16"/>
      <c r="I247" s="19">
        <v>2018</v>
      </c>
      <c r="J247" s="16"/>
      <c r="K247" s="16" t="s">
        <v>146</v>
      </c>
      <c r="L247" s="16" t="s">
        <v>608</v>
      </c>
      <c r="M247" s="16" t="s">
        <v>499</v>
      </c>
    </row>
    <row r="248" spans="1:13" ht="19.5" customHeight="1" x14ac:dyDescent="0.35">
      <c r="A248" s="16" t="s">
        <v>609</v>
      </c>
      <c r="B248" s="16" t="s">
        <v>609</v>
      </c>
      <c r="C248" s="16" t="s">
        <v>3732</v>
      </c>
      <c r="D248" s="16" t="s">
        <v>497</v>
      </c>
      <c r="E248" s="16" t="s">
        <v>109</v>
      </c>
      <c r="F248" s="16" t="s">
        <v>3882</v>
      </c>
      <c r="G248" s="16"/>
      <c r="H248" s="16"/>
      <c r="I248" s="19">
        <v>2018</v>
      </c>
      <c r="J248" s="16"/>
      <c r="K248" s="16" t="s">
        <v>146</v>
      </c>
      <c r="L248" s="16" t="s">
        <v>610</v>
      </c>
      <c r="M248" s="16" t="s">
        <v>499</v>
      </c>
    </row>
    <row r="249" spans="1:13" ht="19.5" customHeight="1" x14ac:dyDescent="0.35">
      <c r="A249" s="16" t="s">
        <v>611</v>
      </c>
      <c r="B249" s="16" t="s">
        <v>611</v>
      </c>
      <c r="C249" s="16" t="s">
        <v>3732</v>
      </c>
      <c r="D249" s="16" t="s">
        <v>497</v>
      </c>
      <c r="E249" s="16" t="s">
        <v>109</v>
      </c>
      <c r="F249" s="16" t="s">
        <v>3882</v>
      </c>
      <c r="G249" s="16"/>
      <c r="H249" s="16"/>
      <c r="I249" s="19">
        <v>2018</v>
      </c>
      <c r="J249" s="16"/>
      <c r="K249" s="16" t="s">
        <v>146</v>
      </c>
      <c r="L249" s="16" t="s">
        <v>612</v>
      </c>
      <c r="M249" s="16" t="s">
        <v>499</v>
      </c>
    </row>
    <row r="250" spans="1:13" ht="19.5" customHeight="1" x14ac:dyDescent="0.35">
      <c r="A250" s="16" t="s">
        <v>613</v>
      </c>
      <c r="B250" s="16" t="s">
        <v>613</v>
      </c>
      <c r="C250" s="16" t="s">
        <v>3732</v>
      </c>
      <c r="D250" s="16" t="s">
        <v>497</v>
      </c>
      <c r="E250" s="16" t="s">
        <v>109</v>
      </c>
      <c r="F250" s="16" t="s">
        <v>3882</v>
      </c>
      <c r="G250" s="16"/>
      <c r="H250" s="16"/>
      <c r="I250" s="19">
        <v>2018</v>
      </c>
      <c r="J250" s="16"/>
      <c r="K250" s="16" t="s">
        <v>146</v>
      </c>
      <c r="L250" s="16" t="s">
        <v>614</v>
      </c>
      <c r="M250" s="16" t="s">
        <v>499</v>
      </c>
    </row>
    <row r="251" spans="1:13" ht="19.5" customHeight="1" x14ac:dyDescent="0.35">
      <c r="A251" s="16" t="s">
        <v>615</v>
      </c>
      <c r="B251" s="16" t="s">
        <v>615</v>
      </c>
      <c r="C251" s="16" t="s">
        <v>3732</v>
      </c>
      <c r="D251" s="16" t="s">
        <v>497</v>
      </c>
      <c r="E251" s="16" t="s">
        <v>109</v>
      </c>
      <c r="F251" s="16" t="s">
        <v>3882</v>
      </c>
      <c r="G251" s="16"/>
      <c r="H251" s="16"/>
      <c r="I251" s="19">
        <v>2018</v>
      </c>
      <c r="J251" s="16"/>
      <c r="K251" s="16" t="s">
        <v>146</v>
      </c>
      <c r="L251" s="16" t="s">
        <v>616</v>
      </c>
      <c r="M251" s="16" t="s">
        <v>499</v>
      </c>
    </row>
    <row r="252" spans="1:13" ht="19.5" customHeight="1" x14ac:dyDescent="0.35">
      <c r="A252" s="16" t="s">
        <v>617</v>
      </c>
      <c r="B252" s="16" t="s">
        <v>617</v>
      </c>
      <c r="C252" s="16" t="s">
        <v>3732</v>
      </c>
      <c r="D252" s="16" t="s">
        <v>497</v>
      </c>
      <c r="E252" s="16" t="s">
        <v>109</v>
      </c>
      <c r="F252" s="16" t="s">
        <v>3882</v>
      </c>
      <c r="G252" s="16"/>
      <c r="H252" s="16"/>
      <c r="I252" s="19">
        <v>2018</v>
      </c>
      <c r="J252" s="16"/>
      <c r="K252" s="16" t="s">
        <v>146</v>
      </c>
      <c r="L252" s="16" t="s">
        <v>618</v>
      </c>
      <c r="M252" s="16" t="s">
        <v>499</v>
      </c>
    </row>
    <row r="253" spans="1:13" ht="19.5" customHeight="1" x14ac:dyDescent="0.35">
      <c r="A253" s="16" t="s">
        <v>619</v>
      </c>
      <c r="B253" s="16" t="s">
        <v>619</v>
      </c>
      <c r="C253" s="16" t="s">
        <v>3732</v>
      </c>
      <c r="D253" s="16" t="s">
        <v>497</v>
      </c>
      <c r="E253" s="16" t="s">
        <v>109</v>
      </c>
      <c r="F253" s="16" t="s">
        <v>3882</v>
      </c>
      <c r="G253" s="16"/>
      <c r="H253" s="16"/>
      <c r="I253" s="19">
        <v>2018</v>
      </c>
      <c r="J253" s="16"/>
      <c r="K253" s="16" t="s">
        <v>146</v>
      </c>
      <c r="L253" s="16" t="s">
        <v>620</v>
      </c>
      <c r="M253" s="16" t="s">
        <v>499</v>
      </c>
    </row>
    <row r="254" spans="1:13" ht="19.5" customHeight="1" x14ac:dyDescent="0.35">
      <c r="A254" s="16" t="s">
        <v>621</v>
      </c>
      <c r="B254" s="16" t="s">
        <v>621</v>
      </c>
      <c r="C254" s="16" t="s">
        <v>3732</v>
      </c>
      <c r="D254" s="16" t="s">
        <v>497</v>
      </c>
      <c r="E254" s="16" t="s">
        <v>109</v>
      </c>
      <c r="F254" s="16" t="s">
        <v>3882</v>
      </c>
      <c r="G254" s="16"/>
      <c r="H254" s="16"/>
      <c r="I254" s="19">
        <v>2018</v>
      </c>
      <c r="J254" s="16"/>
      <c r="K254" s="16" t="s">
        <v>146</v>
      </c>
      <c r="L254" s="16" t="s">
        <v>622</v>
      </c>
      <c r="M254" s="16" t="s">
        <v>499</v>
      </c>
    </row>
    <row r="255" spans="1:13" ht="19.5" customHeight="1" x14ac:dyDescent="0.35">
      <c r="A255" s="16" t="s">
        <v>623</v>
      </c>
      <c r="B255" s="16" t="s">
        <v>623</v>
      </c>
      <c r="C255" s="16" t="s">
        <v>3732</v>
      </c>
      <c r="D255" s="16" t="s">
        <v>497</v>
      </c>
      <c r="E255" s="16" t="s">
        <v>109</v>
      </c>
      <c r="F255" s="16" t="s">
        <v>3882</v>
      </c>
      <c r="G255" s="16"/>
      <c r="H255" s="16"/>
      <c r="I255" s="19">
        <v>2018</v>
      </c>
      <c r="J255" s="16"/>
      <c r="K255" s="16" t="s">
        <v>146</v>
      </c>
      <c r="L255" s="16" t="s">
        <v>624</v>
      </c>
      <c r="M255" s="16" t="s">
        <v>499</v>
      </c>
    </row>
    <row r="256" spans="1:13" ht="19.5" customHeight="1" x14ac:dyDescent="0.35">
      <c r="A256" s="16" t="s">
        <v>625</v>
      </c>
      <c r="B256" s="16" t="s">
        <v>625</v>
      </c>
      <c r="C256" s="16" t="s">
        <v>3732</v>
      </c>
      <c r="D256" s="16" t="s">
        <v>497</v>
      </c>
      <c r="E256" s="16" t="s">
        <v>109</v>
      </c>
      <c r="F256" s="16" t="s">
        <v>3882</v>
      </c>
      <c r="G256" s="16"/>
      <c r="H256" s="16"/>
      <c r="I256" s="19">
        <v>2018</v>
      </c>
      <c r="J256" s="16"/>
      <c r="K256" s="16" t="s">
        <v>146</v>
      </c>
      <c r="L256" s="16" t="s">
        <v>626</v>
      </c>
      <c r="M256" s="16" t="s">
        <v>499</v>
      </c>
    </row>
    <row r="257" spans="1:13" ht="19.5" customHeight="1" x14ac:dyDescent="0.35">
      <c r="A257" s="16" t="s">
        <v>627</v>
      </c>
      <c r="B257" s="16" t="s">
        <v>627</v>
      </c>
      <c r="C257" s="16" t="s">
        <v>3732</v>
      </c>
      <c r="D257" s="16" t="s">
        <v>497</v>
      </c>
      <c r="E257" s="16" t="s">
        <v>109</v>
      </c>
      <c r="F257" s="16" t="s">
        <v>3882</v>
      </c>
      <c r="G257" s="16"/>
      <c r="H257" s="16"/>
      <c r="I257" s="19">
        <v>2018</v>
      </c>
      <c r="J257" s="16"/>
      <c r="K257" s="16" t="s">
        <v>146</v>
      </c>
      <c r="L257" s="16" t="s">
        <v>628</v>
      </c>
      <c r="M257" s="16" t="s">
        <v>499</v>
      </c>
    </row>
    <row r="258" spans="1:13" ht="19.5" customHeight="1" x14ac:dyDescent="0.35">
      <c r="A258" s="16" t="s">
        <v>629</v>
      </c>
      <c r="B258" s="16" t="s">
        <v>629</v>
      </c>
      <c r="C258" s="16" t="s">
        <v>3732</v>
      </c>
      <c r="D258" s="16" t="s">
        <v>497</v>
      </c>
      <c r="E258" s="16" t="s">
        <v>109</v>
      </c>
      <c r="F258" s="16" t="s">
        <v>3882</v>
      </c>
      <c r="G258" s="16"/>
      <c r="H258" s="16"/>
      <c r="I258" s="19">
        <v>2018</v>
      </c>
      <c r="J258" s="16"/>
      <c r="K258" s="16" t="s">
        <v>158</v>
      </c>
      <c r="L258" s="16" t="s">
        <v>630</v>
      </c>
      <c r="M258" s="16" t="s">
        <v>499</v>
      </c>
    </row>
    <row r="259" spans="1:13" ht="19.5" customHeight="1" x14ac:dyDescent="0.35">
      <c r="A259" s="16" t="s">
        <v>631</v>
      </c>
      <c r="B259" s="16" t="s">
        <v>631</v>
      </c>
      <c r="C259" s="16" t="s">
        <v>3732</v>
      </c>
      <c r="D259" s="16" t="s">
        <v>497</v>
      </c>
      <c r="E259" s="16" t="s">
        <v>109</v>
      </c>
      <c r="F259" s="16" t="s">
        <v>3882</v>
      </c>
      <c r="G259" s="16"/>
      <c r="H259" s="16"/>
      <c r="I259" s="19">
        <v>2018</v>
      </c>
      <c r="J259" s="16"/>
      <c r="K259" s="16" t="s">
        <v>146</v>
      </c>
      <c r="L259" s="16" t="s">
        <v>632</v>
      </c>
      <c r="M259" s="16" t="s">
        <v>499</v>
      </c>
    </row>
    <row r="260" spans="1:13" ht="19.5" customHeight="1" x14ac:dyDescent="0.35">
      <c r="A260" s="16" t="s">
        <v>633</v>
      </c>
      <c r="B260" s="16" t="s">
        <v>633</v>
      </c>
      <c r="C260" s="16" t="s">
        <v>3732</v>
      </c>
      <c r="D260" s="16" t="s">
        <v>497</v>
      </c>
      <c r="E260" s="16" t="s">
        <v>109</v>
      </c>
      <c r="F260" s="16" t="s">
        <v>3882</v>
      </c>
      <c r="G260" s="16"/>
      <c r="H260" s="16"/>
      <c r="I260" s="19">
        <v>2018</v>
      </c>
      <c r="J260" s="16"/>
      <c r="K260" s="16" t="s">
        <v>146</v>
      </c>
      <c r="L260" s="16" t="s">
        <v>634</v>
      </c>
      <c r="M260" s="16" t="s">
        <v>499</v>
      </c>
    </row>
    <row r="261" spans="1:13" ht="19.5" customHeight="1" x14ac:dyDescent="0.35">
      <c r="A261" s="16" t="s">
        <v>635</v>
      </c>
      <c r="B261" s="16" t="s">
        <v>635</v>
      </c>
      <c r="C261" s="16" t="s">
        <v>3732</v>
      </c>
      <c r="D261" s="16" t="s">
        <v>497</v>
      </c>
      <c r="E261" s="16" t="s">
        <v>109</v>
      </c>
      <c r="F261" s="16" t="s">
        <v>3882</v>
      </c>
      <c r="G261" s="16"/>
      <c r="H261" s="16"/>
      <c r="I261" s="19">
        <v>2018</v>
      </c>
      <c r="J261" s="16"/>
      <c r="K261" s="16" t="s">
        <v>158</v>
      </c>
      <c r="L261" s="16" t="s">
        <v>636</v>
      </c>
      <c r="M261" s="16" t="s">
        <v>499</v>
      </c>
    </row>
    <row r="262" spans="1:13" ht="19.5" customHeight="1" x14ac:dyDescent="0.35">
      <c r="A262" s="16" t="s">
        <v>637</v>
      </c>
      <c r="B262" s="16" t="s">
        <v>637</v>
      </c>
      <c r="C262" s="16" t="s">
        <v>3732</v>
      </c>
      <c r="D262" s="16" t="s">
        <v>497</v>
      </c>
      <c r="E262" s="16" t="s">
        <v>109</v>
      </c>
      <c r="F262" s="16" t="s">
        <v>3882</v>
      </c>
      <c r="G262" s="16"/>
      <c r="H262" s="16"/>
      <c r="I262" s="19">
        <v>2018</v>
      </c>
      <c r="J262" s="16"/>
      <c r="K262" s="16" t="s">
        <v>146</v>
      </c>
      <c r="L262" s="16" t="s">
        <v>638</v>
      </c>
      <c r="M262" s="16" t="s">
        <v>499</v>
      </c>
    </row>
    <row r="263" spans="1:13" ht="19.5" customHeight="1" x14ac:dyDescent="0.35">
      <c r="A263" s="16" t="s">
        <v>639</v>
      </c>
      <c r="B263" s="16" t="s">
        <v>639</v>
      </c>
      <c r="C263" s="16" t="s">
        <v>3732</v>
      </c>
      <c r="D263" s="16" t="s">
        <v>497</v>
      </c>
      <c r="E263" s="16" t="s">
        <v>109</v>
      </c>
      <c r="F263" s="16" t="s">
        <v>3882</v>
      </c>
      <c r="G263" s="16"/>
      <c r="H263" s="16"/>
      <c r="I263" s="19">
        <v>2018</v>
      </c>
      <c r="J263" s="16"/>
      <c r="K263" s="16" t="s">
        <v>146</v>
      </c>
      <c r="L263" s="16" t="s">
        <v>640</v>
      </c>
      <c r="M263" s="16" t="s">
        <v>499</v>
      </c>
    </row>
    <row r="264" spans="1:13" ht="19.5" customHeight="1" x14ac:dyDescent="0.35">
      <c r="A264" s="16" t="s">
        <v>641</v>
      </c>
      <c r="B264" s="16" t="s">
        <v>641</v>
      </c>
      <c r="C264" s="16" t="s">
        <v>3732</v>
      </c>
      <c r="D264" s="16" t="s">
        <v>497</v>
      </c>
      <c r="E264" s="16" t="s">
        <v>109</v>
      </c>
      <c r="F264" s="16" t="s">
        <v>3882</v>
      </c>
      <c r="G264" s="16"/>
      <c r="H264" s="16"/>
      <c r="I264" s="19">
        <v>2018</v>
      </c>
      <c r="J264" s="16"/>
      <c r="K264" s="16" t="s">
        <v>146</v>
      </c>
      <c r="L264" s="16" t="s">
        <v>642</v>
      </c>
      <c r="M264" s="16" t="s">
        <v>499</v>
      </c>
    </row>
    <row r="265" spans="1:13" ht="19.5" customHeight="1" x14ac:dyDescent="0.35">
      <c r="A265" s="16" t="s">
        <v>643</v>
      </c>
      <c r="B265" s="16" t="s">
        <v>643</v>
      </c>
      <c r="C265" s="16" t="s">
        <v>3732</v>
      </c>
      <c r="D265" s="16" t="s">
        <v>497</v>
      </c>
      <c r="E265" s="16" t="s">
        <v>109</v>
      </c>
      <c r="F265" s="16" t="s">
        <v>3882</v>
      </c>
      <c r="G265" s="16"/>
      <c r="H265" s="16"/>
      <c r="I265" s="19">
        <v>2018</v>
      </c>
      <c r="J265" s="16"/>
      <c r="K265" s="16" t="s">
        <v>146</v>
      </c>
      <c r="L265" s="16" t="s">
        <v>644</v>
      </c>
      <c r="M265" s="16" t="s">
        <v>499</v>
      </c>
    </row>
    <row r="266" spans="1:13" ht="19.5" customHeight="1" x14ac:dyDescent="0.35">
      <c r="A266" s="16" t="s">
        <v>645</v>
      </c>
      <c r="B266" s="16" t="s">
        <v>645</v>
      </c>
      <c r="C266" s="16" t="s">
        <v>3732</v>
      </c>
      <c r="D266" s="16" t="s">
        <v>497</v>
      </c>
      <c r="E266" s="16" t="s">
        <v>109</v>
      </c>
      <c r="F266" s="16" t="s">
        <v>3882</v>
      </c>
      <c r="G266" s="16"/>
      <c r="H266" s="16"/>
      <c r="I266" s="19">
        <v>2018</v>
      </c>
      <c r="J266" s="16"/>
      <c r="K266" s="16" t="s">
        <v>146</v>
      </c>
      <c r="L266" s="16" t="s">
        <v>646</v>
      </c>
      <c r="M266" s="16" t="s">
        <v>499</v>
      </c>
    </row>
    <row r="267" spans="1:13" ht="19.5" customHeight="1" x14ac:dyDescent="0.35">
      <c r="A267" s="16" t="s">
        <v>647</v>
      </c>
      <c r="B267" s="16" t="s">
        <v>647</v>
      </c>
      <c r="C267" s="16" t="s">
        <v>3732</v>
      </c>
      <c r="D267" s="16" t="s">
        <v>497</v>
      </c>
      <c r="E267" s="16" t="s">
        <v>109</v>
      </c>
      <c r="F267" s="16" t="s">
        <v>3882</v>
      </c>
      <c r="G267" s="16"/>
      <c r="H267" s="16"/>
      <c r="I267" s="19">
        <v>2018</v>
      </c>
      <c r="J267" s="16"/>
      <c r="K267" s="16" t="s">
        <v>146</v>
      </c>
      <c r="L267" s="16" t="s">
        <v>648</v>
      </c>
      <c r="M267" s="16" t="s">
        <v>499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A5A5A5"/>
    <pageSetUpPr fitToPage="1"/>
  </sheetPr>
  <dimension ref="A1:L1250"/>
  <sheetViews>
    <sheetView showGridLines="0" zoomScale="90" zoomScaleNormal="90" workbookViewId="0">
      <pane ySplit="3" topLeftCell="A4" activePane="bottomLeft" state="frozen"/>
      <selection pane="bottomLeft" activeCell="H8" sqref="H8"/>
    </sheetView>
  </sheetViews>
  <sheetFormatPr baseColWidth="10" defaultColWidth="8.7265625" defaultRowHeight="14.5" x14ac:dyDescent="0.35"/>
  <cols>
    <col min="1" max="1" width="42" customWidth="1"/>
    <col min="2" max="2" width="38.81640625" customWidth="1"/>
    <col min="3" max="3" width="14" customWidth="1"/>
    <col min="5" max="5" width="8.54296875" bestFit="1" customWidth="1"/>
    <col min="6" max="6" width="12.08984375" bestFit="1" customWidth="1"/>
    <col min="10" max="10" width="97.453125" customWidth="1"/>
    <col min="11" max="11" width="117.453125" customWidth="1"/>
    <col min="12" max="12" width="14" customWidth="1"/>
  </cols>
  <sheetData>
    <row r="1" spans="1:12" ht="19.5" customHeight="1" x14ac:dyDescent="0.35">
      <c r="A1" s="14" t="s">
        <v>3891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9.5" customHeight="1" x14ac:dyDescent="0.35">
      <c r="A2" s="20" t="s">
        <v>3892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9.5" customHeight="1" x14ac:dyDescent="0.35">
      <c r="A3" s="17" t="s">
        <v>3893</v>
      </c>
      <c r="B3" s="17" t="s">
        <v>3894</v>
      </c>
      <c r="C3" s="17" t="s">
        <v>3895</v>
      </c>
      <c r="D3" s="17" t="s">
        <v>3896</v>
      </c>
      <c r="E3" s="17" t="s">
        <v>3897</v>
      </c>
      <c r="F3" s="17" t="s">
        <v>3898</v>
      </c>
      <c r="G3" s="17" t="s">
        <v>3899</v>
      </c>
      <c r="H3" s="17" t="s">
        <v>3900</v>
      </c>
      <c r="I3" s="17" t="s">
        <v>3901</v>
      </c>
      <c r="J3" s="17" t="s">
        <v>3902</v>
      </c>
      <c r="K3" s="17" t="s">
        <v>3903</v>
      </c>
      <c r="L3" s="17" t="s">
        <v>3904</v>
      </c>
    </row>
    <row r="4" spans="1:12" ht="19.5" customHeight="1" x14ac:dyDescent="0.35">
      <c r="A4" s="16" t="s">
        <v>897</v>
      </c>
      <c r="B4" s="16" t="s">
        <v>898</v>
      </c>
      <c r="C4" s="32">
        <v>404.55</v>
      </c>
      <c r="D4" s="32">
        <v>24273</v>
      </c>
      <c r="E4" s="19">
        <v>399</v>
      </c>
      <c r="F4" s="19">
        <v>175</v>
      </c>
      <c r="G4" s="33">
        <v>0.43859649122806998</v>
      </c>
      <c r="H4" s="32">
        <v>60.834586466165398</v>
      </c>
      <c r="I4" s="32">
        <v>2100</v>
      </c>
      <c r="J4" s="16" t="s">
        <v>3905</v>
      </c>
      <c r="K4" s="16" t="s">
        <v>3906</v>
      </c>
      <c r="L4" s="16" t="s">
        <v>3907</v>
      </c>
    </row>
    <row r="5" spans="1:12" ht="19.5" customHeight="1" x14ac:dyDescent="0.35">
      <c r="A5" s="16" t="s">
        <v>904</v>
      </c>
      <c r="B5" s="16" t="s">
        <v>905</v>
      </c>
      <c r="C5" s="32">
        <v>355.76666666666699</v>
      </c>
      <c r="D5" s="32">
        <v>21346</v>
      </c>
      <c r="E5" s="19">
        <v>196</v>
      </c>
      <c r="F5" s="19">
        <v>92</v>
      </c>
      <c r="G5" s="33">
        <v>0.469387755102041</v>
      </c>
      <c r="H5" s="32">
        <v>108.908163265306</v>
      </c>
      <c r="I5" s="32">
        <v>8700</v>
      </c>
      <c r="J5" s="16" t="s">
        <v>3908</v>
      </c>
      <c r="K5" s="16" t="s">
        <v>3909</v>
      </c>
      <c r="L5" s="16" t="s">
        <v>3907</v>
      </c>
    </row>
    <row r="6" spans="1:12" ht="19.5" customHeight="1" x14ac:dyDescent="0.35">
      <c r="A6" s="16" t="s">
        <v>908</v>
      </c>
      <c r="B6" s="16" t="s">
        <v>909</v>
      </c>
      <c r="C6" s="32">
        <v>302.78333333333302</v>
      </c>
      <c r="D6" s="32">
        <v>18167</v>
      </c>
      <c r="E6" s="19">
        <v>147</v>
      </c>
      <c r="F6" s="19">
        <v>95</v>
      </c>
      <c r="G6" s="33">
        <v>0.64625850340136104</v>
      </c>
      <c r="H6" s="32">
        <v>123.585034013605</v>
      </c>
      <c r="I6" s="32">
        <v>4320</v>
      </c>
      <c r="J6" s="16" t="s">
        <v>3910</v>
      </c>
      <c r="K6" s="16" t="s">
        <v>3911</v>
      </c>
      <c r="L6" s="16" t="s">
        <v>3907</v>
      </c>
    </row>
    <row r="7" spans="1:12" ht="19.5" customHeight="1" x14ac:dyDescent="0.35">
      <c r="A7" s="16" t="s">
        <v>912</v>
      </c>
      <c r="B7" s="16" t="s">
        <v>913</v>
      </c>
      <c r="C7" s="32">
        <v>297.73333333333301</v>
      </c>
      <c r="D7" s="32">
        <v>17864</v>
      </c>
      <c r="E7" s="19">
        <v>119</v>
      </c>
      <c r="F7" s="19">
        <v>73</v>
      </c>
      <c r="G7" s="33">
        <v>0.61344537815126099</v>
      </c>
      <c r="H7" s="32">
        <v>150.11764705882399</v>
      </c>
      <c r="I7" s="32">
        <v>1500</v>
      </c>
      <c r="J7" s="16" t="s">
        <v>3912</v>
      </c>
      <c r="K7" s="16" t="s">
        <v>3913</v>
      </c>
      <c r="L7" s="16" t="s">
        <v>3907</v>
      </c>
    </row>
    <row r="8" spans="1:12" ht="19.5" customHeight="1" x14ac:dyDescent="0.35">
      <c r="A8" s="16" t="s">
        <v>916</v>
      </c>
      <c r="B8" s="16" t="s">
        <v>917</v>
      </c>
      <c r="C8" s="32">
        <v>284.76666666666699</v>
      </c>
      <c r="D8" s="32">
        <v>17086</v>
      </c>
      <c r="E8" s="19">
        <v>57</v>
      </c>
      <c r="F8" s="19">
        <v>11</v>
      </c>
      <c r="G8" s="33">
        <v>0.19298245614035101</v>
      </c>
      <c r="H8" s="32">
        <v>299.75438596491199</v>
      </c>
      <c r="I8" s="32">
        <v>10500</v>
      </c>
      <c r="J8" s="16" t="s">
        <v>3914</v>
      </c>
      <c r="K8" s="16" t="s">
        <v>3915</v>
      </c>
      <c r="L8" s="16" t="s">
        <v>3907</v>
      </c>
    </row>
    <row r="9" spans="1:12" ht="19.5" customHeight="1" x14ac:dyDescent="0.35">
      <c r="A9" s="16" t="s">
        <v>920</v>
      </c>
      <c r="B9" s="16" t="s">
        <v>921</v>
      </c>
      <c r="C9" s="32">
        <v>269</v>
      </c>
      <c r="D9" s="32">
        <v>16140</v>
      </c>
      <c r="E9" s="19">
        <v>179</v>
      </c>
      <c r="F9" s="19">
        <v>99</v>
      </c>
      <c r="G9" s="33">
        <v>0.55307262569832405</v>
      </c>
      <c r="H9" s="32">
        <v>90.167597765363098</v>
      </c>
      <c r="I9" s="32">
        <v>848</v>
      </c>
      <c r="J9" s="16" t="s">
        <v>3916</v>
      </c>
      <c r="K9" s="16" t="s">
        <v>3917</v>
      </c>
      <c r="L9" s="16" t="s">
        <v>3907</v>
      </c>
    </row>
    <row r="10" spans="1:12" ht="19.5" customHeight="1" x14ac:dyDescent="0.35">
      <c r="A10" s="16" t="s">
        <v>924</v>
      </c>
      <c r="B10" s="16" t="s">
        <v>925</v>
      </c>
      <c r="C10" s="32">
        <v>267.13333333333298</v>
      </c>
      <c r="D10" s="32">
        <v>16028</v>
      </c>
      <c r="E10" s="19">
        <v>125</v>
      </c>
      <c r="F10" s="19">
        <v>76</v>
      </c>
      <c r="G10" s="33">
        <v>0.60799999999999998</v>
      </c>
      <c r="H10" s="32">
        <v>128.22399999999999</v>
      </c>
      <c r="I10" s="32">
        <v>1400</v>
      </c>
      <c r="J10" s="16" t="s">
        <v>3918</v>
      </c>
      <c r="K10" s="16" t="s">
        <v>3919</v>
      </c>
      <c r="L10" s="16" t="s">
        <v>3907</v>
      </c>
    </row>
    <row r="11" spans="1:12" ht="19.5" customHeight="1" x14ac:dyDescent="0.35">
      <c r="A11" s="16" t="s">
        <v>928</v>
      </c>
      <c r="B11" s="16" t="s">
        <v>929</v>
      </c>
      <c r="C11" s="32">
        <v>259.7</v>
      </c>
      <c r="D11" s="32">
        <v>15582</v>
      </c>
      <c r="E11" s="19">
        <v>103</v>
      </c>
      <c r="F11" s="19">
        <v>50</v>
      </c>
      <c r="G11" s="33">
        <v>0.485436893203884</v>
      </c>
      <c r="H11" s="32">
        <v>151.28155339805801</v>
      </c>
      <c r="I11" s="32">
        <v>2400</v>
      </c>
      <c r="J11" s="16" t="s">
        <v>3920</v>
      </c>
      <c r="K11" s="16" t="s">
        <v>3921</v>
      </c>
      <c r="L11" s="16" t="s">
        <v>3907</v>
      </c>
    </row>
    <row r="12" spans="1:12" ht="19.5" customHeight="1" x14ac:dyDescent="0.35">
      <c r="A12" s="16" t="s">
        <v>932</v>
      </c>
      <c r="B12" s="16" t="s">
        <v>921</v>
      </c>
      <c r="C12" s="32">
        <v>259.21666666666698</v>
      </c>
      <c r="D12" s="32">
        <v>15553</v>
      </c>
      <c r="E12" s="19">
        <v>41</v>
      </c>
      <c r="F12" s="19">
        <v>23</v>
      </c>
      <c r="G12" s="33">
        <v>0.56097560975609795</v>
      </c>
      <c r="H12" s="32">
        <v>379.34146341463401</v>
      </c>
      <c r="I12" s="32">
        <v>7304</v>
      </c>
      <c r="J12" s="16" t="s">
        <v>3922</v>
      </c>
      <c r="K12" s="16" t="s">
        <v>3923</v>
      </c>
      <c r="L12" s="16" t="s">
        <v>3924</v>
      </c>
    </row>
    <row r="13" spans="1:12" ht="19.5" customHeight="1" x14ac:dyDescent="0.35">
      <c r="A13" s="16" t="s">
        <v>935</v>
      </c>
      <c r="B13" s="16" t="s">
        <v>921</v>
      </c>
      <c r="C13" s="32">
        <v>242.15</v>
      </c>
      <c r="D13" s="32">
        <v>14529</v>
      </c>
      <c r="E13" s="19">
        <v>128</v>
      </c>
      <c r="F13" s="19">
        <v>64</v>
      </c>
      <c r="G13" s="33">
        <v>0.5</v>
      </c>
      <c r="H13" s="32">
        <v>113.5078125</v>
      </c>
      <c r="I13" s="32">
        <v>1620</v>
      </c>
      <c r="J13" s="16" t="s">
        <v>3925</v>
      </c>
      <c r="K13" s="16" t="s">
        <v>3926</v>
      </c>
      <c r="L13" s="16" t="s">
        <v>3907</v>
      </c>
    </row>
    <row r="14" spans="1:12" ht="19.5" customHeight="1" x14ac:dyDescent="0.35">
      <c r="A14" s="16" t="s">
        <v>938</v>
      </c>
      <c r="B14" s="16" t="s">
        <v>925</v>
      </c>
      <c r="C14" s="32">
        <v>235.75</v>
      </c>
      <c r="D14" s="32">
        <v>14145</v>
      </c>
      <c r="E14" s="19">
        <v>221</v>
      </c>
      <c r="F14" s="19">
        <v>113</v>
      </c>
      <c r="G14" s="33">
        <v>0.51131221719456998</v>
      </c>
      <c r="H14" s="32">
        <v>64.004524886877803</v>
      </c>
      <c r="I14" s="32">
        <v>960</v>
      </c>
      <c r="J14" s="16" t="s">
        <v>3927</v>
      </c>
      <c r="K14" s="16" t="s">
        <v>3928</v>
      </c>
      <c r="L14" s="16" t="s">
        <v>3907</v>
      </c>
    </row>
    <row r="15" spans="1:12" ht="19.5" customHeight="1" x14ac:dyDescent="0.35">
      <c r="A15" s="16" t="s">
        <v>941</v>
      </c>
      <c r="B15" s="16" t="s">
        <v>942</v>
      </c>
      <c r="C15" s="32">
        <v>234.51666666666699</v>
      </c>
      <c r="D15" s="32">
        <v>14071</v>
      </c>
      <c r="E15" s="19">
        <v>153</v>
      </c>
      <c r="F15" s="19">
        <v>80</v>
      </c>
      <c r="G15" s="33">
        <v>0.52287581699346397</v>
      </c>
      <c r="H15" s="32">
        <v>91.967320261437905</v>
      </c>
      <c r="I15" s="32">
        <v>3248</v>
      </c>
      <c r="J15" s="16" t="s">
        <v>3929</v>
      </c>
      <c r="K15" s="16" t="s">
        <v>3930</v>
      </c>
      <c r="L15" s="16" t="s">
        <v>3907</v>
      </c>
    </row>
    <row r="16" spans="1:12" ht="19.5" customHeight="1" x14ac:dyDescent="0.35">
      <c r="A16" s="16" t="s">
        <v>945</v>
      </c>
      <c r="B16" s="16" t="s">
        <v>946</v>
      </c>
      <c r="C16" s="32">
        <v>234.35</v>
      </c>
      <c r="D16" s="32">
        <v>14061</v>
      </c>
      <c r="E16" s="19">
        <v>52</v>
      </c>
      <c r="F16" s="19">
        <v>33</v>
      </c>
      <c r="G16" s="33">
        <v>0.63461538461538503</v>
      </c>
      <c r="H16" s="32">
        <v>270.40384615384602</v>
      </c>
      <c r="I16" s="32">
        <v>5700</v>
      </c>
      <c r="J16" s="16" t="s">
        <v>3931</v>
      </c>
      <c r="K16" s="16" t="s">
        <v>3932</v>
      </c>
      <c r="L16" s="16" t="s">
        <v>3907</v>
      </c>
    </row>
    <row r="17" spans="1:12" ht="19.5" customHeight="1" x14ac:dyDescent="0.35">
      <c r="A17" s="16" t="s">
        <v>949</v>
      </c>
      <c r="B17" s="16" t="s">
        <v>925</v>
      </c>
      <c r="C17" s="32">
        <v>232.21666666666701</v>
      </c>
      <c r="D17" s="32">
        <v>13933</v>
      </c>
      <c r="E17" s="19">
        <v>136</v>
      </c>
      <c r="F17" s="19">
        <v>89</v>
      </c>
      <c r="G17" s="33">
        <v>0.65441176470588203</v>
      </c>
      <c r="H17" s="32">
        <v>102.44852941176499</v>
      </c>
      <c r="I17" s="32">
        <v>650</v>
      </c>
      <c r="J17" s="16" t="s">
        <v>3933</v>
      </c>
      <c r="K17" s="16" t="s">
        <v>3934</v>
      </c>
      <c r="L17" s="16" t="s">
        <v>3907</v>
      </c>
    </row>
    <row r="18" spans="1:12" ht="19.5" customHeight="1" x14ac:dyDescent="0.35">
      <c r="A18" s="16" t="s">
        <v>952</v>
      </c>
      <c r="B18" s="16" t="s">
        <v>913</v>
      </c>
      <c r="C18" s="32">
        <v>230.833333333333</v>
      </c>
      <c r="D18" s="32">
        <v>13850</v>
      </c>
      <c r="E18" s="19">
        <v>95</v>
      </c>
      <c r="F18" s="19">
        <v>58</v>
      </c>
      <c r="G18" s="33">
        <v>0.61052631578947403</v>
      </c>
      <c r="H18" s="32">
        <v>145.789473684211</v>
      </c>
      <c r="I18" s="32">
        <v>2000</v>
      </c>
      <c r="J18" s="16" t="s">
        <v>3935</v>
      </c>
      <c r="K18" s="16" t="s">
        <v>3936</v>
      </c>
      <c r="L18" s="16" t="s">
        <v>3907</v>
      </c>
    </row>
    <row r="19" spans="1:12" ht="19.5" customHeight="1" x14ac:dyDescent="0.35">
      <c r="A19" s="16" t="s">
        <v>955</v>
      </c>
      <c r="B19" s="16" t="s">
        <v>921</v>
      </c>
      <c r="C19" s="32">
        <v>229.01666666666699</v>
      </c>
      <c r="D19" s="32">
        <v>13741</v>
      </c>
      <c r="E19" s="19">
        <v>82</v>
      </c>
      <c r="F19" s="19">
        <v>39</v>
      </c>
      <c r="G19" s="33">
        <v>0.47560975609756101</v>
      </c>
      <c r="H19" s="32">
        <v>167.57317073170699</v>
      </c>
      <c r="I19" s="32">
        <v>4500</v>
      </c>
      <c r="J19" s="16" t="s">
        <v>3937</v>
      </c>
      <c r="K19" s="16" t="s">
        <v>3938</v>
      </c>
      <c r="L19" s="16" t="s">
        <v>3907</v>
      </c>
    </row>
    <row r="20" spans="1:12" ht="19.5" customHeight="1" x14ac:dyDescent="0.35">
      <c r="A20" s="16" t="s">
        <v>958</v>
      </c>
      <c r="B20" s="16" t="s">
        <v>959</v>
      </c>
      <c r="C20" s="32">
        <v>228.316666666667</v>
      </c>
      <c r="D20" s="32">
        <v>13699</v>
      </c>
      <c r="E20" s="19">
        <v>209</v>
      </c>
      <c r="F20" s="19">
        <v>47</v>
      </c>
      <c r="G20" s="33">
        <v>0.22488038277512001</v>
      </c>
      <c r="H20" s="32">
        <v>65.545454545454604</v>
      </c>
      <c r="I20" s="32">
        <v>2620</v>
      </c>
      <c r="J20" s="16" t="s">
        <v>3939</v>
      </c>
      <c r="K20" s="16" t="s">
        <v>3940</v>
      </c>
      <c r="L20" s="16" t="s">
        <v>3941</v>
      </c>
    </row>
    <row r="21" spans="1:12" ht="19.5" customHeight="1" x14ac:dyDescent="0.35">
      <c r="A21" s="16" t="s">
        <v>962</v>
      </c>
      <c r="B21" s="16" t="s">
        <v>963</v>
      </c>
      <c r="C21" s="32">
        <v>227.3</v>
      </c>
      <c r="D21" s="32">
        <v>13638</v>
      </c>
      <c r="E21" s="19">
        <v>238</v>
      </c>
      <c r="F21" s="19">
        <v>68</v>
      </c>
      <c r="G21" s="33">
        <v>0.28571428571428598</v>
      </c>
      <c r="H21" s="32">
        <v>57.302521008403403</v>
      </c>
      <c r="I21" s="32">
        <v>2345</v>
      </c>
      <c r="J21" s="16" t="s">
        <v>3942</v>
      </c>
      <c r="K21" s="16" t="s">
        <v>3943</v>
      </c>
      <c r="L21" s="16" t="s">
        <v>3907</v>
      </c>
    </row>
    <row r="22" spans="1:12" ht="19.5" customHeight="1" x14ac:dyDescent="0.35">
      <c r="A22" s="16" t="s">
        <v>966</v>
      </c>
      <c r="B22" s="16" t="s">
        <v>921</v>
      </c>
      <c r="C22" s="32">
        <v>225.3</v>
      </c>
      <c r="D22" s="32">
        <v>13518</v>
      </c>
      <c r="E22" s="19">
        <v>146</v>
      </c>
      <c r="F22" s="19">
        <v>74</v>
      </c>
      <c r="G22" s="33">
        <v>0.50684931506849296</v>
      </c>
      <c r="H22" s="32">
        <v>92.589041095890394</v>
      </c>
      <c r="I22" s="32">
        <v>5824</v>
      </c>
      <c r="J22" s="16" t="s">
        <v>3944</v>
      </c>
      <c r="K22" s="16" t="s">
        <v>3945</v>
      </c>
      <c r="L22" s="16" t="s">
        <v>3907</v>
      </c>
    </row>
    <row r="23" spans="1:12" ht="19.5" customHeight="1" x14ac:dyDescent="0.35">
      <c r="A23" s="16" t="s">
        <v>969</v>
      </c>
      <c r="B23" s="16" t="s">
        <v>946</v>
      </c>
      <c r="C23" s="32">
        <v>224.63333333333301</v>
      </c>
      <c r="D23" s="32">
        <v>13478</v>
      </c>
      <c r="E23" s="19">
        <v>60</v>
      </c>
      <c r="F23" s="19">
        <v>36</v>
      </c>
      <c r="G23" s="33">
        <v>0.6</v>
      </c>
      <c r="H23" s="32">
        <v>224.63333333333301</v>
      </c>
      <c r="I23" s="32">
        <v>8500</v>
      </c>
      <c r="J23" s="16" t="s">
        <v>3946</v>
      </c>
      <c r="K23" s="16" t="s">
        <v>3947</v>
      </c>
      <c r="L23" s="16" t="s">
        <v>3907</v>
      </c>
    </row>
    <row r="24" spans="1:12" ht="19.5" customHeight="1" x14ac:dyDescent="0.35">
      <c r="A24" s="16" t="s">
        <v>972</v>
      </c>
      <c r="B24" s="16" t="s">
        <v>973</v>
      </c>
      <c r="C24" s="32">
        <v>223.98333333333301</v>
      </c>
      <c r="D24" s="32">
        <v>13439</v>
      </c>
      <c r="E24" s="19">
        <v>136</v>
      </c>
      <c r="F24" s="19">
        <v>64</v>
      </c>
      <c r="G24" s="33">
        <v>0.47058823529411797</v>
      </c>
      <c r="H24" s="32">
        <v>98.816176470588204</v>
      </c>
      <c r="I24" s="32">
        <v>2400</v>
      </c>
      <c r="J24" s="16" t="s">
        <v>3948</v>
      </c>
      <c r="K24" s="16" t="s">
        <v>3949</v>
      </c>
      <c r="L24" s="16" t="s">
        <v>3907</v>
      </c>
    </row>
    <row r="25" spans="1:12" ht="19.5" customHeight="1" x14ac:dyDescent="0.35">
      <c r="A25" s="16" t="s">
        <v>976</v>
      </c>
      <c r="B25" s="16" t="s">
        <v>959</v>
      </c>
      <c r="C25" s="32">
        <v>217.8</v>
      </c>
      <c r="D25" s="32">
        <v>13068</v>
      </c>
      <c r="E25" s="19">
        <v>84</v>
      </c>
      <c r="F25" s="19">
        <v>26</v>
      </c>
      <c r="G25" s="33">
        <v>0.30952380952380998</v>
      </c>
      <c r="H25" s="32">
        <v>155.57142857142901</v>
      </c>
      <c r="I25" s="32">
        <v>2407</v>
      </c>
      <c r="J25" s="16" t="s">
        <v>3950</v>
      </c>
      <c r="K25" s="16" t="s">
        <v>3951</v>
      </c>
      <c r="L25" s="16" t="s">
        <v>3941</v>
      </c>
    </row>
    <row r="26" spans="1:12" ht="19.5" customHeight="1" x14ac:dyDescent="0.35">
      <c r="A26" s="16" t="s">
        <v>979</v>
      </c>
      <c r="B26" s="16" t="s">
        <v>925</v>
      </c>
      <c r="C26" s="32">
        <v>209.46666666666701</v>
      </c>
      <c r="D26" s="32">
        <v>12568</v>
      </c>
      <c r="E26" s="19">
        <v>106</v>
      </c>
      <c r="F26" s="19">
        <v>67</v>
      </c>
      <c r="G26" s="33">
        <v>0.63207547169811296</v>
      </c>
      <c r="H26" s="32">
        <v>118.56603773584899</v>
      </c>
      <c r="I26" s="32">
        <v>1420</v>
      </c>
      <c r="J26" s="16" t="s">
        <v>3952</v>
      </c>
      <c r="K26" s="16" t="s">
        <v>3953</v>
      </c>
      <c r="L26" s="16" t="s">
        <v>3907</v>
      </c>
    </row>
    <row r="27" spans="1:12" ht="19.5" customHeight="1" x14ac:dyDescent="0.35">
      <c r="A27" s="16" t="s">
        <v>982</v>
      </c>
      <c r="B27" s="16" t="s">
        <v>909</v>
      </c>
      <c r="C27" s="32">
        <v>208.73333333333301</v>
      </c>
      <c r="D27" s="32">
        <v>12524</v>
      </c>
      <c r="E27" s="19">
        <v>167</v>
      </c>
      <c r="F27" s="19">
        <v>108</v>
      </c>
      <c r="G27" s="33">
        <v>0.64670658682634696</v>
      </c>
      <c r="H27" s="32">
        <v>74.994011976047901</v>
      </c>
      <c r="I27" s="32">
        <v>1680</v>
      </c>
      <c r="J27" s="16" t="s">
        <v>3954</v>
      </c>
      <c r="K27" s="16" t="s">
        <v>3955</v>
      </c>
      <c r="L27" s="16" t="s">
        <v>3907</v>
      </c>
    </row>
    <row r="28" spans="1:12" ht="19.5" customHeight="1" x14ac:dyDescent="0.35">
      <c r="A28" s="16" t="s">
        <v>985</v>
      </c>
      <c r="B28" s="16" t="s">
        <v>925</v>
      </c>
      <c r="C28" s="32">
        <v>208.45</v>
      </c>
      <c r="D28" s="32">
        <v>12507</v>
      </c>
      <c r="E28" s="19">
        <v>170</v>
      </c>
      <c r="F28" s="19">
        <v>99</v>
      </c>
      <c r="G28" s="33">
        <v>0.58235294117647096</v>
      </c>
      <c r="H28" s="32">
        <v>73.570588235294096</v>
      </c>
      <c r="I28" s="32">
        <v>1300</v>
      </c>
      <c r="J28" s="16" t="s">
        <v>3956</v>
      </c>
      <c r="K28" s="16" t="s">
        <v>3957</v>
      </c>
      <c r="L28" s="16" t="s">
        <v>3907</v>
      </c>
    </row>
    <row r="29" spans="1:12" ht="19.5" customHeight="1" x14ac:dyDescent="0.35">
      <c r="A29" s="16" t="s">
        <v>988</v>
      </c>
      <c r="B29" s="16" t="s">
        <v>989</v>
      </c>
      <c r="C29" s="32">
        <v>208</v>
      </c>
      <c r="D29" s="32">
        <v>12480</v>
      </c>
      <c r="E29" s="19">
        <v>138</v>
      </c>
      <c r="F29" s="19">
        <v>72</v>
      </c>
      <c r="G29" s="33">
        <v>0.52173913043478304</v>
      </c>
      <c r="H29" s="32">
        <v>90.434782608695699</v>
      </c>
      <c r="I29" s="32">
        <v>1080</v>
      </c>
      <c r="J29" s="16" t="s">
        <v>3958</v>
      </c>
      <c r="K29" s="16" t="s">
        <v>3959</v>
      </c>
      <c r="L29" s="16" t="s">
        <v>3907</v>
      </c>
    </row>
    <row r="30" spans="1:12" ht="19.5" customHeight="1" x14ac:dyDescent="0.35">
      <c r="A30" s="16" t="s">
        <v>992</v>
      </c>
      <c r="B30" s="16" t="s">
        <v>909</v>
      </c>
      <c r="C30" s="32">
        <v>203.05</v>
      </c>
      <c r="D30" s="32">
        <v>12183</v>
      </c>
      <c r="E30" s="19">
        <v>167</v>
      </c>
      <c r="F30" s="19">
        <v>76</v>
      </c>
      <c r="G30" s="33">
        <v>0.45508982035928103</v>
      </c>
      <c r="H30" s="32">
        <v>72.952095808383206</v>
      </c>
      <c r="I30" s="32">
        <v>3000</v>
      </c>
      <c r="J30" s="16" t="s">
        <v>3960</v>
      </c>
      <c r="K30" s="16" t="s">
        <v>3961</v>
      </c>
      <c r="L30" s="16" t="s">
        <v>3907</v>
      </c>
    </row>
    <row r="31" spans="1:12" ht="19.5" customHeight="1" x14ac:dyDescent="0.35">
      <c r="A31" s="16" t="s">
        <v>995</v>
      </c>
      <c r="B31" s="16" t="s">
        <v>996</v>
      </c>
      <c r="C31" s="32">
        <v>200.2</v>
      </c>
      <c r="D31" s="32">
        <v>12012</v>
      </c>
      <c r="E31" s="19">
        <v>82</v>
      </c>
      <c r="F31" s="19">
        <v>46</v>
      </c>
      <c r="G31" s="33">
        <v>0.56097560975609795</v>
      </c>
      <c r="H31" s="32">
        <v>146.48780487804899</v>
      </c>
      <c r="I31" s="32">
        <v>1350</v>
      </c>
      <c r="J31" s="16" t="s">
        <v>3962</v>
      </c>
      <c r="K31" s="16" t="s">
        <v>3963</v>
      </c>
      <c r="L31" s="16" t="s">
        <v>3907</v>
      </c>
    </row>
    <row r="32" spans="1:12" ht="19.5" customHeight="1" x14ac:dyDescent="0.35">
      <c r="A32" s="16" t="s">
        <v>999</v>
      </c>
      <c r="B32" s="16" t="s">
        <v>946</v>
      </c>
      <c r="C32" s="32">
        <v>200.05</v>
      </c>
      <c r="D32" s="32">
        <v>12003</v>
      </c>
      <c r="E32" s="19">
        <v>51</v>
      </c>
      <c r="F32" s="19">
        <v>29</v>
      </c>
      <c r="G32" s="33">
        <v>0.56862745098039202</v>
      </c>
      <c r="H32" s="32">
        <v>235.35294117647101</v>
      </c>
      <c r="I32" s="32">
        <v>9780</v>
      </c>
      <c r="J32" s="16" t="s">
        <v>3964</v>
      </c>
      <c r="K32" s="16" t="s">
        <v>3965</v>
      </c>
      <c r="L32" s="16" t="s">
        <v>3907</v>
      </c>
    </row>
    <row r="33" spans="1:12" ht="19.5" customHeight="1" x14ac:dyDescent="0.35">
      <c r="A33" s="16" t="s">
        <v>1002</v>
      </c>
      <c r="B33" s="16" t="s">
        <v>989</v>
      </c>
      <c r="C33" s="32">
        <v>197.666666666667</v>
      </c>
      <c r="D33" s="32">
        <v>11860</v>
      </c>
      <c r="E33" s="19">
        <v>100</v>
      </c>
      <c r="F33" s="19">
        <v>49</v>
      </c>
      <c r="G33" s="33">
        <v>0.49</v>
      </c>
      <c r="H33" s="32">
        <v>118.6</v>
      </c>
      <c r="I33" s="32">
        <v>1980</v>
      </c>
      <c r="J33" s="16" t="s">
        <v>3966</v>
      </c>
      <c r="K33" s="16" t="s">
        <v>3967</v>
      </c>
      <c r="L33" s="16" t="s">
        <v>3907</v>
      </c>
    </row>
    <row r="34" spans="1:12" ht="19.5" customHeight="1" x14ac:dyDescent="0.35">
      <c r="A34" s="16" t="s">
        <v>1005</v>
      </c>
      <c r="B34" s="16" t="s">
        <v>921</v>
      </c>
      <c r="C34" s="32">
        <v>196.53333333333299</v>
      </c>
      <c r="D34" s="32">
        <v>11792</v>
      </c>
      <c r="E34" s="19">
        <v>149</v>
      </c>
      <c r="F34" s="19">
        <v>59</v>
      </c>
      <c r="G34" s="33">
        <v>0.39597315436241598</v>
      </c>
      <c r="H34" s="32">
        <v>79.140939597315395</v>
      </c>
      <c r="I34" s="32">
        <v>1632</v>
      </c>
      <c r="J34" s="16" t="s">
        <v>3968</v>
      </c>
      <c r="K34" s="16" t="s">
        <v>3969</v>
      </c>
      <c r="L34" s="16" t="s">
        <v>3907</v>
      </c>
    </row>
    <row r="35" spans="1:12" ht="19.5" customHeight="1" x14ac:dyDescent="0.35">
      <c r="A35" s="16" t="s">
        <v>1008</v>
      </c>
      <c r="B35" s="16" t="s">
        <v>1009</v>
      </c>
      <c r="C35" s="32">
        <v>192.1</v>
      </c>
      <c r="D35" s="32">
        <v>11526</v>
      </c>
      <c r="E35" s="19">
        <v>125</v>
      </c>
      <c r="F35" s="19">
        <v>53</v>
      </c>
      <c r="G35" s="33">
        <v>0.42399999999999999</v>
      </c>
      <c r="H35" s="32">
        <v>92.207999999999998</v>
      </c>
      <c r="I35" s="32">
        <v>5520</v>
      </c>
      <c r="J35" s="16" t="s">
        <v>3970</v>
      </c>
      <c r="K35" s="16" t="s">
        <v>3971</v>
      </c>
      <c r="L35" s="16" t="s">
        <v>3907</v>
      </c>
    </row>
    <row r="36" spans="1:12" ht="19.5" customHeight="1" x14ac:dyDescent="0.35">
      <c r="A36" s="16" t="s">
        <v>1012</v>
      </c>
      <c r="B36" s="16" t="s">
        <v>921</v>
      </c>
      <c r="C36" s="32">
        <v>191.333333333333</v>
      </c>
      <c r="D36" s="32">
        <v>11480</v>
      </c>
      <c r="E36" s="19">
        <v>196</v>
      </c>
      <c r="F36" s="19">
        <v>79</v>
      </c>
      <c r="G36" s="33">
        <v>0.40306122448979598</v>
      </c>
      <c r="H36" s="32">
        <v>58.571428571428598</v>
      </c>
      <c r="I36" s="32">
        <v>1400</v>
      </c>
      <c r="J36" s="16" t="s">
        <v>3972</v>
      </c>
      <c r="K36" s="16" t="s">
        <v>3973</v>
      </c>
      <c r="L36" s="16" t="s">
        <v>3907</v>
      </c>
    </row>
    <row r="37" spans="1:12" ht="19.5" customHeight="1" x14ac:dyDescent="0.35">
      <c r="A37" s="16" t="s">
        <v>1015</v>
      </c>
      <c r="B37" s="16" t="s">
        <v>996</v>
      </c>
      <c r="C37" s="32">
        <v>179.683333333333</v>
      </c>
      <c r="D37" s="32">
        <v>10781</v>
      </c>
      <c r="E37" s="19">
        <v>92</v>
      </c>
      <c r="F37" s="19">
        <v>50</v>
      </c>
      <c r="G37" s="33">
        <v>0.54347826086956497</v>
      </c>
      <c r="H37" s="32">
        <v>117.184782608696</v>
      </c>
      <c r="I37" s="32">
        <v>1380</v>
      </c>
      <c r="J37" s="16" t="s">
        <v>3974</v>
      </c>
      <c r="K37" s="16" t="s">
        <v>3975</v>
      </c>
      <c r="L37" s="16" t="s">
        <v>3907</v>
      </c>
    </row>
    <row r="38" spans="1:12" ht="19.5" customHeight="1" x14ac:dyDescent="0.35">
      <c r="A38" s="16" t="s">
        <v>1018</v>
      </c>
      <c r="B38" s="16" t="s">
        <v>963</v>
      </c>
      <c r="C38" s="32">
        <v>179.55</v>
      </c>
      <c r="D38" s="32">
        <v>10773</v>
      </c>
      <c r="E38" s="19">
        <v>150</v>
      </c>
      <c r="F38" s="19">
        <v>19</v>
      </c>
      <c r="G38" s="33">
        <v>0.12666666666666701</v>
      </c>
      <c r="H38" s="32">
        <v>71.819999999999993</v>
      </c>
      <c r="I38" s="32">
        <v>3547</v>
      </c>
      <c r="J38" s="16" t="s">
        <v>3976</v>
      </c>
      <c r="K38" s="16" t="s">
        <v>3977</v>
      </c>
      <c r="L38" s="16" t="s">
        <v>3907</v>
      </c>
    </row>
    <row r="39" spans="1:12" ht="19.5" customHeight="1" x14ac:dyDescent="0.35">
      <c r="A39" s="16" t="s">
        <v>1021</v>
      </c>
      <c r="B39" s="16" t="s">
        <v>925</v>
      </c>
      <c r="C39" s="32">
        <v>178.083333333333</v>
      </c>
      <c r="D39" s="32">
        <v>10685</v>
      </c>
      <c r="E39" s="19">
        <v>136</v>
      </c>
      <c r="F39" s="19">
        <v>76</v>
      </c>
      <c r="G39" s="33">
        <v>0.55882352941176505</v>
      </c>
      <c r="H39" s="32">
        <v>78.566176470588204</v>
      </c>
      <c r="I39" s="32">
        <v>1000</v>
      </c>
      <c r="J39" s="16" t="s">
        <v>3978</v>
      </c>
      <c r="K39" s="16" t="s">
        <v>3979</v>
      </c>
      <c r="L39" s="16" t="s">
        <v>3907</v>
      </c>
    </row>
    <row r="40" spans="1:12" ht="19.5" customHeight="1" x14ac:dyDescent="0.35">
      <c r="A40" s="16" t="s">
        <v>1024</v>
      </c>
      <c r="B40" s="16" t="s">
        <v>925</v>
      </c>
      <c r="C40" s="32">
        <v>176.666666666667</v>
      </c>
      <c r="D40" s="32">
        <v>10600</v>
      </c>
      <c r="E40" s="19">
        <v>74</v>
      </c>
      <c r="F40" s="19">
        <v>45</v>
      </c>
      <c r="G40" s="33">
        <v>0.608108108108108</v>
      </c>
      <c r="H40" s="32">
        <v>143.243243243243</v>
      </c>
      <c r="I40" s="32">
        <v>1380</v>
      </c>
      <c r="J40" s="16" t="s">
        <v>3980</v>
      </c>
      <c r="K40" s="16" t="s">
        <v>3981</v>
      </c>
      <c r="L40" s="16" t="s">
        <v>3907</v>
      </c>
    </row>
    <row r="41" spans="1:12" ht="19.5" customHeight="1" x14ac:dyDescent="0.35">
      <c r="A41" s="16" t="s">
        <v>1028</v>
      </c>
      <c r="B41" s="16" t="s">
        <v>989</v>
      </c>
      <c r="C41" s="32">
        <v>175.4</v>
      </c>
      <c r="D41" s="32">
        <v>10524</v>
      </c>
      <c r="E41" s="19">
        <v>47</v>
      </c>
      <c r="F41" s="19">
        <v>30</v>
      </c>
      <c r="G41" s="33">
        <v>0.63829787234042601</v>
      </c>
      <c r="H41" s="32">
        <v>223.91489361702099</v>
      </c>
      <c r="I41" s="32">
        <v>6120</v>
      </c>
      <c r="J41" s="16" t="s">
        <v>3982</v>
      </c>
      <c r="K41" s="16" t="s">
        <v>3983</v>
      </c>
      <c r="L41" s="16" t="s">
        <v>3907</v>
      </c>
    </row>
    <row r="42" spans="1:12" ht="19.5" customHeight="1" x14ac:dyDescent="0.35">
      <c r="A42" s="16" t="s">
        <v>1031</v>
      </c>
      <c r="B42" s="16" t="s">
        <v>996</v>
      </c>
      <c r="C42" s="32">
        <v>175.25</v>
      </c>
      <c r="D42" s="32">
        <v>10515</v>
      </c>
      <c r="E42" s="19">
        <v>141</v>
      </c>
      <c r="F42" s="19">
        <v>81</v>
      </c>
      <c r="G42" s="33">
        <v>0.57446808510638303</v>
      </c>
      <c r="H42" s="32">
        <v>74.574468085106403</v>
      </c>
      <c r="I42" s="32">
        <v>825</v>
      </c>
      <c r="J42" s="16" t="s">
        <v>3984</v>
      </c>
      <c r="K42" s="16" t="s">
        <v>3985</v>
      </c>
      <c r="L42" s="16" t="s">
        <v>3924</v>
      </c>
    </row>
    <row r="43" spans="1:12" ht="19.5" customHeight="1" x14ac:dyDescent="0.35">
      <c r="A43" s="16" t="s">
        <v>1034</v>
      </c>
      <c r="B43" s="16" t="s">
        <v>905</v>
      </c>
      <c r="C43" s="32">
        <v>174.95</v>
      </c>
      <c r="D43" s="32">
        <v>10497</v>
      </c>
      <c r="E43" s="19">
        <v>131</v>
      </c>
      <c r="F43" s="19">
        <v>56</v>
      </c>
      <c r="G43" s="33">
        <v>0.42748091603053401</v>
      </c>
      <c r="H43" s="32">
        <v>80.129770992366403</v>
      </c>
      <c r="I43" s="32">
        <v>1363</v>
      </c>
      <c r="J43" s="16" t="s">
        <v>3986</v>
      </c>
      <c r="K43" s="16" t="s">
        <v>3987</v>
      </c>
      <c r="L43" s="16" t="s">
        <v>3907</v>
      </c>
    </row>
    <row r="44" spans="1:12" ht="19.5" customHeight="1" x14ac:dyDescent="0.35">
      <c r="A44" s="16" t="s">
        <v>1037</v>
      </c>
      <c r="B44" s="16" t="s">
        <v>905</v>
      </c>
      <c r="C44" s="32">
        <v>174.916666666667</v>
      </c>
      <c r="D44" s="32">
        <v>10495</v>
      </c>
      <c r="E44" s="19">
        <v>90</v>
      </c>
      <c r="F44" s="19">
        <v>39</v>
      </c>
      <c r="G44" s="33">
        <v>0.43333333333333302</v>
      </c>
      <c r="H44" s="32">
        <v>116.611111111111</v>
      </c>
      <c r="I44" s="32">
        <v>2800</v>
      </c>
      <c r="J44" s="16" t="s">
        <v>3988</v>
      </c>
      <c r="K44" s="16" t="s">
        <v>3989</v>
      </c>
      <c r="L44" s="16" t="s">
        <v>3907</v>
      </c>
    </row>
    <row r="45" spans="1:12" ht="19.5" customHeight="1" x14ac:dyDescent="0.35">
      <c r="A45" s="16" t="s">
        <v>1040</v>
      </c>
      <c r="B45" s="16" t="s">
        <v>925</v>
      </c>
      <c r="C45" s="32">
        <v>173.566666666667</v>
      </c>
      <c r="D45" s="32">
        <v>10414</v>
      </c>
      <c r="E45" s="19">
        <v>92</v>
      </c>
      <c r="F45" s="19">
        <v>39</v>
      </c>
      <c r="G45" s="33">
        <v>0.42391304347826098</v>
      </c>
      <c r="H45" s="32">
        <v>113.195652173913</v>
      </c>
      <c r="I45" s="32">
        <v>2200</v>
      </c>
      <c r="J45" s="16" t="s">
        <v>3990</v>
      </c>
      <c r="K45" s="16" t="s">
        <v>3991</v>
      </c>
      <c r="L45" s="16" t="s">
        <v>3907</v>
      </c>
    </row>
    <row r="46" spans="1:12" ht="19.5" customHeight="1" x14ac:dyDescent="0.35">
      <c r="A46" s="16" t="s">
        <v>1043</v>
      </c>
      <c r="B46" s="16" t="s">
        <v>925</v>
      </c>
      <c r="C46" s="32">
        <v>172.6</v>
      </c>
      <c r="D46" s="32">
        <v>10356</v>
      </c>
      <c r="E46" s="19">
        <v>132</v>
      </c>
      <c r="F46" s="19">
        <v>58</v>
      </c>
      <c r="G46" s="33">
        <v>0.439393939393939</v>
      </c>
      <c r="H46" s="32">
        <v>78.454545454545496</v>
      </c>
      <c r="I46" s="32">
        <v>980</v>
      </c>
      <c r="J46" s="16" t="s">
        <v>3992</v>
      </c>
      <c r="K46" s="16" t="s">
        <v>3993</v>
      </c>
      <c r="L46" s="16" t="s">
        <v>3907</v>
      </c>
    </row>
    <row r="47" spans="1:12" ht="19.5" customHeight="1" x14ac:dyDescent="0.35">
      <c r="A47" s="16" t="s">
        <v>1046</v>
      </c>
      <c r="B47" s="16" t="s">
        <v>909</v>
      </c>
      <c r="C47" s="32">
        <v>171.95</v>
      </c>
      <c r="D47" s="32">
        <v>10317</v>
      </c>
      <c r="E47" s="19">
        <v>163</v>
      </c>
      <c r="F47" s="19">
        <v>91</v>
      </c>
      <c r="G47" s="33">
        <v>0.55828220858895705</v>
      </c>
      <c r="H47" s="32">
        <v>63.294478527607403</v>
      </c>
      <c r="I47" s="32">
        <v>1310</v>
      </c>
      <c r="J47" s="16" t="s">
        <v>3994</v>
      </c>
      <c r="K47" s="16" t="s">
        <v>3995</v>
      </c>
      <c r="L47" s="16" t="s">
        <v>3907</v>
      </c>
    </row>
    <row r="48" spans="1:12" ht="19.5" customHeight="1" x14ac:dyDescent="0.35">
      <c r="A48" s="16" t="s">
        <v>1049</v>
      </c>
      <c r="B48" s="16" t="s">
        <v>1050</v>
      </c>
      <c r="C48" s="32">
        <v>170.61666666666699</v>
      </c>
      <c r="D48" s="32">
        <v>10237</v>
      </c>
      <c r="E48" s="19">
        <v>78</v>
      </c>
      <c r="F48" s="19">
        <v>41</v>
      </c>
      <c r="G48" s="33">
        <v>0.52564102564102599</v>
      </c>
      <c r="H48" s="32">
        <v>131.24358974359001</v>
      </c>
      <c r="I48" s="32">
        <v>1420</v>
      </c>
      <c r="J48" s="16" t="s">
        <v>3996</v>
      </c>
      <c r="K48" s="16" t="s">
        <v>3997</v>
      </c>
      <c r="L48" s="16" t="s">
        <v>3907</v>
      </c>
    </row>
    <row r="49" spans="1:12" ht="19.5" customHeight="1" x14ac:dyDescent="0.35">
      <c r="A49" s="16" t="s">
        <v>1053</v>
      </c>
      <c r="B49" s="16" t="s">
        <v>1054</v>
      </c>
      <c r="C49" s="32">
        <v>169.916666666667</v>
      </c>
      <c r="D49" s="32">
        <v>10195</v>
      </c>
      <c r="E49" s="19">
        <v>96</v>
      </c>
      <c r="F49" s="19">
        <v>52</v>
      </c>
      <c r="G49" s="33">
        <v>0.54166666666666696</v>
      </c>
      <c r="H49" s="32">
        <v>106.197916666667</v>
      </c>
      <c r="I49" s="32">
        <v>985</v>
      </c>
      <c r="J49" s="16" t="s">
        <v>3998</v>
      </c>
      <c r="K49" s="16" t="s">
        <v>3999</v>
      </c>
      <c r="L49" s="16" t="s">
        <v>3907</v>
      </c>
    </row>
    <row r="50" spans="1:12" ht="19.5" customHeight="1" x14ac:dyDescent="0.35">
      <c r="A50" s="16" t="s">
        <v>1057</v>
      </c>
      <c r="B50" s="16" t="s">
        <v>996</v>
      </c>
      <c r="C50" s="32">
        <v>169</v>
      </c>
      <c r="D50" s="32">
        <v>10140</v>
      </c>
      <c r="E50" s="19">
        <v>124</v>
      </c>
      <c r="F50" s="19">
        <v>80</v>
      </c>
      <c r="G50" s="33">
        <v>0.64516129032258096</v>
      </c>
      <c r="H50" s="32">
        <v>81.774193548387103</v>
      </c>
      <c r="I50" s="32">
        <v>1871</v>
      </c>
      <c r="J50" s="16" t="s">
        <v>4000</v>
      </c>
      <c r="K50" s="16" t="s">
        <v>4001</v>
      </c>
      <c r="L50" s="16" t="s">
        <v>3924</v>
      </c>
    </row>
    <row r="51" spans="1:12" ht="19.5" customHeight="1" x14ac:dyDescent="0.35">
      <c r="A51" s="16" t="s">
        <v>1060</v>
      </c>
      <c r="B51" s="16" t="s">
        <v>913</v>
      </c>
      <c r="C51" s="32">
        <v>167.21666666666701</v>
      </c>
      <c r="D51" s="32">
        <v>10033</v>
      </c>
      <c r="E51" s="19">
        <v>108</v>
      </c>
      <c r="F51" s="19">
        <v>75</v>
      </c>
      <c r="G51" s="33">
        <v>0.69444444444444398</v>
      </c>
      <c r="H51" s="32">
        <v>92.898148148148195</v>
      </c>
      <c r="I51" s="32">
        <v>900</v>
      </c>
      <c r="J51" s="16" t="s">
        <v>4002</v>
      </c>
      <c r="K51" s="16" t="s">
        <v>4003</v>
      </c>
      <c r="L51" s="16" t="s">
        <v>3907</v>
      </c>
    </row>
    <row r="52" spans="1:12" ht="19.5" customHeight="1" x14ac:dyDescent="0.35">
      <c r="A52" s="16" t="s">
        <v>1063</v>
      </c>
      <c r="B52" s="16" t="s">
        <v>921</v>
      </c>
      <c r="C52" s="32">
        <v>164.316666666667</v>
      </c>
      <c r="D52" s="32">
        <v>9859</v>
      </c>
      <c r="E52" s="19">
        <v>118</v>
      </c>
      <c r="F52" s="19">
        <v>62</v>
      </c>
      <c r="G52" s="33">
        <v>0.52542372881355903</v>
      </c>
      <c r="H52" s="32">
        <v>83.5508474576271</v>
      </c>
      <c r="I52" s="32">
        <v>720</v>
      </c>
      <c r="J52" s="16" t="s">
        <v>4004</v>
      </c>
      <c r="K52" s="16" t="s">
        <v>4005</v>
      </c>
      <c r="L52" s="16" t="s">
        <v>3907</v>
      </c>
    </row>
    <row r="53" spans="1:12" ht="19.5" customHeight="1" x14ac:dyDescent="0.35">
      <c r="A53" s="16" t="s">
        <v>1066</v>
      </c>
      <c r="B53" s="16" t="s">
        <v>921</v>
      </c>
      <c r="C53" s="32">
        <v>162.86666666666699</v>
      </c>
      <c r="D53" s="32">
        <v>9772</v>
      </c>
      <c r="E53" s="19">
        <v>117</v>
      </c>
      <c r="F53" s="19">
        <v>72</v>
      </c>
      <c r="G53" s="33">
        <v>0.61538461538461497</v>
      </c>
      <c r="H53" s="32">
        <v>83.521367521367495</v>
      </c>
      <c r="I53" s="32">
        <v>960</v>
      </c>
      <c r="J53" s="16" t="s">
        <v>4006</v>
      </c>
      <c r="K53" s="16" t="s">
        <v>4007</v>
      </c>
      <c r="L53" s="16" t="s">
        <v>3907</v>
      </c>
    </row>
    <row r="54" spans="1:12" ht="19.5" customHeight="1" x14ac:dyDescent="0.35">
      <c r="A54" s="16" t="s">
        <v>1069</v>
      </c>
      <c r="B54" s="16" t="s">
        <v>1070</v>
      </c>
      <c r="C54" s="32">
        <v>162.21666666666701</v>
      </c>
      <c r="D54" s="32">
        <v>9733</v>
      </c>
      <c r="E54" s="19">
        <v>203</v>
      </c>
      <c r="F54" s="19">
        <v>90</v>
      </c>
      <c r="G54" s="33">
        <v>0.44334975369458102</v>
      </c>
      <c r="H54" s="32">
        <v>47.945812807881801</v>
      </c>
      <c r="I54" s="32">
        <v>1000</v>
      </c>
      <c r="J54" s="16" t="s">
        <v>4008</v>
      </c>
      <c r="K54" s="16" t="s">
        <v>4009</v>
      </c>
      <c r="L54" s="16" t="s">
        <v>3907</v>
      </c>
    </row>
    <row r="55" spans="1:12" ht="19.5" customHeight="1" x14ac:dyDescent="0.35">
      <c r="A55" s="16" t="s">
        <v>1073</v>
      </c>
      <c r="B55" s="16" t="s">
        <v>1070</v>
      </c>
      <c r="C55" s="32">
        <v>160.85</v>
      </c>
      <c r="D55" s="32">
        <v>9651</v>
      </c>
      <c r="E55" s="19">
        <v>200</v>
      </c>
      <c r="F55" s="19">
        <v>83</v>
      </c>
      <c r="G55" s="33">
        <v>0.41499999999999998</v>
      </c>
      <c r="H55" s="32">
        <v>48.255000000000003</v>
      </c>
      <c r="I55" s="32">
        <v>575</v>
      </c>
      <c r="J55" s="16" t="s">
        <v>4010</v>
      </c>
      <c r="K55" s="16" t="s">
        <v>4011</v>
      </c>
      <c r="L55" s="16" t="s">
        <v>3907</v>
      </c>
    </row>
    <row r="56" spans="1:12" ht="19.5" customHeight="1" x14ac:dyDescent="0.35">
      <c r="A56" s="16" t="s">
        <v>1076</v>
      </c>
      <c r="B56" s="16" t="s">
        <v>1077</v>
      </c>
      <c r="C56" s="32">
        <v>159.69999999999999</v>
      </c>
      <c r="D56" s="32">
        <v>9582</v>
      </c>
      <c r="E56" s="19">
        <v>203</v>
      </c>
      <c r="F56" s="19">
        <v>25</v>
      </c>
      <c r="G56" s="33">
        <v>0.123152709359606</v>
      </c>
      <c r="H56" s="32">
        <v>47.201970443349801</v>
      </c>
      <c r="I56" s="32">
        <v>3200</v>
      </c>
      <c r="J56" s="16" t="s">
        <v>4012</v>
      </c>
      <c r="K56" s="16" t="s">
        <v>4013</v>
      </c>
      <c r="L56" s="16" t="s">
        <v>3941</v>
      </c>
    </row>
    <row r="57" spans="1:12" ht="19.5" customHeight="1" x14ac:dyDescent="0.35">
      <c r="A57" s="16" t="s">
        <v>1080</v>
      </c>
      <c r="B57" s="16" t="s">
        <v>905</v>
      </c>
      <c r="C57" s="32">
        <v>156.44999999999999</v>
      </c>
      <c r="D57" s="32">
        <v>9387</v>
      </c>
      <c r="E57" s="19">
        <v>146</v>
      </c>
      <c r="F57" s="19">
        <v>55</v>
      </c>
      <c r="G57" s="33">
        <v>0.37671232876712302</v>
      </c>
      <c r="H57" s="32">
        <v>64.294520547945197</v>
      </c>
      <c r="I57" s="32">
        <v>1800</v>
      </c>
      <c r="J57" s="16" t="s">
        <v>4014</v>
      </c>
      <c r="K57" s="16" t="s">
        <v>4015</v>
      </c>
      <c r="L57" s="16" t="s">
        <v>3907</v>
      </c>
    </row>
    <row r="58" spans="1:12" ht="19.5" customHeight="1" x14ac:dyDescent="0.35">
      <c r="A58" s="16" t="s">
        <v>1083</v>
      </c>
      <c r="B58" s="16" t="s">
        <v>1084</v>
      </c>
      <c r="C58" s="32">
        <v>156.166666666667</v>
      </c>
      <c r="D58" s="32">
        <v>9370</v>
      </c>
      <c r="E58" s="19">
        <v>113</v>
      </c>
      <c r="F58" s="19">
        <v>20</v>
      </c>
      <c r="G58" s="33">
        <v>0.17699115044247801</v>
      </c>
      <c r="H58" s="32">
        <v>82.920353982300895</v>
      </c>
      <c r="I58" s="32">
        <v>2211</v>
      </c>
      <c r="J58" s="16" t="s">
        <v>4016</v>
      </c>
      <c r="K58" s="16" t="s">
        <v>4017</v>
      </c>
      <c r="L58" s="16" t="s">
        <v>3941</v>
      </c>
    </row>
    <row r="59" spans="1:12" ht="19.5" customHeight="1" x14ac:dyDescent="0.35">
      <c r="A59" s="16" t="s">
        <v>1087</v>
      </c>
      <c r="B59" s="16" t="s">
        <v>989</v>
      </c>
      <c r="C59" s="32">
        <v>155.85</v>
      </c>
      <c r="D59" s="32">
        <v>9351</v>
      </c>
      <c r="E59" s="19">
        <v>104</v>
      </c>
      <c r="F59" s="19">
        <v>52</v>
      </c>
      <c r="G59" s="33">
        <v>0.5</v>
      </c>
      <c r="H59" s="32">
        <v>89.913461538461505</v>
      </c>
      <c r="I59" s="32">
        <v>3000</v>
      </c>
      <c r="J59" s="16" t="s">
        <v>4018</v>
      </c>
      <c r="K59" s="16" t="s">
        <v>4019</v>
      </c>
      <c r="L59" s="16" t="s">
        <v>3907</v>
      </c>
    </row>
    <row r="60" spans="1:12" ht="19.5" customHeight="1" x14ac:dyDescent="0.35">
      <c r="A60" s="16" t="s">
        <v>1090</v>
      </c>
      <c r="B60" s="16" t="s">
        <v>1091</v>
      </c>
      <c r="C60" s="32">
        <v>155.38333333333301</v>
      </c>
      <c r="D60" s="32">
        <v>9323</v>
      </c>
      <c r="E60" s="19">
        <v>55</v>
      </c>
      <c r="F60" s="19">
        <v>24</v>
      </c>
      <c r="G60" s="33">
        <v>0.43636363636363601</v>
      </c>
      <c r="H60" s="32">
        <v>169.50909090909099</v>
      </c>
      <c r="I60" s="32">
        <v>1500</v>
      </c>
      <c r="J60" s="16" t="s">
        <v>4020</v>
      </c>
      <c r="K60" s="16" t="s">
        <v>4021</v>
      </c>
      <c r="L60" s="16" t="s">
        <v>3907</v>
      </c>
    </row>
    <row r="61" spans="1:12" ht="19.5" customHeight="1" x14ac:dyDescent="0.35">
      <c r="A61" s="16" t="s">
        <v>1094</v>
      </c>
      <c r="B61" s="16" t="s">
        <v>921</v>
      </c>
      <c r="C61" s="32">
        <v>154.46666666666701</v>
      </c>
      <c r="D61" s="32">
        <v>9268</v>
      </c>
      <c r="E61" s="19">
        <v>107</v>
      </c>
      <c r="F61" s="19">
        <v>52</v>
      </c>
      <c r="G61" s="33">
        <v>0.48598130841121501</v>
      </c>
      <c r="H61" s="32">
        <v>86.616822429906605</v>
      </c>
      <c r="I61" s="32">
        <v>2033</v>
      </c>
      <c r="J61" s="16" t="s">
        <v>4022</v>
      </c>
      <c r="K61" s="16" t="s">
        <v>4023</v>
      </c>
      <c r="L61" s="16" t="s">
        <v>3907</v>
      </c>
    </row>
    <row r="62" spans="1:12" ht="19.5" customHeight="1" x14ac:dyDescent="0.35">
      <c r="A62" s="16" t="s">
        <v>1097</v>
      </c>
      <c r="B62" s="16" t="s">
        <v>1050</v>
      </c>
      <c r="C62" s="32">
        <v>149.25</v>
      </c>
      <c r="D62" s="32">
        <v>8955</v>
      </c>
      <c r="E62" s="19">
        <v>105</v>
      </c>
      <c r="F62" s="19">
        <v>54</v>
      </c>
      <c r="G62" s="33">
        <v>0.51428571428571401</v>
      </c>
      <c r="H62" s="32">
        <v>85.285714285714306</v>
      </c>
      <c r="I62" s="32">
        <v>2450</v>
      </c>
      <c r="J62" s="16" t="s">
        <v>4024</v>
      </c>
      <c r="K62" s="16" t="s">
        <v>4025</v>
      </c>
      <c r="L62" s="16" t="s">
        <v>3907</v>
      </c>
    </row>
    <row r="63" spans="1:12" ht="19.5" customHeight="1" x14ac:dyDescent="0.35">
      <c r="A63" s="16" t="s">
        <v>1100</v>
      </c>
      <c r="B63" s="16" t="s">
        <v>1101</v>
      </c>
      <c r="C63" s="32">
        <v>149.21666666666701</v>
      </c>
      <c r="D63" s="32">
        <v>8953</v>
      </c>
      <c r="E63" s="19">
        <v>111</v>
      </c>
      <c r="F63" s="19">
        <v>60</v>
      </c>
      <c r="G63" s="33">
        <v>0.54054054054054101</v>
      </c>
      <c r="H63" s="32">
        <v>80.657657657657694</v>
      </c>
      <c r="I63" s="32">
        <v>660</v>
      </c>
      <c r="J63" s="16" t="s">
        <v>4026</v>
      </c>
      <c r="K63" s="16" t="s">
        <v>4027</v>
      </c>
      <c r="L63" s="16" t="s">
        <v>3907</v>
      </c>
    </row>
    <row r="64" spans="1:12" ht="19.5" customHeight="1" x14ac:dyDescent="0.35">
      <c r="A64" s="16" t="s">
        <v>1104</v>
      </c>
      <c r="B64" s="16" t="s">
        <v>909</v>
      </c>
      <c r="C64" s="32">
        <v>148.21666666666701</v>
      </c>
      <c r="D64" s="32">
        <v>8893</v>
      </c>
      <c r="E64" s="19">
        <v>132</v>
      </c>
      <c r="F64" s="19">
        <v>85</v>
      </c>
      <c r="G64" s="33">
        <v>0.64393939393939403</v>
      </c>
      <c r="H64" s="32">
        <v>67.371212121212096</v>
      </c>
      <c r="I64" s="32">
        <v>1000</v>
      </c>
      <c r="J64" s="16" t="s">
        <v>4028</v>
      </c>
      <c r="K64" s="16" t="s">
        <v>4029</v>
      </c>
      <c r="L64" s="16" t="s">
        <v>3907</v>
      </c>
    </row>
    <row r="65" spans="1:12" ht="19.5" customHeight="1" x14ac:dyDescent="0.35">
      <c r="A65" s="16" t="s">
        <v>1107</v>
      </c>
      <c r="B65" s="16" t="s">
        <v>1101</v>
      </c>
      <c r="C65" s="32">
        <v>145.916666666667</v>
      </c>
      <c r="D65" s="32">
        <v>8755</v>
      </c>
      <c r="E65" s="19">
        <v>163</v>
      </c>
      <c r="F65" s="19">
        <v>60</v>
      </c>
      <c r="G65" s="33">
        <v>0.36809815950920199</v>
      </c>
      <c r="H65" s="32">
        <v>53.7116564417178</v>
      </c>
      <c r="I65" s="32">
        <v>1000</v>
      </c>
      <c r="J65" s="16" t="s">
        <v>4030</v>
      </c>
      <c r="K65" s="16" t="s">
        <v>4031</v>
      </c>
      <c r="L65" s="16" t="s">
        <v>3907</v>
      </c>
    </row>
    <row r="66" spans="1:12" ht="19.5" customHeight="1" x14ac:dyDescent="0.35">
      <c r="A66" s="16" t="s">
        <v>1110</v>
      </c>
      <c r="B66" s="16" t="s">
        <v>1111</v>
      </c>
      <c r="C66" s="32">
        <v>144.166666666667</v>
      </c>
      <c r="D66" s="32">
        <v>8650</v>
      </c>
      <c r="E66" s="19">
        <v>91</v>
      </c>
      <c r="F66" s="19">
        <v>41</v>
      </c>
      <c r="G66" s="33">
        <v>0.450549450549451</v>
      </c>
      <c r="H66" s="32">
        <v>95.054945054945094</v>
      </c>
      <c r="I66" s="32">
        <v>1850</v>
      </c>
      <c r="J66" s="16" t="s">
        <v>4032</v>
      </c>
      <c r="K66" s="16" t="s">
        <v>4033</v>
      </c>
      <c r="L66" s="16" t="s">
        <v>3907</v>
      </c>
    </row>
    <row r="67" spans="1:12" ht="19.5" customHeight="1" x14ac:dyDescent="0.35">
      <c r="A67" s="16" t="s">
        <v>1114</v>
      </c>
      <c r="B67" s="16" t="s">
        <v>925</v>
      </c>
      <c r="C67" s="32">
        <v>143.583333333333</v>
      </c>
      <c r="D67" s="32">
        <v>8615</v>
      </c>
      <c r="E67" s="19">
        <v>80</v>
      </c>
      <c r="F67" s="19">
        <v>37</v>
      </c>
      <c r="G67" s="33">
        <v>0.46250000000000002</v>
      </c>
      <c r="H67" s="32">
        <v>107.6875</v>
      </c>
      <c r="I67" s="32">
        <v>970</v>
      </c>
      <c r="J67" s="16" t="s">
        <v>4034</v>
      </c>
      <c r="K67" s="16" t="s">
        <v>4035</v>
      </c>
      <c r="L67" s="16" t="s">
        <v>3907</v>
      </c>
    </row>
    <row r="68" spans="1:12" ht="19.5" customHeight="1" x14ac:dyDescent="0.35">
      <c r="A68" s="16" t="s">
        <v>1117</v>
      </c>
      <c r="B68" s="16" t="s">
        <v>1118</v>
      </c>
      <c r="C68" s="32">
        <v>141.683333333333</v>
      </c>
      <c r="D68" s="32">
        <v>8501</v>
      </c>
      <c r="E68" s="19">
        <v>32</v>
      </c>
      <c r="F68" s="19">
        <v>13</v>
      </c>
      <c r="G68" s="33">
        <v>0.40625</v>
      </c>
      <c r="H68" s="32">
        <v>265.65625</v>
      </c>
      <c r="I68" s="32">
        <v>3300</v>
      </c>
      <c r="J68" s="16" t="s">
        <v>4036</v>
      </c>
      <c r="K68" s="16" t="s">
        <v>4037</v>
      </c>
      <c r="L68" s="16" t="s">
        <v>3907</v>
      </c>
    </row>
    <row r="69" spans="1:12" ht="19.5" customHeight="1" x14ac:dyDescent="0.35">
      <c r="A69" s="16" t="s">
        <v>1121</v>
      </c>
      <c r="B69" s="16" t="s">
        <v>1122</v>
      </c>
      <c r="C69" s="32">
        <v>141.61666666666699</v>
      </c>
      <c r="D69" s="32">
        <v>8497</v>
      </c>
      <c r="E69" s="19">
        <v>101</v>
      </c>
      <c r="F69" s="19">
        <v>32</v>
      </c>
      <c r="G69" s="33">
        <v>0.316831683168317</v>
      </c>
      <c r="H69" s="32">
        <v>84.128712871287107</v>
      </c>
      <c r="I69" s="32">
        <v>3040</v>
      </c>
      <c r="J69" s="16" t="s">
        <v>4038</v>
      </c>
      <c r="K69" s="16" t="s">
        <v>4039</v>
      </c>
      <c r="L69" s="16" t="s">
        <v>3907</v>
      </c>
    </row>
    <row r="70" spans="1:12" ht="19.5" customHeight="1" x14ac:dyDescent="0.35">
      <c r="A70" s="16" t="s">
        <v>1125</v>
      </c>
      <c r="B70" s="16" t="s">
        <v>989</v>
      </c>
      <c r="C70" s="32">
        <v>141.083333333333</v>
      </c>
      <c r="D70" s="32">
        <v>8465</v>
      </c>
      <c r="E70" s="19">
        <v>161</v>
      </c>
      <c r="F70" s="19">
        <v>58</v>
      </c>
      <c r="G70" s="33">
        <v>0.36024844720496901</v>
      </c>
      <c r="H70" s="32">
        <v>52.577639751552802</v>
      </c>
      <c r="I70" s="32">
        <v>900</v>
      </c>
      <c r="J70" s="16" t="s">
        <v>4040</v>
      </c>
      <c r="K70" s="16" t="s">
        <v>4041</v>
      </c>
      <c r="L70" s="16" t="s">
        <v>3907</v>
      </c>
    </row>
    <row r="71" spans="1:12" ht="19.5" customHeight="1" x14ac:dyDescent="0.35">
      <c r="A71" s="16" t="s">
        <v>1128</v>
      </c>
      <c r="B71" s="16" t="s">
        <v>1129</v>
      </c>
      <c r="C71" s="32">
        <v>138.71666666666701</v>
      </c>
      <c r="D71" s="32">
        <v>8323</v>
      </c>
      <c r="E71" s="19">
        <v>125</v>
      </c>
      <c r="F71" s="19">
        <v>57</v>
      </c>
      <c r="G71" s="33">
        <v>0.45600000000000002</v>
      </c>
      <c r="H71" s="32">
        <v>66.584000000000003</v>
      </c>
      <c r="I71" s="32">
        <v>840</v>
      </c>
      <c r="J71" s="16" t="s">
        <v>4042</v>
      </c>
      <c r="K71" s="16" t="s">
        <v>4043</v>
      </c>
      <c r="L71" s="16" t="s">
        <v>3907</v>
      </c>
    </row>
    <row r="72" spans="1:12" ht="19.5" customHeight="1" x14ac:dyDescent="0.35">
      <c r="A72" s="16" t="s">
        <v>1132</v>
      </c>
      <c r="B72" s="16" t="s">
        <v>1111</v>
      </c>
      <c r="C72" s="32">
        <v>136.35</v>
      </c>
      <c r="D72" s="32">
        <v>8181</v>
      </c>
      <c r="E72" s="19">
        <v>131</v>
      </c>
      <c r="F72" s="19">
        <v>57</v>
      </c>
      <c r="G72" s="33">
        <v>0.43511450381679401</v>
      </c>
      <c r="H72" s="32">
        <v>62.450381679389302</v>
      </c>
      <c r="I72" s="32">
        <v>600</v>
      </c>
      <c r="J72" s="16" t="s">
        <v>4044</v>
      </c>
      <c r="K72" s="16" t="s">
        <v>4045</v>
      </c>
      <c r="L72" s="16" t="s">
        <v>3907</v>
      </c>
    </row>
    <row r="73" spans="1:12" ht="19.5" customHeight="1" x14ac:dyDescent="0.35">
      <c r="A73" s="16" t="s">
        <v>1135</v>
      </c>
      <c r="B73" s="16" t="s">
        <v>1136</v>
      </c>
      <c r="C73" s="32">
        <v>135.51666666666699</v>
      </c>
      <c r="D73" s="32">
        <v>8131</v>
      </c>
      <c r="E73" s="19">
        <v>121</v>
      </c>
      <c r="F73" s="19">
        <v>70</v>
      </c>
      <c r="G73" s="33">
        <v>0.57851239669421495</v>
      </c>
      <c r="H73" s="32">
        <v>67.198347107437996</v>
      </c>
      <c r="I73" s="32">
        <v>570</v>
      </c>
      <c r="J73" s="16" t="s">
        <v>4046</v>
      </c>
      <c r="K73" s="16" t="s">
        <v>4047</v>
      </c>
      <c r="L73" s="16" t="s">
        <v>3907</v>
      </c>
    </row>
    <row r="74" spans="1:12" ht="19.5" customHeight="1" x14ac:dyDescent="0.35">
      <c r="A74" s="16" t="s">
        <v>1139</v>
      </c>
      <c r="B74" s="16" t="s">
        <v>905</v>
      </c>
      <c r="C74" s="32">
        <v>135.03333333333299</v>
      </c>
      <c r="D74" s="32">
        <v>8102</v>
      </c>
      <c r="E74" s="19">
        <v>122</v>
      </c>
      <c r="F74" s="19">
        <v>47</v>
      </c>
      <c r="G74" s="33">
        <v>0.38524590163934402</v>
      </c>
      <c r="H74" s="32">
        <v>66.409836065573799</v>
      </c>
      <c r="I74" s="32">
        <v>1000</v>
      </c>
      <c r="J74" s="16" t="s">
        <v>4048</v>
      </c>
      <c r="K74" s="16" t="s">
        <v>4049</v>
      </c>
      <c r="L74" s="16" t="s">
        <v>3907</v>
      </c>
    </row>
    <row r="75" spans="1:12" ht="19.5" customHeight="1" x14ac:dyDescent="0.35">
      <c r="A75" s="16" t="s">
        <v>1142</v>
      </c>
      <c r="B75" s="16" t="s">
        <v>1143</v>
      </c>
      <c r="C75" s="32">
        <v>134.433333333333</v>
      </c>
      <c r="D75" s="32">
        <v>8066</v>
      </c>
      <c r="E75" s="19">
        <v>18</v>
      </c>
      <c r="F75" s="19">
        <v>4</v>
      </c>
      <c r="G75" s="33">
        <v>0.22222222222222199</v>
      </c>
      <c r="H75" s="32">
        <v>448.11111111111097</v>
      </c>
      <c r="I75" s="32">
        <v>7920</v>
      </c>
      <c r="J75" s="16" t="s">
        <v>4050</v>
      </c>
      <c r="K75" s="16" t="s">
        <v>4051</v>
      </c>
      <c r="L75" s="16" t="s">
        <v>4052</v>
      </c>
    </row>
    <row r="76" spans="1:12" ht="19.5" customHeight="1" x14ac:dyDescent="0.35">
      <c r="A76" s="16" t="s">
        <v>1146</v>
      </c>
      <c r="B76" s="16" t="s">
        <v>1009</v>
      </c>
      <c r="C76" s="32">
        <v>133.5</v>
      </c>
      <c r="D76" s="32">
        <v>8010</v>
      </c>
      <c r="E76" s="19">
        <v>150</v>
      </c>
      <c r="F76" s="19">
        <v>58</v>
      </c>
      <c r="G76" s="33">
        <v>0.38666666666666699</v>
      </c>
      <c r="H76" s="32">
        <v>53.4</v>
      </c>
      <c r="I76" s="32">
        <v>1920</v>
      </c>
      <c r="J76" s="16" t="s">
        <v>4053</v>
      </c>
      <c r="K76" s="16" t="s">
        <v>4054</v>
      </c>
      <c r="L76" s="16" t="s">
        <v>3907</v>
      </c>
    </row>
    <row r="77" spans="1:12" ht="19.5" customHeight="1" x14ac:dyDescent="0.35">
      <c r="A77" s="16" t="s">
        <v>1149</v>
      </c>
      <c r="B77" s="16" t="s">
        <v>1150</v>
      </c>
      <c r="C77" s="32">
        <v>133.30000000000001</v>
      </c>
      <c r="D77" s="32">
        <v>7998</v>
      </c>
      <c r="E77" s="19">
        <v>97</v>
      </c>
      <c r="F77" s="19">
        <v>46</v>
      </c>
      <c r="G77" s="33">
        <v>0.47422680412371099</v>
      </c>
      <c r="H77" s="32">
        <v>82.453608247422693</v>
      </c>
      <c r="I77" s="32">
        <v>1000</v>
      </c>
      <c r="J77" s="16" t="s">
        <v>4055</v>
      </c>
      <c r="K77" s="16" t="s">
        <v>4056</v>
      </c>
      <c r="L77" s="16" t="s">
        <v>3907</v>
      </c>
    </row>
    <row r="78" spans="1:12" ht="19.5" customHeight="1" x14ac:dyDescent="0.35">
      <c r="A78" s="16" t="s">
        <v>1153</v>
      </c>
      <c r="B78" s="16" t="s">
        <v>1084</v>
      </c>
      <c r="C78" s="32">
        <v>132.76666666666699</v>
      </c>
      <c r="D78" s="32">
        <v>7966</v>
      </c>
      <c r="E78" s="19">
        <v>73</v>
      </c>
      <c r="F78" s="19">
        <v>16</v>
      </c>
      <c r="G78" s="33">
        <v>0.219178082191781</v>
      </c>
      <c r="H78" s="32">
        <v>109.123287671233</v>
      </c>
      <c r="I78" s="32">
        <v>4597</v>
      </c>
      <c r="J78" s="16" t="s">
        <v>4057</v>
      </c>
      <c r="K78" s="16" t="s">
        <v>4058</v>
      </c>
      <c r="L78" s="16" t="s">
        <v>3941</v>
      </c>
    </row>
    <row r="79" spans="1:12" ht="19.5" customHeight="1" x14ac:dyDescent="0.35">
      <c r="A79" s="16" t="s">
        <v>1156</v>
      </c>
      <c r="B79" s="16" t="s">
        <v>1157</v>
      </c>
      <c r="C79" s="32">
        <v>132.75</v>
      </c>
      <c r="D79" s="32">
        <v>7965</v>
      </c>
      <c r="E79" s="19">
        <v>85</v>
      </c>
      <c r="F79" s="19">
        <v>34</v>
      </c>
      <c r="G79" s="33">
        <v>0.4</v>
      </c>
      <c r="H79" s="32">
        <v>93.705882352941202</v>
      </c>
      <c r="I79" s="32">
        <v>3150</v>
      </c>
      <c r="J79" s="16" t="s">
        <v>4059</v>
      </c>
      <c r="K79" s="16" t="s">
        <v>4060</v>
      </c>
      <c r="L79" s="16" t="s">
        <v>3907</v>
      </c>
    </row>
    <row r="80" spans="1:12" ht="19.5" customHeight="1" x14ac:dyDescent="0.35">
      <c r="A80" s="16" t="s">
        <v>1160</v>
      </c>
      <c r="B80" s="16" t="s">
        <v>1009</v>
      </c>
      <c r="C80" s="32">
        <v>132.433333333333</v>
      </c>
      <c r="D80" s="32">
        <v>7946</v>
      </c>
      <c r="E80" s="19">
        <v>99</v>
      </c>
      <c r="F80" s="19">
        <v>36</v>
      </c>
      <c r="G80" s="33">
        <v>0.36363636363636398</v>
      </c>
      <c r="H80" s="32">
        <v>80.262626262626299</v>
      </c>
      <c r="I80" s="32">
        <v>3305</v>
      </c>
      <c r="J80" s="16" t="s">
        <v>4061</v>
      </c>
      <c r="K80" s="16" t="s">
        <v>4062</v>
      </c>
      <c r="L80" s="16" t="s">
        <v>3907</v>
      </c>
    </row>
    <row r="81" spans="1:12" ht="19.5" customHeight="1" x14ac:dyDescent="0.35">
      <c r="A81" s="16" t="s">
        <v>1163</v>
      </c>
      <c r="B81" s="16" t="s">
        <v>1101</v>
      </c>
      <c r="C81" s="32">
        <v>130.933333333333</v>
      </c>
      <c r="D81" s="32">
        <v>7856</v>
      </c>
      <c r="E81" s="19">
        <v>91</v>
      </c>
      <c r="F81" s="19">
        <v>47</v>
      </c>
      <c r="G81" s="33">
        <v>0.51648351648351698</v>
      </c>
      <c r="H81" s="32">
        <v>86.329670329670293</v>
      </c>
      <c r="I81" s="32">
        <v>720</v>
      </c>
      <c r="J81" s="16" t="s">
        <v>4063</v>
      </c>
      <c r="K81" s="16" t="s">
        <v>4064</v>
      </c>
      <c r="L81" s="16" t="s">
        <v>3907</v>
      </c>
    </row>
    <row r="82" spans="1:12" ht="19.5" customHeight="1" x14ac:dyDescent="0.35">
      <c r="A82" s="16" t="s">
        <v>1166</v>
      </c>
      <c r="B82" s="16" t="s">
        <v>1077</v>
      </c>
      <c r="C82" s="32">
        <v>130.48333333333301</v>
      </c>
      <c r="D82" s="32">
        <v>7829</v>
      </c>
      <c r="E82" s="19">
        <v>180</v>
      </c>
      <c r="F82" s="19">
        <v>23</v>
      </c>
      <c r="G82" s="33">
        <v>0.12777777777777799</v>
      </c>
      <c r="H82" s="32">
        <v>43.494444444444497</v>
      </c>
      <c r="I82" s="32">
        <v>1920</v>
      </c>
      <c r="J82" s="16" t="s">
        <v>4065</v>
      </c>
      <c r="K82" s="16" t="s">
        <v>4066</v>
      </c>
      <c r="L82" s="16" t="s">
        <v>3941</v>
      </c>
    </row>
    <row r="83" spans="1:12" ht="19.5" customHeight="1" x14ac:dyDescent="0.35">
      <c r="A83" s="16" t="s">
        <v>1169</v>
      </c>
      <c r="B83" s="16" t="s">
        <v>1122</v>
      </c>
      <c r="C83" s="32">
        <v>130.05000000000001</v>
      </c>
      <c r="D83" s="32">
        <v>7803</v>
      </c>
      <c r="E83" s="19">
        <v>233</v>
      </c>
      <c r="F83" s="19">
        <v>67</v>
      </c>
      <c r="G83" s="33">
        <v>0.28755364806867001</v>
      </c>
      <c r="H83" s="32">
        <v>33.489270386266099</v>
      </c>
      <c r="I83" s="32">
        <v>1200</v>
      </c>
      <c r="J83" s="16" t="s">
        <v>4067</v>
      </c>
      <c r="K83" s="16" t="s">
        <v>4068</v>
      </c>
      <c r="L83" s="16" t="s">
        <v>3907</v>
      </c>
    </row>
    <row r="84" spans="1:12" ht="19.5" customHeight="1" x14ac:dyDescent="0.35">
      <c r="A84" s="16" t="s">
        <v>1172</v>
      </c>
      <c r="B84" s="16" t="s">
        <v>909</v>
      </c>
      <c r="C84" s="32">
        <v>129.1</v>
      </c>
      <c r="D84" s="32">
        <v>7746</v>
      </c>
      <c r="E84" s="19">
        <v>75</v>
      </c>
      <c r="F84" s="19">
        <v>56</v>
      </c>
      <c r="G84" s="33">
        <v>0.74666666666666703</v>
      </c>
      <c r="H84" s="32">
        <v>103.28</v>
      </c>
      <c r="I84" s="32">
        <v>960</v>
      </c>
      <c r="J84" s="16" t="s">
        <v>4069</v>
      </c>
      <c r="K84" s="16" t="s">
        <v>4070</v>
      </c>
      <c r="L84" s="16" t="s">
        <v>3907</v>
      </c>
    </row>
    <row r="85" spans="1:12" ht="19.5" customHeight="1" x14ac:dyDescent="0.35">
      <c r="A85" s="16" t="s">
        <v>1175</v>
      </c>
      <c r="B85" s="16" t="s">
        <v>973</v>
      </c>
      <c r="C85" s="32">
        <v>128.53333333333299</v>
      </c>
      <c r="D85" s="32">
        <v>7712</v>
      </c>
      <c r="E85" s="19">
        <v>118</v>
      </c>
      <c r="F85" s="19">
        <v>58</v>
      </c>
      <c r="G85" s="33">
        <v>0.49152542372881403</v>
      </c>
      <c r="H85" s="32">
        <v>65.355932203389798</v>
      </c>
      <c r="I85" s="32">
        <v>920</v>
      </c>
      <c r="J85" s="16" t="s">
        <v>4071</v>
      </c>
      <c r="K85" s="16" t="s">
        <v>4072</v>
      </c>
      <c r="L85" s="16" t="s">
        <v>3907</v>
      </c>
    </row>
    <row r="86" spans="1:12" ht="19.5" customHeight="1" x14ac:dyDescent="0.35">
      <c r="A86" s="16" t="s">
        <v>1178</v>
      </c>
      <c r="B86" s="16" t="s">
        <v>921</v>
      </c>
      <c r="C86" s="32">
        <v>126.933333333333</v>
      </c>
      <c r="D86" s="32">
        <v>7616</v>
      </c>
      <c r="E86" s="19">
        <v>91</v>
      </c>
      <c r="F86" s="19">
        <v>42</v>
      </c>
      <c r="G86" s="33">
        <v>0.46153846153846201</v>
      </c>
      <c r="H86" s="32">
        <v>83.692307692307693</v>
      </c>
      <c r="I86" s="32">
        <v>899</v>
      </c>
      <c r="J86" s="16" t="s">
        <v>4073</v>
      </c>
      <c r="K86" s="16" t="s">
        <v>4074</v>
      </c>
      <c r="L86" s="16" t="s">
        <v>3907</v>
      </c>
    </row>
    <row r="87" spans="1:12" ht="19.5" customHeight="1" x14ac:dyDescent="0.35">
      <c r="A87" s="16" t="s">
        <v>1181</v>
      </c>
      <c r="B87" s="16" t="s">
        <v>1101</v>
      </c>
      <c r="C87" s="32">
        <v>126.383333333333</v>
      </c>
      <c r="D87" s="32">
        <v>7583</v>
      </c>
      <c r="E87" s="19">
        <v>123</v>
      </c>
      <c r="F87" s="19">
        <v>50</v>
      </c>
      <c r="G87" s="33">
        <v>0.40650406504065001</v>
      </c>
      <c r="H87" s="32">
        <v>61.650406504065003</v>
      </c>
      <c r="I87" s="32">
        <v>720</v>
      </c>
      <c r="J87" s="16" t="s">
        <v>4075</v>
      </c>
      <c r="K87" s="16" t="s">
        <v>4076</v>
      </c>
      <c r="L87" s="16" t="s">
        <v>3907</v>
      </c>
    </row>
    <row r="88" spans="1:12" ht="19.5" customHeight="1" x14ac:dyDescent="0.35">
      <c r="A88" s="16" t="s">
        <v>1184</v>
      </c>
      <c r="B88" s="16" t="s">
        <v>942</v>
      </c>
      <c r="C88" s="32">
        <v>125.6</v>
      </c>
      <c r="D88" s="32">
        <v>7536</v>
      </c>
      <c r="E88" s="19">
        <v>121</v>
      </c>
      <c r="F88" s="19">
        <v>60</v>
      </c>
      <c r="G88" s="33">
        <v>0.495867768595041</v>
      </c>
      <c r="H88" s="32">
        <v>62.280991735537199</v>
      </c>
      <c r="I88" s="32">
        <v>1198</v>
      </c>
      <c r="J88" s="16" t="s">
        <v>4077</v>
      </c>
      <c r="K88" s="16" t="s">
        <v>4078</v>
      </c>
      <c r="L88" s="16" t="s">
        <v>3907</v>
      </c>
    </row>
    <row r="89" spans="1:12" ht="19.5" customHeight="1" x14ac:dyDescent="0.35">
      <c r="A89" s="16" t="s">
        <v>1187</v>
      </c>
      <c r="B89" s="16" t="s">
        <v>921</v>
      </c>
      <c r="C89" s="32">
        <v>125.316666666667</v>
      </c>
      <c r="D89" s="32">
        <v>7519</v>
      </c>
      <c r="E89" s="19">
        <v>101</v>
      </c>
      <c r="F89" s="19">
        <v>42</v>
      </c>
      <c r="G89" s="33">
        <v>0.41584158415841599</v>
      </c>
      <c r="H89" s="32">
        <v>74.445544554455495</v>
      </c>
      <c r="I89" s="32">
        <v>1500</v>
      </c>
      <c r="J89" s="16" t="s">
        <v>4079</v>
      </c>
      <c r="K89" s="16" t="s">
        <v>4080</v>
      </c>
      <c r="L89" s="16" t="s">
        <v>3907</v>
      </c>
    </row>
    <row r="90" spans="1:12" ht="19.5" customHeight="1" x14ac:dyDescent="0.35">
      <c r="A90" s="16" t="s">
        <v>1190</v>
      </c>
      <c r="B90" s="16" t="s">
        <v>942</v>
      </c>
      <c r="C90" s="32">
        <v>124.9</v>
      </c>
      <c r="D90" s="32">
        <v>7494</v>
      </c>
      <c r="E90" s="19">
        <v>124</v>
      </c>
      <c r="F90" s="19">
        <v>49</v>
      </c>
      <c r="G90" s="33">
        <v>0.39516129032258102</v>
      </c>
      <c r="H90" s="32">
        <v>60.435483870967701</v>
      </c>
      <c r="I90" s="32">
        <v>1800</v>
      </c>
      <c r="J90" s="16" t="s">
        <v>4081</v>
      </c>
      <c r="K90" s="16" t="s">
        <v>4082</v>
      </c>
      <c r="L90" s="16" t="s">
        <v>3907</v>
      </c>
    </row>
    <row r="91" spans="1:12" ht="19.5" customHeight="1" x14ac:dyDescent="0.35">
      <c r="A91" s="16" t="s">
        <v>1193</v>
      </c>
      <c r="B91" s="16" t="s">
        <v>1009</v>
      </c>
      <c r="C91" s="32">
        <v>123.383333333333</v>
      </c>
      <c r="D91" s="32">
        <v>7403</v>
      </c>
      <c r="E91" s="19">
        <v>138</v>
      </c>
      <c r="F91" s="19">
        <v>58</v>
      </c>
      <c r="G91" s="33">
        <v>0.42028985507246402</v>
      </c>
      <c r="H91" s="32">
        <v>53.644927536231897</v>
      </c>
      <c r="I91" s="32">
        <v>1000</v>
      </c>
      <c r="J91" s="16" t="s">
        <v>4083</v>
      </c>
      <c r="K91" s="16" t="s">
        <v>4084</v>
      </c>
      <c r="L91" s="16" t="s">
        <v>3907</v>
      </c>
    </row>
    <row r="92" spans="1:12" ht="19.5" customHeight="1" x14ac:dyDescent="0.35">
      <c r="A92" s="16" t="s">
        <v>1196</v>
      </c>
      <c r="B92" s="16" t="s">
        <v>921</v>
      </c>
      <c r="C92" s="32">
        <v>121.76666666666701</v>
      </c>
      <c r="D92" s="32">
        <v>7306</v>
      </c>
      <c r="E92" s="19">
        <v>84</v>
      </c>
      <c r="F92" s="19">
        <v>58</v>
      </c>
      <c r="G92" s="33">
        <v>0.69047619047619102</v>
      </c>
      <c r="H92" s="32">
        <v>86.976190476190496</v>
      </c>
      <c r="I92" s="32">
        <v>858</v>
      </c>
      <c r="J92" s="16" t="s">
        <v>4085</v>
      </c>
      <c r="K92" s="16" t="s">
        <v>4086</v>
      </c>
      <c r="L92" s="16" t="s">
        <v>3907</v>
      </c>
    </row>
    <row r="93" spans="1:12" ht="19.5" customHeight="1" x14ac:dyDescent="0.35">
      <c r="A93" s="16" t="s">
        <v>1199</v>
      </c>
      <c r="B93" s="16" t="s">
        <v>1009</v>
      </c>
      <c r="C93" s="32">
        <v>121.666666666667</v>
      </c>
      <c r="D93" s="32">
        <v>7300</v>
      </c>
      <c r="E93" s="19">
        <v>117</v>
      </c>
      <c r="F93" s="19">
        <v>58</v>
      </c>
      <c r="G93" s="33">
        <v>0.49572649572649602</v>
      </c>
      <c r="H93" s="32">
        <v>62.393162393162399</v>
      </c>
      <c r="I93" s="32">
        <v>600</v>
      </c>
      <c r="J93" s="16" t="s">
        <v>4087</v>
      </c>
      <c r="K93" s="16" t="s">
        <v>4088</v>
      </c>
      <c r="L93" s="16" t="s">
        <v>3907</v>
      </c>
    </row>
    <row r="94" spans="1:12" ht="19.5" customHeight="1" x14ac:dyDescent="0.35">
      <c r="A94" s="16" t="s">
        <v>1202</v>
      </c>
      <c r="B94" s="16" t="s">
        <v>989</v>
      </c>
      <c r="C94" s="32">
        <v>121.566666666667</v>
      </c>
      <c r="D94" s="32">
        <v>7294</v>
      </c>
      <c r="E94" s="19">
        <v>77</v>
      </c>
      <c r="F94" s="19">
        <v>41</v>
      </c>
      <c r="G94" s="33">
        <v>0.53246753246753198</v>
      </c>
      <c r="H94" s="32">
        <v>94.727272727272705</v>
      </c>
      <c r="I94" s="32">
        <v>1800</v>
      </c>
      <c r="J94" s="16" t="s">
        <v>4089</v>
      </c>
      <c r="K94" s="16" t="s">
        <v>4090</v>
      </c>
      <c r="L94" s="16" t="s">
        <v>3907</v>
      </c>
    </row>
    <row r="95" spans="1:12" ht="19.5" customHeight="1" x14ac:dyDescent="0.35">
      <c r="A95" s="16" t="s">
        <v>1205</v>
      </c>
      <c r="B95" s="16" t="s">
        <v>996</v>
      </c>
      <c r="C95" s="32">
        <v>121.35</v>
      </c>
      <c r="D95" s="32">
        <v>7281</v>
      </c>
      <c r="E95" s="19">
        <v>87</v>
      </c>
      <c r="F95" s="19">
        <v>38</v>
      </c>
      <c r="G95" s="33">
        <v>0.43678160919540199</v>
      </c>
      <c r="H95" s="32">
        <v>83.689655172413794</v>
      </c>
      <c r="I95" s="32">
        <v>950</v>
      </c>
      <c r="J95" s="16" t="s">
        <v>4091</v>
      </c>
      <c r="K95" s="16" t="s">
        <v>4092</v>
      </c>
      <c r="L95" s="16" t="s">
        <v>3907</v>
      </c>
    </row>
    <row r="96" spans="1:12" ht="19.5" customHeight="1" x14ac:dyDescent="0.35">
      <c r="A96" s="16" t="s">
        <v>1208</v>
      </c>
      <c r="B96" s="16" t="s">
        <v>1077</v>
      </c>
      <c r="C96" s="32">
        <v>121.01666666666701</v>
      </c>
      <c r="D96" s="32">
        <v>7261</v>
      </c>
      <c r="E96" s="19">
        <v>174</v>
      </c>
      <c r="F96" s="19">
        <v>29</v>
      </c>
      <c r="G96" s="33">
        <v>0.16666666666666699</v>
      </c>
      <c r="H96" s="32">
        <v>41.7298850574713</v>
      </c>
      <c r="I96" s="32">
        <v>1100</v>
      </c>
      <c r="J96" s="16" t="s">
        <v>4093</v>
      </c>
      <c r="K96" s="16" t="s">
        <v>4094</v>
      </c>
      <c r="L96" s="16" t="s">
        <v>3941</v>
      </c>
    </row>
    <row r="97" spans="1:12" ht="19.5" customHeight="1" x14ac:dyDescent="0.35">
      <c r="A97" s="16" t="s">
        <v>1211</v>
      </c>
      <c r="B97" s="16" t="s">
        <v>1212</v>
      </c>
      <c r="C97" s="32">
        <v>119.8</v>
      </c>
      <c r="D97" s="32">
        <v>7188</v>
      </c>
      <c r="E97" s="19">
        <v>96</v>
      </c>
      <c r="F97" s="19">
        <v>37</v>
      </c>
      <c r="G97" s="33">
        <v>0.38541666666666702</v>
      </c>
      <c r="H97" s="32">
        <v>74.875</v>
      </c>
      <c r="I97" s="32">
        <v>3600</v>
      </c>
      <c r="J97" s="16" t="s">
        <v>4095</v>
      </c>
      <c r="K97" s="16" t="s">
        <v>4096</v>
      </c>
      <c r="L97" s="16" t="s">
        <v>3907</v>
      </c>
    </row>
    <row r="98" spans="1:12" ht="19.5" customHeight="1" x14ac:dyDescent="0.35">
      <c r="A98" s="16" t="s">
        <v>1215</v>
      </c>
      <c r="B98" s="16" t="s">
        <v>913</v>
      </c>
      <c r="C98" s="32">
        <v>119.466666666667</v>
      </c>
      <c r="D98" s="32">
        <v>7168</v>
      </c>
      <c r="E98" s="19">
        <v>68</v>
      </c>
      <c r="F98" s="19">
        <v>37</v>
      </c>
      <c r="G98" s="33">
        <v>0.54411764705882404</v>
      </c>
      <c r="H98" s="32">
        <v>105.41176470588201</v>
      </c>
      <c r="I98" s="32">
        <v>1020</v>
      </c>
      <c r="J98" s="16" t="s">
        <v>4097</v>
      </c>
      <c r="K98" s="16" t="s">
        <v>4098</v>
      </c>
      <c r="L98" s="16" t="s">
        <v>3907</v>
      </c>
    </row>
    <row r="99" spans="1:12" ht="19.5" customHeight="1" x14ac:dyDescent="0.35">
      <c r="A99" s="16" t="s">
        <v>1218</v>
      </c>
      <c r="B99" s="16" t="s">
        <v>973</v>
      </c>
      <c r="C99" s="32">
        <v>119.333333333333</v>
      </c>
      <c r="D99" s="32">
        <v>7160</v>
      </c>
      <c r="E99" s="19">
        <v>81</v>
      </c>
      <c r="F99" s="19">
        <v>38</v>
      </c>
      <c r="G99" s="33">
        <v>0.469135802469136</v>
      </c>
      <c r="H99" s="32">
        <v>88.395061728395106</v>
      </c>
      <c r="I99" s="32">
        <v>900</v>
      </c>
      <c r="J99" s="16" t="s">
        <v>4099</v>
      </c>
      <c r="K99" s="16" t="s">
        <v>4100</v>
      </c>
      <c r="L99" s="16" t="s">
        <v>3907</v>
      </c>
    </row>
    <row r="100" spans="1:12" ht="19.5" customHeight="1" x14ac:dyDescent="0.35">
      <c r="A100" s="16" t="s">
        <v>1221</v>
      </c>
      <c r="B100" s="16" t="s">
        <v>921</v>
      </c>
      <c r="C100" s="32">
        <v>118.73333333333299</v>
      </c>
      <c r="D100" s="32">
        <v>7124</v>
      </c>
      <c r="E100" s="19">
        <v>130</v>
      </c>
      <c r="F100" s="19">
        <v>52</v>
      </c>
      <c r="G100" s="33">
        <v>0.4</v>
      </c>
      <c r="H100" s="32">
        <v>54.8</v>
      </c>
      <c r="I100" s="32">
        <v>600</v>
      </c>
      <c r="J100" s="16" t="s">
        <v>4101</v>
      </c>
      <c r="K100" s="16" t="s">
        <v>4102</v>
      </c>
      <c r="L100" s="16" t="s">
        <v>3907</v>
      </c>
    </row>
    <row r="101" spans="1:12" ht="19.5" customHeight="1" x14ac:dyDescent="0.35">
      <c r="A101" s="16" t="s">
        <v>1224</v>
      </c>
      <c r="B101" s="16" t="s">
        <v>996</v>
      </c>
      <c r="C101" s="32">
        <v>118.3</v>
      </c>
      <c r="D101" s="32">
        <v>7098</v>
      </c>
      <c r="E101" s="19">
        <v>82</v>
      </c>
      <c r="F101" s="19">
        <v>44</v>
      </c>
      <c r="G101" s="33">
        <v>0.53658536585365901</v>
      </c>
      <c r="H101" s="32">
        <v>86.560975609756099</v>
      </c>
      <c r="I101" s="32">
        <v>840</v>
      </c>
      <c r="J101" s="16" t="s">
        <v>4103</v>
      </c>
      <c r="K101" s="16" t="s">
        <v>4104</v>
      </c>
      <c r="L101" s="16" t="s">
        <v>3907</v>
      </c>
    </row>
    <row r="102" spans="1:12" ht="19.5" customHeight="1" x14ac:dyDescent="0.35">
      <c r="A102" s="16" t="s">
        <v>1227</v>
      </c>
      <c r="B102" s="16" t="s">
        <v>1077</v>
      </c>
      <c r="C102" s="32">
        <v>117.73333333333299</v>
      </c>
      <c r="D102" s="32">
        <v>7064</v>
      </c>
      <c r="E102" s="19">
        <v>45</v>
      </c>
      <c r="F102" s="19">
        <v>8</v>
      </c>
      <c r="G102" s="33">
        <v>0.17777777777777801</v>
      </c>
      <c r="H102" s="32">
        <v>156.97777777777799</v>
      </c>
      <c r="I102" s="32">
        <v>4824</v>
      </c>
      <c r="J102" s="16" t="s">
        <v>4105</v>
      </c>
      <c r="K102" s="16" t="s">
        <v>4106</v>
      </c>
      <c r="L102" s="16" t="s">
        <v>3941</v>
      </c>
    </row>
    <row r="103" spans="1:12" ht="19.5" customHeight="1" x14ac:dyDescent="0.35">
      <c r="A103" s="16" t="s">
        <v>1230</v>
      </c>
      <c r="B103" s="16" t="s">
        <v>1009</v>
      </c>
      <c r="C103" s="32">
        <v>116.466666666667</v>
      </c>
      <c r="D103" s="32">
        <v>6988</v>
      </c>
      <c r="E103" s="19">
        <v>103</v>
      </c>
      <c r="F103" s="19">
        <v>47</v>
      </c>
      <c r="G103" s="33">
        <v>0.456310679611651</v>
      </c>
      <c r="H103" s="32">
        <v>67.844660194174807</v>
      </c>
      <c r="I103" s="32">
        <v>1560</v>
      </c>
      <c r="J103" s="16" t="s">
        <v>4107</v>
      </c>
      <c r="K103" s="16" t="s">
        <v>4108</v>
      </c>
      <c r="L103" s="16" t="s">
        <v>3907</v>
      </c>
    </row>
    <row r="104" spans="1:12" ht="19.5" customHeight="1" x14ac:dyDescent="0.35">
      <c r="A104" s="16" t="s">
        <v>1233</v>
      </c>
      <c r="B104" s="16" t="s">
        <v>989</v>
      </c>
      <c r="C104" s="32">
        <v>116.01666666666701</v>
      </c>
      <c r="D104" s="32">
        <v>6961</v>
      </c>
      <c r="E104" s="19">
        <v>161</v>
      </c>
      <c r="F104" s="19">
        <v>59</v>
      </c>
      <c r="G104" s="33">
        <v>0.36645962732919302</v>
      </c>
      <c r="H104" s="32">
        <v>43.236024844720497</v>
      </c>
      <c r="I104" s="32">
        <v>960</v>
      </c>
      <c r="J104" s="16" t="s">
        <v>4109</v>
      </c>
      <c r="K104" s="16" t="s">
        <v>4110</v>
      </c>
      <c r="L104" s="16" t="s">
        <v>3907</v>
      </c>
    </row>
    <row r="105" spans="1:12" ht="19.5" customHeight="1" x14ac:dyDescent="0.35">
      <c r="A105" s="16" t="s">
        <v>1236</v>
      </c>
      <c r="B105" s="16" t="s">
        <v>1101</v>
      </c>
      <c r="C105" s="32">
        <v>115.283333333333</v>
      </c>
      <c r="D105" s="32">
        <v>6917</v>
      </c>
      <c r="E105" s="19">
        <v>68</v>
      </c>
      <c r="F105" s="19">
        <v>24</v>
      </c>
      <c r="G105" s="33">
        <v>0.35294117647058798</v>
      </c>
      <c r="H105" s="32">
        <v>101.720588235294</v>
      </c>
      <c r="I105" s="32">
        <v>3000</v>
      </c>
      <c r="J105" s="16" t="s">
        <v>4111</v>
      </c>
      <c r="K105" s="16" t="s">
        <v>4112</v>
      </c>
      <c r="L105" s="16" t="s">
        <v>3907</v>
      </c>
    </row>
    <row r="106" spans="1:12" ht="19.5" customHeight="1" x14ac:dyDescent="0.35">
      <c r="A106" s="16" t="s">
        <v>1239</v>
      </c>
      <c r="B106" s="16" t="s">
        <v>1240</v>
      </c>
      <c r="C106" s="32">
        <v>114.183333333333</v>
      </c>
      <c r="D106" s="32">
        <v>6851</v>
      </c>
      <c r="E106" s="19">
        <v>119</v>
      </c>
      <c r="F106" s="19">
        <v>48</v>
      </c>
      <c r="G106" s="33">
        <v>0.40336134453781503</v>
      </c>
      <c r="H106" s="32">
        <v>57.571428571428598</v>
      </c>
      <c r="I106" s="32">
        <v>1400</v>
      </c>
      <c r="J106" s="16" t="s">
        <v>4113</v>
      </c>
      <c r="K106" s="16" t="s">
        <v>4114</v>
      </c>
      <c r="L106" s="16" t="s">
        <v>3907</v>
      </c>
    </row>
    <row r="107" spans="1:12" ht="19.5" customHeight="1" x14ac:dyDescent="0.35">
      <c r="A107" s="16" t="s">
        <v>1243</v>
      </c>
      <c r="B107" s="16" t="s">
        <v>1009</v>
      </c>
      <c r="C107" s="32">
        <v>112.866666666667</v>
      </c>
      <c r="D107" s="32">
        <v>6772</v>
      </c>
      <c r="E107" s="19">
        <v>176</v>
      </c>
      <c r="F107" s="19">
        <v>59</v>
      </c>
      <c r="G107" s="33">
        <v>0.33522727272727298</v>
      </c>
      <c r="H107" s="32">
        <v>38.477272727272698</v>
      </c>
      <c r="I107" s="32">
        <v>1001</v>
      </c>
      <c r="J107" s="16" t="s">
        <v>4115</v>
      </c>
      <c r="K107" s="16" t="s">
        <v>4116</v>
      </c>
      <c r="L107" s="16" t="s">
        <v>3907</v>
      </c>
    </row>
    <row r="108" spans="1:12" ht="19.5" customHeight="1" x14ac:dyDescent="0.35">
      <c r="A108" s="16" t="s">
        <v>1246</v>
      </c>
      <c r="B108" s="16" t="s">
        <v>959</v>
      </c>
      <c r="C108" s="32">
        <v>112.8</v>
      </c>
      <c r="D108" s="32">
        <v>6768</v>
      </c>
      <c r="E108" s="19">
        <v>84</v>
      </c>
      <c r="F108" s="19">
        <v>24</v>
      </c>
      <c r="G108" s="33">
        <v>0.28571428571428598</v>
      </c>
      <c r="H108" s="32">
        <v>80.571428571428598</v>
      </c>
      <c r="I108" s="32">
        <v>1450</v>
      </c>
      <c r="J108" s="16" t="s">
        <v>4117</v>
      </c>
      <c r="K108" s="16" t="s">
        <v>4118</v>
      </c>
      <c r="L108" s="16" t="s">
        <v>3941</v>
      </c>
    </row>
    <row r="109" spans="1:12" ht="19.5" customHeight="1" x14ac:dyDescent="0.35">
      <c r="A109" s="16" t="s">
        <v>1249</v>
      </c>
      <c r="B109" s="16" t="s">
        <v>1091</v>
      </c>
      <c r="C109" s="32">
        <v>112.683333333333</v>
      </c>
      <c r="D109" s="32">
        <v>6761</v>
      </c>
      <c r="E109" s="19">
        <v>63</v>
      </c>
      <c r="F109" s="19">
        <v>27</v>
      </c>
      <c r="G109" s="33">
        <v>0.42857142857142899</v>
      </c>
      <c r="H109" s="32">
        <v>107.31746031746</v>
      </c>
      <c r="I109" s="32">
        <v>1000</v>
      </c>
      <c r="J109" s="16" t="s">
        <v>4119</v>
      </c>
      <c r="K109" s="16" t="s">
        <v>4120</v>
      </c>
      <c r="L109" s="16" t="s">
        <v>3907</v>
      </c>
    </row>
    <row r="110" spans="1:12" ht="19.5" customHeight="1" x14ac:dyDescent="0.35">
      <c r="A110" s="16" t="s">
        <v>1252</v>
      </c>
      <c r="B110" s="16" t="s">
        <v>996</v>
      </c>
      <c r="C110" s="32">
        <v>111.98333333333299</v>
      </c>
      <c r="D110" s="32">
        <v>6719</v>
      </c>
      <c r="E110" s="19">
        <v>61</v>
      </c>
      <c r="F110" s="19">
        <v>40</v>
      </c>
      <c r="G110" s="33">
        <v>0.65573770491803296</v>
      </c>
      <c r="H110" s="32">
        <v>110.147540983607</v>
      </c>
      <c r="I110" s="32">
        <v>790</v>
      </c>
      <c r="J110" s="16" t="s">
        <v>4121</v>
      </c>
      <c r="K110" s="16" t="s">
        <v>4122</v>
      </c>
      <c r="L110" s="16" t="s">
        <v>3907</v>
      </c>
    </row>
    <row r="111" spans="1:12" ht="19.5" customHeight="1" x14ac:dyDescent="0.35">
      <c r="A111" s="16" t="s">
        <v>1255</v>
      </c>
      <c r="B111" s="16" t="s">
        <v>925</v>
      </c>
      <c r="C111" s="32">
        <v>111.75</v>
      </c>
      <c r="D111" s="32">
        <v>6705</v>
      </c>
      <c r="E111" s="19">
        <v>95</v>
      </c>
      <c r="F111" s="19">
        <v>54</v>
      </c>
      <c r="G111" s="33">
        <v>0.56842105263157905</v>
      </c>
      <c r="H111" s="32">
        <v>70.578947368421098</v>
      </c>
      <c r="I111" s="32">
        <v>600</v>
      </c>
      <c r="J111" s="16" t="s">
        <v>4123</v>
      </c>
      <c r="K111" s="16" t="s">
        <v>4124</v>
      </c>
      <c r="L111" s="16" t="s">
        <v>3907</v>
      </c>
    </row>
    <row r="112" spans="1:12" ht="19.5" customHeight="1" x14ac:dyDescent="0.35">
      <c r="A112" s="16" t="s">
        <v>1258</v>
      </c>
      <c r="B112" s="16" t="s">
        <v>946</v>
      </c>
      <c r="C112" s="32">
        <v>111.533333333333</v>
      </c>
      <c r="D112" s="32">
        <v>6692</v>
      </c>
      <c r="E112" s="19">
        <v>44</v>
      </c>
      <c r="F112" s="19">
        <v>26</v>
      </c>
      <c r="G112" s="33">
        <v>0.59090909090909105</v>
      </c>
      <c r="H112" s="32">
        <v>152.09090909090901</v>
      </c>
      <c r="I112" s="32">
        <v>4020</v>
      </c>
      <c r="J112" s="16" t="s">
        <v>4125</v>
      </c>
      <c r="K112" s="16" t="s">
        <v>4126</v>
      </c>
      <c r="L112" s="16" t="s">
        <v>3907</v>
      </c>
    </row>
    <row r="113" spans="1:12" ht="19.5" customHeight="1" x14ac:dyDescent="0.35">
      <c r="A113" s="16" t="s">
        <v>1261</v>
      </c>
      <c r="B113" s="16" t="s">
        <v>1136</v>
      </c>
      <c r="C113" s="32">
        <v>111.25</v>
      </c>
      <c r="D113" s="32">
        <v>6675</v>
      </c>
      <c r="E113" s="19">
        <v>105</v>
      </c>
      <c r="F113" s="19">
        <v>41</v>
      </c>
      <c r="G113" s="33">
        <v>0.39047619047619098</v>
      </c>
      <c r="H113" s="32">
        <v>63.571428571428598</v>
      </c>
      <c r="I113" s="32">
        <v>1440</v>
      </c>
      <c r="J113" s="16" t="s">
        <v>4127</v>
      </c>
      <c r="K113" s="16" t="s">
        <v>4128</v>
      </c>
      <c r="L113" s="16" t="s">
        <v>3907</v>
      </c>
    </row>
    <row r="114" spans="1:12" ht="19.5" customHeight="1" x14ac:dyDescent="0.35">
      <c r="A114" s="16" t="s">
        <v>1264</v>
      </c>
      <c r="B114" s="16" t="s">
        <v>929</v>
      </c>
      <c r="C114" s="32">
        <v>111.01666666666701</v>
      </c>
      <c r="D114" s="32">
        <v>6661</v>
      </c>
      <c r="E114" s="19">
        <v>127</v>
      </c>
      <c r="F114" s="19">
        <v>49</v>
      </c>
      <c r="G114" s="33">
        <v>0.38582677165354301</v>
      </c>
      <c r="H114" s="32">
        <v>52.4488188976378</v>
      </c>
      <c r="I114" s="32">
        <v>724</v>
      </c>
      <c r="J114" s="16" t="s">
        <v>4129</v>
      </c>
      <c r="K114" s="16" t="s">
        <v>4130</v>
      </c>
      <c r="L114" s="16" t="s">
        <v>3907</v>
      </c>
    </row>
    <row r="115" spans="1:12" ht="19.5" customHeight="1" x14ac:dyDescent="0.35">
      <c r="A115" s="16" t="s">
        <v>1267</v>
      </c>
      <c r="B115" s="16" t="s">
        <v>989</v>
      </c>
      <c r="C115" s="32">
        <v>110.833333333333</v>
      </c>
      <c r="D115" s="32">
        <v>6650</v>
      </c>
      <c r="E115" s="19">
        <v>63</v>
      </c>
      <c r="F115" s="19">
        <v>37</v>
      </c>
      <c r="G115" s="33">
        <v>0.58730158730158699</v>
      </c>
      <c r="H115" s="32">
        <v>105.555555555556</v>
      </c>
      <c r="I115" s="32">
        <v>536</v>
      </c>
      <c r="J115" s="16" t="s">
        <v>4131</v>
      </c>
      <c r="K115" s="16" t="s">
        <v>4132</v>
      </c>
      <c r="L115" s="16" t="s">
        <v>3907</v>
      </c>
    </row>
    <row r="116" spans="1:12" ht="19.5" customHeight="1" x14ac:dyDescent="0.35">
      <c r="A116" s="16" t="s">
        <v>1270</v>
      </c>
      <c r="B116" s="16" t="s">
        <v>1009</v>
      </c>
      <c r="C116" s="32">
        <v>110.05</v>
      </c>
      <c r="D116" s="32">
        <v>6603</v>
      </c>
      <c r="E116" s="19">
        <v>121</v>
      </c>
      <c r="F116" s="19">
        <v>50</v>
      </c>
      <c r="G116" s="33">
        <v>0.413223140495868</v>
      </c>
      <c r="H116" s="32">
        <v>54.570247933884303</v>
      </c>
      <c r="I116" s="32">
        <v>1500</v>
      </c>
      <c r="J116" s="16" t="s">
        <v>4133</v>
      </c>
      <c r="K116" s="16" t="s">
        <v>4134</v>
      </c>
      <c r="L116" s="16" t="s">
        <v>3907</v>
      </c>
    </row>
    <row r="117" spans="1:12" ht="19.5" customHeight="1" x14ac:dyDescent="0.35">
      <c r="A117" s="16" t="s">
        <v>1273</v>
      </c>
      <c r="B117" s="16" t="s">
        <v>905</v>
      </c>
      <c r="C117" s="32">
        <v>109</v>
      </c>
      <c r="D117" s="32">
        <v>6540</v>
      </c>
      <c r="E117" s="19">
        <v>67</v>
      </c>
      <c r="F117" s="19">
        <v>31</v>
      </c>
      <c r="G117" s="33">
        <v>0.462686567164179</v>
      </c>
      <c r="H117" s="32">
        <v>97.611940298507506</v>
      </c>
      <c r="I117" s="32">
        <v>1500</v>
      </c>
      <c r="J117" s="16" t="s">
        <v>4135</v>
      </c>
      <c r="K117" s="16" t="s">
        <v>4136</v>
      </c>
      <c r="L117" s="16" t="s">
        <v>3907</v>
      </c>
    </row>
    <row r="118" spans="1:12" ht="19.5" customHeight="1" x14ac:dyDescent="0.35">
      <c r="A118" s="16" t="s">
        <v>1276</v>
      </c>
      <c r="B118" s="16" t="s">
        <v>921</v>
      </c>
      <c r="C118" s="32">
        <v>108.033333333333</v>
      </c>
      <c r="D118" s="32">
        <v>6482</v>
      </c>
      <c r="E118" s="19">
        <v>128</v>
      </c>
      <c r="F118" s="19">
        <v>53</v>
      </c>
      <c r="G118" s="33">
        <v>0.4140625</v>
      </c>
      <c r="H118" s="32">
        <v>50.640625</v>
      </c>
      <c r="I118" s="32">
        <v>1035</v>
      </c>
      <c r="J118" s="16" t="s">
        <v>4137</v>
      </c>
      <c r="K118" s="16" t="s">
        <v>4138</v>
      </c>
      <c r="L118" s="16" t="s">
        <v>3924</v>
      </c>
    </row>
    <row r="119" spans="1:12" ht="19.5" customHeight="1" x14ac:dyDescent="0.35">
      <c r="A119" s="16" t="s">
        <v>1279</v>
      </c>
      <c r="B119" s="16" t="s">
        <v>1009</v>
      </c>
      <c r="C119" s="32">
        <v>108</v>
      </c>
      <c r="D119" s="32">
        <v>6480</v>
      </c>
      <c r="E119" s="19">
        <v>100</v>
      </c>
      <c r="F119" s="19">
        <v>46</v>
      </c>
      <c r="G119" s="33">
        <v>0.46</v>
      </c>
      <c r="H119" s="32">
        <v>64.8</v>
      </c>
      <c r="I119" s="32">
        <v>1420</v>
      </c>
      <c r="J119" s="16" t="s">
        <v>4139</v>
      </c>
      <c r="K119" s="16" t="s">
        <v>4140</v>
      </c>
      <c r="L119" s="16" t="s">
        <v>3907</v>
      </c>
    </row>
    <row r="120" spans="1:12" ht="19.5" customHeight="1" x14ac:dyDescent="0.35">
      <c r="A120" s="16" t="s">
        <v>1282</v>
      </c>
      <c r="B120" s="16" t="s">
        <v>1136</v>
      </c>
      <c r="C120" s="32">
        <v>107.76666666666701</v>
      </c>
      <c r="D120" s="32">
        <v>6466</v>
      </c>
      <c r="E120" s="19">
        <v>65</v>
      </c>
      <c r="F120" s="19">
        <v>32</v>
      </c>
      <c r="G120" s="33">
        <v>0.492307692307692</v>
      </c>
      <c r="H120" s="32">
        <v>99.4769230769231</v>
      </c>
      <c r="I120" s="32">
        <v>1560</v>
      </c>
      <c r="J120" s="16" t="s">
        <v>4141</v>
      </c>
      <c r="K120" s="16" t="s">
        <v>4142</v>
      </c>
      <c r="L120" s="16" t="s">
        <v>3907</v>
      </c>
    </row>
    <row r="121" spans="1:12" ht="19.5" customHeight="1" x14ac:dyDescent="0.35">
      <c r="A121" s="16" t="s">
        <v>1285</v>
      </c>
      <c r="B121" s="16" t="s">
        <v>989</v>
      </c>
      <c r="C121" s="32">
        <v>107.066666666667</v>
      </c>
      <c r="D121" s="32">
        <v>6424</v>
      </c>
      <c r="E121" s="19">
        <v>109</v>
      </c>
      <c r="F121" s="19">
        <v>50</v>
      </c>
      <c r="G121" s="33">
        <v>0.45871559633027498</v>
      </c>
      <c r="H121" s="32">
        <v>58.935779816513801</v>
      </c>
      <c r="I121" s="32">
        <v>1140</v>
      </c>
      <c r="J121" s="16" t="s">
        <v>4143</v>
      </c>
      <c r="K121" s="16" t="s">
        <v>4144</v>
      </c>
      <c r="L121" s="16" t="s">
        <v>3907</v>
      </c>
    </row>
    <row r="122" spans="1:12" ht="19.5" customHeight="1" x14ac:dyDescent="0.35">
      <c r="A122" s="16" t="s">
        <v>1288</v>
      </c>
      <c r="B122" s="16" t="s">
        <v>1136</v>
      </c>
      <c r="C122" s="32">
        <v>104.75</v>
      </c>
      <c r="D122" s="32">
        <v>6285</v>
      </c>
      <c r="E122" s="19">
        <v>75</v>
      </c>
      <c r="F122" s="19">
        <v>47</v>
      </c>
      <c r="G122" s="33">
        <v>0.62666666666666704</v>
      </c>
      <c r="H122" s="32">
        <v>83.8</v>
      </c>
      <c r="I122" s="32">
        <v>570</v>
      </c>
      <c r="J122" s="16" t="s">
        <v>4145</v>
      </c>
      <c r="K122" s="16" t="s">
        <v>4146</v>
      </c>
      <c r="L122" s="16" t="s">
        <v>3907</v>
      </c>
    </row>
    <row r="123" spans="1:12" ht="19.5" customHeight="1" x14ac:dyDescent="0.35">
      <c r="A123" s="16" t="s">
        <v>1291</v>
      </c>
      <c r="B123" s="16" t="s">
        <v>921</v>
      </c>
      <c r="C123" s="32">
        <v>103.416666666667</v>
      </c>
      <c r="D123" s="32">
        <v>6205</v>
      </c>
      <c r="E123" s="19">
        <v>88</v>
      </c>
      <c r="F123" s="19">
        <v>41</v>
      </c>
      <c r="G123" s="33">
        <v>0.46590909090909099</v>
      </c>
      <c r="H123" s="32">
        <v>70.511363636363598</v>
      </c>
      <c r="I123" s="32">
        <v>480</v>
      </c>
      <c r="J123" s="16" t="s">
        <v>4147</v>
      </c>
      <c r="K123" s="16" t="s">
        <v>4148</v>
      </c>
      <c r="L123" s="16" t="s">
        <v>3907</v>
      </c>
    </row>
    <row r="124" spans="1:12" ht="19.5" customHeight="1" x14ac:dyDescent="0.35">
      <c r="A124" s="16" t="s">
        <v>1294</v>
      </c>
      <c r="B124" s="16" t="s">
        <v>1295</v>
      </c>
      <c r="C124" s="32">
        <v>103.316666666667</v>
      </c>
      <c r="D124" s="32">
        <v>6199</v>
      </c>
      <c r="E124" s="19">
        <v>72</v>
      </c>
      <c r="F124" s="19">
        <v>31</v>
      </c>
      <c r="G124" s="33">
        <v>0.43055555555555602</v>
      </c>
      <c r="H124" s="32">
        <v>86.0972222222222</v>
      </c>
      <c r="I124" s="32">
        <v>1618</v>
      </c>
      <c r="J124" s="16" t="s">
        <v>4149</v>
      </c>
      <c r="K124" s="16" t="s">
        <v>4150</v>
      </c>
      <c r="L124" s="16" t="s">
        <v>3907</v>
      </c>
    </row>
    <row r="125" spans="1:12" ht="19.5" customHeight="1" x14ac:dyDescent="0.35">
      <c r="A125" s="16" t="s">
        <v>1298</v>
      </c>
      <c r="B125" s="16" t="s">
        <v>1299</v>
      </c>
      <c r="C125" s="32">
        <v>103.283333333333</v>
      </c>
      <c r="D125" s="32">
        <v>6197</v>
      </c>
      <c r="E125" s="19">
        <v>88</v>
      </c>
      <c r="F125" s="19">
        <v>18</v>
      </c>
      <c r="G125" s="33">
        <v>0.204545454545455</v>
      </c>
      <c r="H125" s="32">
        <v>70.420454545454604</v>
      </c>
      <c r="I125" s="32">
        <v>1292</v>
      </c>
      <c r="J125" s="16" t="s">
        <v>4151</v>
      </c>
      <c r="K125" s="16" t="s">
        <v>4152</v>
      </c>
      <c r="L125" s="16" t="s">
        <v>3941</v>
      </c>
    </row>
    <row r="126" spans="1:12" ht="19.5" customHeight="1" x14ac:dyDescent="0.35">
      <c r="A126" s="16" t="s">
        <v>1302</v>
      </c>
      <c r="B126" s="16" t="s">
        <v>925</v>
      </c>
      <c r="C126" s="32">
        <v>101</v>
      </c>
      <c r="D126" s="32">
        <v>6060</v>
      </c>
      <c r="E126" s="19">
        <v>14</v>
      </c>
      <c r="F126" s="19">
        <v>6</v>
      </c>
      <c r="G126" s="33">
        <v>0.42857142857142899</v>
      </c>
      <c r="H126" s="32">
        <v>432.857142857143</v>
      </c>
      <c r="I126" s="32">
        <v>3000</v>
      </c>
      <c r="J126" s="16" t="s">
        <v>4153</v>
      </c>
      <c r="K126" s="16" t="s">
        <v>4154</v>
      </c>
      <c r="L126" s="16" t="s">
        <v>3907</v>
      </c>
    </row>
    <row r="127" spans="1:12" ht="19.5" customHeight="1" x14ac:dyDescent="0.35">
      <c r="A127" s="16" t="s">
        <v>1305</v>
      </c>
      <c r="B127" s="16" t="s">
        <v>1101</v>
      </c>
      <c r="C127" s="32">
        <v>100.716666666667</v>
      </c>
      <c r="D127" s="32">
        <v>6043</v>
      </c>
      <c r="E127" s="19">
        <v>76</v>
      </c>
      <c r="F127" s="19">
        <v>34</v>
      </c>
      <c r="G127" s="33">
        <v>0.44736842105263203</v>
      </c>
      <c r="H127" s="32">
        <v>79.513157894736807</v>
      </c>
      <c r="I127" s="32">
        <v>2136</v>
      </c>
      <c r="J127" s="16" t="s">
        <v>4155</v>
      </c>
      <c r="K127" s="16" t="s">
        <v>4156</v>
      </c>
      <c r="L127" s="16" t="s">
        <v>3907</v>
      </c>
    </row>
    <row r="128" spans="1:12" ht="19.5" customHeight="1" x14ac:dyDescent="0.35">
      <c r="A128" s="16" t="s">
        <v>1308</v>
      </c>
      <c r="B128" s="16" t="s">
        <v>1118</v>
      </c>
      <c r="C128" s="32">
        <v>100.666666666667</v>
      </c>
      <c r="D128" s="32">
        <v>6040</v>
      </c>
      <c r="E128" s="19">
        <v>15</v>
      </c>
      <c r="F128" s="19">
        <v>10</v>
      </c>
      <c r="G128" s="33">
        <v>0.66666666666666696</v>
      </c>
      <c r="H128" s="32">
        <v>402.66666666666703</v>
      </c>
      <c r="I128" s="32">
        <v>4450</v>
      </c>
      <c r="J128" s="16" t="s">
        <v>4157</v>
      </c>
      <c r="K128" s="16" t="s">
        <v>4158</v>
      </c>
      <c r="L128" s="16" t="s">
        <v>3907</v>
      </c>
    </row>
    <row r="129" spans="1:12" ht="19.5" customHeight="1" x14ac:dyDescent="0.35">
      <c r="A129" s="16" t="s">
        <v>1311</v>
      </c>
      <c r="B129" s="16" t="s">
        <v>1070</v>
      </c>
      <c r="C129" s="32">
        <v>100.133333333333</v>
      </c>
      <c r="D129" s="32">
        <v>6008</v>
      </c>
      <c r="E129" s="19">
        <v>74</v>
      </c>
      <c r="F129" s="19">
        <v>34</v>
      </c>
      <c r="G129" s="33">
        <v>0.45945945945945998</v>
      </c>
      <c r="H129" s="32">
        <v>81.189189189189193</v>
      </c>
      <c r="I129" s="32">
        <v>1297</v>
      </c>
      <c r="J129" s="16" t="s">
        <v>4159</v>
      </c>
      <c r="K129" s="16" t="s">
        <v>4160</v>
      </c>
      <c r="L129" s="16" t="s">
        <v>3907</v>
      </c>
    </row>
    <row r="130" spans="1:12" ht="19.5" customHeight="1" x14ac:dyDescent="0.35">
      <c r="A130" s="16" t="s">
        <v>1314</v>
      </c>
      <c r="B130" s="16" t="s">
        <v>925</v>
      </c>
      <c r="C130" s="32">
        <v>99.466666666666697</v>
      </c>
      <c r="D130" s="32">
        <v>5968</v>
      </c>
      <c r="E130" s="19">
        <v>94</v>
      </c>
      <c r="F130" s="19">
        <v>50</v>
      </c>
      <c r="G130" s="33">
        <v>0.53191489361702105</v>
      </c>
      <c r="H130" s="32">
        <v>63.489361702127702</v>
      </c>
      <c r="I130" s="32">
        <v>960</v>
      </c>
      <c r="J130" s="16" t="s">
        <v>4161</v>
      </c>
      <c r="K130" s="16" t="s">
        <v>4162</v>
      </c>
      <c r="L130" s="16" t="s">
        <v>3907</v>
      </c>
    </row>
    <row r="131" spans="1:12" ht="19.5" customHeight="1" x14ac:dyDescent="0.35">
      <c r="A131" s="16" t="s">
        <v>1317</v>
      </c>
      <c r="B131" s="16" t="s">
        <v>1111</v>
      </c>
      <c r="C131" s="32">
        <v>98.966666666666697</v>
      </c>
      <c r="D131" s="32">
        <v>5938</v>
      </c>
      <c r="E131" s="19">
        <v>13</v>
      </c>
      <c r="F131" s="19">
        <v>9</v>
      </c>
      <c r="G131" s="33">
        <v>0.69230769230769196</v>
      </c>
      <c r="H131" s="32">
        <v>456.769230769231</v>
      </c>
      <c r="I131" s="32">
        <v>5878</v>
      </c>
      <c r="J131" s="16" t="s">
        <v>4163</v>
      </c>
      <c r="K131" s="16" t="s">
        <v>4164</v>
      </c>
      <c r="L131" s="16" t="s">
        <v>4165</v>
      </c>
    </row>
    <row r="132" spans="1:12" ht="19.5" customHeight="1" x14ac:dyDescent="0.35">
      <c r="A132" s="16" t="s">
        <v>1320</v>
      </c>
      <c r="B132" s="16" t="s">
        <v>925</v>
      </c>
      <c r="C132" s="32">
        <v>97.883333333333297</v>
      </c>
      <c r="D132" s="32">
        <v>5873</v>
      </c>
      <c r="E132" s="19">
        <v>49</v>
      </c>
      <c r="F132" s="19">
        <v>23</v>
      </c>
      <c r="G132" s="33">
        <v>0.469387755102041</v>
      </c>
      <c r="H132" s="32">
        <v>119.857142857143</v>
      </c>
      <c r="I132" s="32">
        <v>1910</v>
      </c>
      <c r="J132" s="16" t="s">
        <v>4166</v>
      </c>
      <c r="K132" s="16" t="s">
        <v>4167</v>
      </c>
      <c r="L132" s="16" t="s">
        <v>3924</v>
      </c>
    </row>
    <row r="133" spans="1:12" ht="19.5" customHeight="1" x14ac:dyDescent="0.35">
      <c r="A133" s="16" t="s">
        <v>1323</v>
      </c>
      <c r="B133" s="16" t="s">
        <v>989</v>
      </c>
      <c r="C133" s="32">
        <v>97.383333333333297</v>
      </c>
      <c r="D133" s="32">
        <v>5843</v>
      </c>
      <c r="E133" s="19">
        <v>66</v>
      </c>
      <c r="F133" s="19">
        <v>33</v>
      </c>
      <c r="G133" s="33">
        <v>0.5</v>
      </c>
      <c r="H133" s="32">
        <v>88.530303030303003</v>
      </c>
      <c r="I133" s="32">
        <v>800</v>
      </c>
      <c r="J133" s="16" t="s">
        <v>4168</v>
      </c>
      <c r="K133" s="16" t="s">
        <v>4169</v>
      </c>
      <c r="L133" s="16" t="s">
        <v>3907</v>
      </c>
    </row>
    <row r="134" spans="1:12" ht="19.5" customHeight="1" x14ac:dyDescent="0.35">
      <c r="A134" s="16" t="s">
        <v>1326</v>
      </c>
      <c r="B134" s="16" t="s">
        <v>905</v>
      </c>
      <c r="C134" s="32">
        <v>96.866666666666703</v>
      </c>
      <c r="D134" s="32">
        <v>5812</v>
      </c>
      <c r="E134" s="19">
        <v>96</v>
      </c>
      <c r="F134" s="19">
        <v>38</v>
      </c>
      <c r="G134" s="33">
        <v>0.39583333333333298</v>
      </c>
      <c r="H134" s="32">
        <v>60.5416666666667</v>
      </c>
      <c r="I134" s="32">
        <v>720</v>
      </c>
      <c r="J134" s="16" t="s">
        <v>4170</v>
      </c>
      <c r="K134" s="16" t="s">
        <v>4171</v>
      </c>
      <c r="L134" s="16" t="s">
        <v>3907</v>
      </c>
    </row>
    <row r="135" spans="1:12" ht="19.5" customHeight="1" x14ac:dyDescent="0.35">
      <c r="A135" s="16" t="s">
        <v>1329</v>
      </c>
      <c r="B135" s="16" t="s">
        <v>905</v>
      </c>
      <c r="C135" s="32">
        <v>96.383333333333297</v>
      </c>
      <c r="D135" s="32">
        <v>5783</v>
      </c>
      <c r="E135" s="19">
        <v>93</v>
      </c>
      <c r="F135" s="19">
        <v>48</v>
      </c>
      <c r="G135" s="33">
        <v>0.51612903225806495</v>
      </c>
      <c r="H135" s="32">
        <v>62.1827956989247</v>
      </c>
      <c r="I135" s="32">
        <v>579</v>
      </c>
      <c r="J135" s="16" t="s">
        <v>4172</v>
      </c>
      <c r="K135" s="16" t="s">
        <v>4173</v>
      </c>
      <c r="L135" s="16" t="s">
        <v>3907</v>
      </c>
    </row>
    <row r="136" spans="1:12" ht="19.5" customHeight="1" x14ac:dyDescent="0.35">
      <c r="A136" s="16" t="s">
        <v>1332</v>
      </c>
      <c r="B136" s="16" t="s">
        <v>913</v>
      </c>
      <c r="C136" s="32">
        <v>95.483333333333306</v>
      </c>
      <c r="D136" s="32">
        <v>5729</v>
      </c>
      <c r="E136" s="19">
        <v>91</v>
      </c>
      <c r="F136" s="19">
        <v>61</v>
      </c>
      <c r="G136" s="33">
        <v>0.67032967032966995</v>
      </c>
      <c r="H136" s="32">
        <v>62.956043956043999</v>
      </c>
      <c r="I136" s="32">
        <v>1000</v>
      </c>
      <c r="J136" s="16" t="s">
        <v>4174</v>
      </c>
      <c r="K136" s="16" t="s">
        <v>4175</v>
      </c>
      <c r="L136" s="16" t="s">
        <v>3907</v>
      </c>
    </row>
    <row r="137" spans="1:12" ht="19.5" customHeight="1" x14ac:dyDescent="0.35">
      <c r="A137" s="16" t="s">
        <v>1335</v>
      </c>
      <c r="B137" s="16" t="s">
        <v>905</v>
      </c>
      <c r="C137" s="32">
        <v>94.9</v>
      </c>
      <c r="D137" s="32">
        <v>5694</v>
      </c>
      <c r="E137" s="19">
        <v>30</v>
      </c>
      <c r="F137" s="19">
        <v>12</v>
      </c>
      <c r="G137" s="33">
        <v>0.4</v>
      </c>
      <c r="H137" s="32">
        <v>189.8</v>
      </c>
      <c r="I137" s="32">
        <v>2789</v>
      </c>
      <c r="J137" s="16" t="s">
        <v>4176</v>
      </c>
      <c r="K137" s="16" t="s">
        <v>4177</v>
      </c>
      <c r="L137" s="16" t="s">
        <v>3907</v>
      </c>
    </row>
    <row r="138" spans="1:12" ht="19.5" customHeight="1" x14ac:dyDescent="0.35">
      <c r="A138" s="16" t="s">
        <v>1338</v>
      </c>
      <c r="B138" s="16" t="s">
        <v>913</v>
      </c>
      <c r="C138" s="32">
        <v>94.783333333333303</v>
      </c>
      <c r="D138" s="32">
        <v>5687</v>
      </c>
      <c r="E138" s="19">
        <v>79</v>
      </c>
      <c r="F138" s="19">
        <v>49</v>
      </c>
      <c r="G138" s="33">
        <v>0.620253164556962</v>
      </c>
      <c r="H138" s="32">
        <v>71.987341772151893</v>
      </c>
      <c r="I138" s="32">
        <v>480</v>
      </c>
      <c r="J138" s="16" t="s">
        <v>4178</v>
      </c>
      <c r="K138" s="16" t="s">
        <v>4179</v>
      </c>
      <c r="L138" s="16" t="s">
        <v>3907</v>
      </c>
    </row>
    <row r="139" spans="1:12" ht="19.5" customHeight="1" x14ac:dyDescent="0.35">
      <c r="A139" s="16" t="s">
        <v>1341</v>
      </c>
      <c r="B139" s="16" t="s">
        <v>989</v>
      </c>
      <c r="C139" s="32">
        <v>94.45</v>
      </c>
      <c r="D139" s="32">
        <v>5667</v>
      </c>
      <c r="E139" s="19">
        <v>95</v>
      </c>
      <c r="F139" s="19">
        <v>51</v>
      </c>
      <c r="G139" s="33">
        <v>0.53684210526315801</v>
      </c>
      <c r="H139" s="32">
        <v>59.6526315789474</v>
      </c>
      <c r="I139" s="32">
        <v>500</v>
      </c>
      <c r="J139" s="16" t="s">
        <v>4180</v>
      </c>
      <c r="K139" s="16" t="s">
        <v>4181</v>
      </c>
      <c r="L139" s="16" t="s">
        <v>3907</v>
      </c>
    </row>
    <row r="140" spans="1:12" ht="19.5" customHeight="1" x14ac:dyDescent="0.35">
      <c r="A140" s="16" t="s">
        <v>1344</v>
      </c>
      <c r="B140" s="16" t="s">
        <v>905</v>
      </c>
      <c r="C140" s="32">
        <v>94.066666666666706</v>
      </c>
      <c r="D140" s="32">
        <v>5644</v>
      </c>
      <c r="E140" s="19">
        <v>61</v>
      </c>
      <c r="F140" s="19">
        <v>37</v>
      </c>
      <c r="G140" s="33">
        <v>0.60655737704918</v>
      </c>
      <c r="H140" s="32">
        <v>92.524590163934405</v>
      </c>
      <c r="I140" s="32">
        <v>600</v>
      </c>
      <c r="J140" s="16" t="s">
        <v>4182</v>
      </c>
      <c r="K140" s="16" t="s">
        <v>4183</v>
      </c>
      <c r="L140" s="16" t="s">
        <v>3907</v>
      </c>
    </row>
    <row r="141" spans="1:12" ht="19.5" customHeight="1" x14ac:dyDescent="0.35">
      <c r="A141" s="16" t="s">
        <v>1347</v>
      </c>
      <c r="B141" s="16" t="s">
        <v>929</v>
      </c>
      <c r="C141" s="32">
        <v>92.85</v>
      </c>
      <c r="D141" s="32">
        <v>5571</v>
      </c>
      <c r="E141" s="19">
        <v>17</v>
      </c>
      <c r="F141" s="19">
        <v>10</v>
      </c>
      <c r="G141" s="33">
        <v>0.58823529411764697</v>
      </c>
      <c r="H141" s="32">
        <v>327.70588235294099</v>
      </c>
      <c r="I141" s="32">
        <v>4140</v>
      </c>
      <c r="J141" s="16" t="s">
        <v>4184</v>
      </c>
      <c r="K141" s="16" t="s">
        <v>4185</v>
      </c>
      <c r="L141" s="16" t="s">
        <v>3924</v>
      </c>
    </row>
    <row r="142" spans="1:12" ht="19.5" customHeight="1" x14ac:dyDescent="0.35">
      <c r="A142" s="16" t="s">
        <v>1350</v>
      </c>
      <c r="B142" s="16" t="s">
        <v>1136</v>
      </c>
      <c r="C142" s="32">
        <v>91.466666666666697</v>
      </c>
      <c r="D142" s="32">
        <v>5488</v>
      </c>
      <c r="E142" s="19">
        <v>85</v>
      </c>
      <c r="F142" s="19">
        <v>25</v>
      </c>
      <c r="G142" s="33">
        <v>0.29411764705882398</v>
      </c>
      <c r="H142" s="32">
        <v>64.564705882352897</v>
      </c>
      <c r="I142" s="32">
        <v>1440</v>
      </c>
      <c r="J142" s="16" t="s">
        <v>4186</v>
      </c>
      <c r="K142" s="16" t="s">
        <v>4187</v>
      </c>
      <c r="L142" s="16" t="s">
        <v>3907</v>
      </c>
    </row>
    <row r="143" spans="1:12" ht="19.5" customHeight="1" x14ac:dyDescent="0.35">
      <c r="A143" s="16" t="s">
        <v>1353</v>
      </c>
      <c r="B143" s="16" t="s">
        <v>909</v>
      </c>
      <c r="C143" s="32">
        <v>91.4</v>
      </c>
      <c r="D143" s="32">
        <v>5484</v>
      </c>
      <c r="E143" s="19">
        <v>66</v>
      </c>
      <c r="F143" s="19">
        <v>46</v>
      </c>
      <c r="G143" s="33">
        <v>0.69696969696969702</v>
      </c>
      <c r="H143" s="32">
        <v>83.090909090909093</v>
      </c>
      <c r="I143" s="32">
        <v>1228</v>
      </c>
      <c r="J143" s="16" t="s">
        <v>4188</v>
      </c>
      <c r="K143" s="16" t="s">
        <v>4189</v>
      </c>
      <c r="L143" s="16" t="s">
        <v>3907</v>
      </c>
    </row>
    <row r="144" spans="1:12" ht="19.5" customHeight="1" x14ac:dyDescent="0.35">
      <c r="A144" s="16" t="s">
        <v>1356</v>
      </c>
      <c r="B144" s="16" t="s">
        <v>1101</v>
      </c>
      <c r="C144" s="32">
        <v>89.533333333333303</v>
      </c>
      <c r="D144" s="32">
        <v>5372</v>
      </c>
      <c r="E144" s="19">
        <v>106</v>
      </c>
      <c r="F144" s="19">
        <v>35</v>
      </c>
      <c r="G144" s="33">
        <v>0.330188679245283</v>
      </c>
      <c r="H144" s="32">
        <v>50.679245283018901</v>
      </c>
      <c r="I144" s="32">
        <v>705</v>
      </c>
      <c r="J144" s="16" t="s">
        <v>4190</v>
      </c>
      <c r="K144" s="16" t="s">
        <v>4191</v>
      </c>
      <c r="L144" s="16" t="s">
        <v>3907</v>
      </c>
    </row>
    <row r="145" spans="1:12" ht="19.5" customHeight="1" x14ac:dyDescent="0.35">
      <c r="A145" s="16" t="s">
        <v>1359</v>
      </c>
      <c r="B145" s="16" t="s">
        <v>989</v>
      </c>
      <c r="C145" s="32">
        <v>88.716666666666697</v>
      </c>
      <c r="D145" s="32">
        <v>5323</v>
      </c>
      <c r="E145" s="19">
        <v>78</v>
      </c>
      <c r="F145" s="19">
        <v>37</v>
      </c>
      <c r="G145" s="33">
        <v>0.47435897435897401</v>
      </c>
      <c r="H145" s="32">
        <v>68.243589743589695</v>
      </c>
      <c r="I145" s="32">
        <v>720</v>
      </c>
      <c r="J145" s="16" t="s">
        <v>4192</v>
      </c>
      <c r="K145" s="16" t="s">
        <v>4193</v>
      </c>
      <c r="L145" s="16" t="s">
        <v>3907</v>
      </c>
    </row>
    <row r="146" spans="1:12" ht="19.5" customHeight="1" x14ac:dyDescent="0.35">
      <c r="A146" s="16" t="s">
        <v>1362</v>
      </c>
      <c r="B146" s="16" t="s">
        <v>1009</v>
      </c>
      <c r="C146" s="32">
        <v>87.566666666666706</v>
      </c>
      <c r="D146" s="32">
        <v>5254</v>
      </c>
      <c r="E146" s="19">
        <v>135</v>
      </c>
      <c r="F146" s="19">
        <v>37</v>
      </c>
      <c r="G146" s="33">
        <v>0.27407407407407403</v>
      </c>
      <c r="H146" s="32">
        <v>38.918518518518503</v>
      </c>
      <c r="I146" s="32">
        <v>1340</v>
      </c>
      <c r="J146" s="16" t="s">
        <v>4194</v>
      </c>
      <c r="K146" s="16" t="s">
        <v>4195</v>
      </c>
      <c r="L146" s="16" t="s">
        <v>3907</v>
      </c>
    </row>
    <row r="147" spans="1:12" ht="19.5" customHeight="1" x14ac:dyDescent="0.35">
      <c r="A147" s="16" t="s">
        <v>1365</v>
      </c>
      <c r="B147" s="16" t="s">
        <v>1299</v>
      </c>
      <c r="C147" s="32">
        <v>86.866666666666703</v>
      </c>
      <c r="D147" s="32">
        <v>5212</v>
      </c>
      <c r="E147" s="19">
        <v>64</v>
      </c>
      <c r="F147" s="19">
        <v>23</v>
      </c>
      <c r="G147" s="33">
        <v>0.359375</v>
      </c>
      <c r="H147" s="32">
        <v>81.4375</v>
      </c>
      <c r="I147" s="32">
        <v>1260</v>
      </c>
      <c r="J147" s="16" t="s">
        <v>4196</v>
      </c>
      <c r="K147" s="16" t="s">
        <v>4197</v>
      </c>
      <c r="L147" s="16" t="s">
        <v>3941</v>
      </c>
    </row>
    <row r="148" spans="1:12" ht="19.5" customHeight="1" x14ac:dyDescent="0.35">
      <c r="A148" s="16" t="s">
        <v>1368</v>
      </c>
      <c r="B148" s="16" t="s">
        <v>1070</v>
      </c>
      <c r="C148" s="32">
        <v>86.816666666666706</v>
      </c>
      <c r="D148" s="32">
        <v>5209</v>
      </c>
      <c r="E148" s="19">
        <v>110</v>
      </c>
      <c r="F148" s="19">
        <v>41</v>
      </c>
      <c r="G148" s="33">
        <v>0.37272727272727302</v>
      </c>
      <c r="H148" s="32">
        <v>47.354545454545502</v>
      </c>
      <c r="I148" s="32">
        <v>748</v>
      </c>
      <c r="J148" s="16" t="s">
        <v>4198</v>
      </c>
      <c r="K148" s="16" t="s">
        <v>4199</v>
      </c>
      <c r="L148" s="16" t="s">
        <v>3907</v>
      </c>
    </row>
    <row r="149" spans="1:12" ht="19.5" customHeight="1" x14ac:dyDescent="0.35">
      <c r="A149" s="16" t="s">
        <v>1371</v>
      </c>
      <c r="B149" s="16" t="s">
        <v>1136</v>
      </c>
      <c r="C149" s="32">
        <v>86.516666666666694</v>
      </c>
      <c r="D149" s="32">
        <v>5191</v>
      </c>
      <c r="E149" s="19">
        <v>79</v>
      </c>
      <c r="F149" s="19">
        <v>28</v>
      </c>
      <c r="G149" s="33">
        <v>0.354430379746835</v>
      </c>
      <c r="H149" s="32">
        <v>65.708860759493703</v>
      </c>
      <c r="I149" s="32">
        <v>3000</v>
      </c>
      <c r="J149" s="16" t="s">
        <v>4200</v>
      </c>
      <c r="K149" s="16" t="s">
        <v>4201</v>
      </c>
      <c r="L149" s="16" t="s">
        <v>3907</v>
      </c>
    </row>
    <row r="150" spans="1:12" ht="19.5" customHeight="1" x14ac:dyDescent="0.35">
      <c r="A150" s="16" t="s">
        <v>1374</v>
      </c>
      <c r="B150" s="16" t="s">
        <v>989</v>
      </c>
      <c r="C150" s="32">
        <v>86.183333333333294</v>
      </c>
      <c r="D150" s="32">
        <v>5171</v>
      </c>
      <c r="E150" s="19">
        <v>95</v>
      </c>
      <c r="F150" s="19">
        <v>32</v>
      </c>
      <c r="G150" s="33">
        <v>0.336842105263158</v>
      </c>
      <c r="H150" s="32">
        <v>54.431578947368401</v>
      </c>
      <c r="I150" s="32">
        <v>1380</v>
      </c>
      <c r="J150" s="16" t="s">
        <v>4202</v>
      </c>
      <c r="K150" s="16" t="s">
        <v>4203</v>
      </c>
      <c r="L150" s="16" t="s">
        <v>3907</v>
      </c>
    </row>
    <row r="151" spans="1:12" ht="19.5" customHeight="1" x14ac:dyDescent="0.35">
      <c r="A151" s="16" t="s">
        <v>1377</v>
      </c>
      <c r="B151" s="16" t="s">
        <v>913</v>
      </c>
      <c r="C151" s="32">
        <v>85.816666666666706</v>
      </c>
      <c r="D151" s="32">
        <v>5149</v>
      </c>
      <c r="E151" s="19">
        <v>57</v>
      </c>
      <c r="F151" s="19">
        <v>39</v>
      </c>
      <c r="G151" s="33">
        <v>0.68421052631579005</v>
      </c>
      <c r="H151" s="32">
        <v>90.3333333333333</v>
      </c>
      <c r="I151" s="32">
        <v>900</v>
      </c>
      <c r="J151" s="16" t="s">
        <v>4204</v>
      </c>
      <c r="K151" s="16" t="s">
        <v>4205</v>
      </c>
      <c r="L151" s="16" t="s">
        <v>3907</v>
      </c>
    </row>
    <row r="152" spans="1:12" ht="19.5" customHeight="1" x14ac:dyDescent="0.35">
      <c r="A152" s="16" t="s">
        <v>1380</v>
      </c>
      <c r="B152" s="16" t="s">
        <v>1009</v>
      </c>
      <c r="C152" s="32">
        <v>85.5</v>
      </c>
      <c r="D152" s="32">
        <v>5130</v>
      </c>
      <c r="E152" s="19">
        <v>120</v>
      </c>
      <c r="F152" s="19">
        <v>46</v>
      </c>
      <c r="G152" s="33">
        <v>0.38333333333333303</v>
      </c>
      <c r="H152" s="32">
        <v>42.75</v>
      </c>
      <c r="I152" s="32">
        <v>480</v>
      </c>
      <c r="J152" s="16" t="s">
        <v>4206</v>
      </c>
      <c r="K152" s="16" t="s">
        <v>4207</v>
      </c>
      <c r="L152" s="16" t="s">
        <v>3907</v>
      </c>
    </row>
    <row r="153" spans="1:12" ht="19.5" customHeight="1" x14ac:dyDescent="0.35">
      <c r="A153" s="16" t="s">
        <v>1383</v>
      </c>
      <c r="B153" s="16" t="s">
        <v>1050</v>
      </c>
      <c r="C153" s="32">
        <v>83.816666666666706</v>
      </c>
      <c r="D153" s="32">
        <v>5029</v>
      </c>
      <c r="E153" s="19">
        <v>68</v>
      </c>
      <c r="F153" s="19">
        <v>49</v>
      </c>
      <c r="G153" s="33">
        <v>0.72058823529411797</v>
      </c>
      <c r="H153" s="32">
        <v>73.955882352941202</v>
      </c>
      <c r="I153" s="32">
        <v>540</v>
      </c>
      <c r="J153" s="16" t="s">
        <v>4208</v>
      </c>
      <c r="K153" s="16" t="s">
        <v>4209</v>
      </c>
      <c r="L153" s="16" t="s">
        <v>3907</v>
      </c>
    </row>
    <row r="154" spans="1:12" ht="19.5" customHeight="1" x14ac:dyDescent="0.35">
      <c r="A154" s="16" t="s">
        <v>1386</v>
      </c>
      <c r="B154" s="16" t="s">
        <v>913</v>
      </c>
      <c r="C154" s="32">
        <v>83.716666666666697</v>
      </c>
      <c r="D154" s="32">
        <v>5023</v>
      </c>
      <c r="E154" s="19">
        <v>82</v>
      </c>
      <c r="F154" s="19">
        <v>35</v>
      </c>
      <c r="G154" s="33">
        <v>0.42682926829268297</v>
      </c>
      <c r="H154" s="32">
        <v>61.256097560975597</v>
      </c>
      <c r="I154" s="32">
        <v>1360</v>
      </c>
      <c r="J154" s="16" t="s">
        <v>4210</v>
      </c>
      <c r="K154" s="16" t="s">
        <v>4211</v>
      </c>
      <c r="L154" s="16" t="s">
        <v>3907</v>
      </c>
    </row>
    <row r="155" spans="1:12" ht="19.5" customHeight="1" x14ac:dyDescent="0.35">
      <c r="A155" s="16" t="s">
        <v>1389</v>
      </c>
      <c r="B155" s="16" t="s">
        <v>1299</v>
      </c>
      <c r="C155" s="32">
        <v>83.45</v>
      </c>
      <c r="D155" s="32">
        <v>5007</v>
      </c>
      <c r="E155" s="19">
        <v>46</v>
      </c>
      <c r="F155" s="19">
        <v>17</v>
      </c>
      <c r="G155" s="33">
        <v>0.36956521739130399</v>
      </c>
      <c r="H155" s="32">
        <v>108.847826086957</v>
      </c>
      <c r="I155" s="32">
        <v>959</v>
      </c>
      <c r="J155" s="16" t="s">
        <v>4212</v>
      </c>
      <c r="K155" s="16" t="s">
        <v>4213</v>
      </c>
      <c r="L155" s="16" t="s">
        <v>4214</v>
      </c>
    </row>
    <row r="156" spans="1:12" ht="19.5" customHeight="1" x14ac:dyDescent="0.35">
      <c r="A156" s="16" t="s">
        <v>1392</v>
      </c>
      <c r="B156" s="16" t="s">
        <v>1240</v>
      </c>
      <c r="C156" s="32">
        <v>83.3333333333333</v>
      </c>
      <c r="D156" s="32">
        <v>5000</v>
      </c>
      <c r="E156" s="19">
        <v>95</v>
      </c>
      <c r="F156" s="19">
        <v>32</v>
      </c>
      <c r="G156" s="33">
        <v>0.336842105263158</v>
      </c>
      <c r="H156" s="32">
        <v>52.631578947368403</v>
      </c>
      <c r="I156" s="32">
        <v>750</v>
      </c>
      <c r="J156" s="16" t="s">
        <v>4215</v>
      </c>
      <c r="K156" s="16" t="s">
        <v>4216</v>
      </c>
      <c r="L156" s="16" t="s">
        <v>3907</v>
      </c>
    </row>
    <row r="157" spans="1:12" ht="19.5" customHeight="1" x14ac:dyDescent="0.35">
      <c r="A157" s="16" t="s">
        <v>1395</v>
      </c>
      <c r="B157" s="16" t="s">
        <v>905</v>
      </c>
      <c r="C157" s="32">
        <v>83.1</v>
      </c>
      <c r="D157" s="32">
        <v>4986</v>
      </c>
      <c r="E157" s="19">
        <v>69</v>
      </c>
      <c r="F157" s="19">
        <v>41</v>
      </c>
      <c r="G157" s="33">
        <v>0.59420289855072495</v>
      </c>
      <c r="H157" s="32">
        <v>72.260869565217405</v>
      </c>
      <c r="I157" s="32">
        <v>780</v>
      </c>
      <c r="J157" s="16" t="s">
        <v>4217</v>
      </c>
      <c r="K157" s="16" t="s">
        <v>4218</v>
      </c>
      <c r="L157" s="16" t="s">
        <v>3907</v>
      </c>
    </row>
    <row r="158" spans="1:12" ht="19.5" customHeight="1" x14ac:dyDescent="0.35">
      <c r="A158" s="16" t="s">
        <v>1398</v>
      </c>
      <c r="B158" s="16" t="s">
        <v>925</v>
      </c>
      <c r="C158" s="32">
        <v>83.016666666666694</v>
      </c>
      <c r="D158" s="32">
        <v>4981</v>
      </c>
      <c r="E158" s="19">
        <v>67</v>
      </c>
      <c r="F158" s="19">
        <v>36</v>
      </c>
      <c r="G158" s="33">
        <v>0.537313432835821</v>
      </c>
      <c r="H158" s="32">
        <v>74.343283582089597</v>
      </c>
      <c r="I158" s="32">
        <v>480</v>
      </c>
      <c r="J158" s="16" t="s">
        <v>4219</v>
      </c>
      <c r="K158" s="16" t="s">
        <v>4220</v>
      </c>
      <c r="L158" s="16" t="s">
        <v>3907</v>
      </c>
    </row>
    <row r="159" spans="1:12" ht="19.5" customHeight="1" x14ac:dyDescent="0.35">
      <c r="A159" s="16" t="s">
        <v>1401</v>
      </c>
      <c r="B159" s="16" t="s">
        <v>1084</v>
      </c>
      <c r="C159" s="32">
        <v>82.066666666666706</v>
      </c>
      <c r="D159" s="32">
        <v>4924</v>
      </c>
      <c r="E159" s="19">
        <v>87</v>
      </c>
      <c r="F159" s="19">
        <v>14</v>
      </c>
      <c r="G159" s="33">
        <v>0.160919540229885</v>
      </c>
      <c r="H159" s="32">
        <v>56.597701149425298</v>
      </c>
      <c r="I159" s="32">
        <v>1620</v>
      </c>
      <c r="J159" s="16" t="s">
        <v>4221</v>
      </c>
      <c r="K159" s="16" t="s">
        <v>4222</v>
      </c>
      <c r="L159" s="16" t="s">
        <v>3941</v>
      </c>
    </row>
    <row r="160" spans="1:12" ht="19.5" customHeight="1" x14ac:dyDescent="0.35">
      <c r="A160" s="16" t="s">
        <v>1404</v>
      </c>
      <c r="B160" s="16" t="s">
        <v>963</v>
      </c>
      <c r="C160" s="32">
        <v>80.6666666666667</v>
      </c>
      <c r="D160" s="32">
        <v>4840</v>
      </c>
      <c r="E160" s="19">
        <v>166</v>
      </c>
      <c r="F160" s="19">
        <v>43</v>
      </c>
      <c r="G160" s="33">
        <v>0.25903614457831298</v>
      </c>
      <c r="H160" s="32">
        <v>29.1566265060241</v>
      </c>
      <c r="I160" s="32">
        <v>600</v>
      </c>
      <c r="J160" s="16" t="s">
        <v>4223</v>
      </c>
      <c r="K160" s="16" t="s">
        <v>4224</v>
      </c>
      <c r="L160" s="16" t="s">
        <v>3907</v>
      </c>
    </row>
    <row r="161" spans="1:12" ht="19.5" customHeight="1" x14ac:dyDescent="0.35">
      <c r="A161" s="16" t="s">
        <v>1407</v>
      </c>
      <c r="B161" s="16" t="s">
        <v>913</v>
      </c>
      <c r="C161" s="32">
        <v>78.866666666666703</v>
      </c>
      <c r="D161" s="32">
        <v>4732</v>
      </c>
      <c r="E161" s="19">
        <v>71</v>
      </c>
      <c r="F161" s="19">
        <v>39</v>
      </c>
      <c r="G161" s="33">
        <v>0.54929577464788704</v>
      </c>
      <c r="H161" s="32">
        <v>66.647887323943706</v>
      </c>
      <c r="I161" s="32">
        <v>745</v>
      </c>
      <c r="J161" s="16" t="s">
        <v>4225</v>
      </c>
      <c r="K161" s="16" t="s">
        <v>4226</v>
      </c>
      <c r="L161" s="16" t="s">
        <v>3907</v>
      </c>
    </row>
    <row r="162" spans="1:12" ht="19.5" customHeight="1" x14ac:dyDescent="0.35">
      <c r="A162" s="16" t="s">
        <v>1410</v>
      </c>
      <c r="B162" s="16" t="s">
        <v>1240</v>
      </c>
      <c r="C162" s="32">
        <v>78.766666666666694</v>
      </c>
      <c r="D162" s="32">
        <v>4726</v>
      </c>
      <c r="E162" s="19">
        <v>165</v>
      </c>
      <c r="F162" s="19">
        <v>54</v>
      </c>
      <c r="G162" s="33">
        <v>0.32727272727272699</v>
      </c>
      <c r="H162" s="32">
        <v>28.642424242424202</v>
      </c>
      <c r="I162" s="32">
        <v>480</v>
      </c>
      <c r="J162" s="16" t="s">
        <v>4227</v>
      </c>
      <c r="K162" s="16" t="s">
        <v>4228</v>
      </c>
      <c r="L162" s="16" t="s">
        <v>3907</v>
      </c>
    </row>
    <row r="163" spans="1:12" ht="19.5" customHeight="1" x14ac:dyDescent="0.35">
      <c r="A163" s="16" t="s">
        <v>1413</v>
      </c>
      <c r="B163" s="16" t="s">
        <v>917</v>
      </c>
      <c r="C163" s="32">
        <v>78.349999999999994</v>
      </c>
      <c r="D163" s="32">
        <v>4701</v>
      </c>
      <c r="E163" s="19">
        <v>54</v>
      </c>
      <c r="F163" s="19">
        <v>10</v>
      </c>
      <c r="G163" s="33">
        <v>0.18518518518518501</v>
      </c>
      <c r="H163" s="32">
        <v>87.0555555555556</v>
      </c>
      <c r="I163" s="32">
        <v>2000</v>
      </c>
      <c r="J163" s="16" t="s">
        <v>4229</v>
      </c>
      <c r="K163" s="16" t="s">
        <v>4230</v>
      </c>
      <c r="L163" s="16" t="s">
        <v>3907</v>
      </c>
    </row>
    <row r="164" spans="1:12" ht="19.5" customHeight="1" x14ac:dyDescent="0.35">
      <c r="A164" s="16" t="s">
        <v>1416</v>
      </c>
      <c r="B164" s="16" t="s">
        <v>959</v>
      </c>
      <c r="C164" s="32">
        <v>78.150000000000006</v>
      </c>
      <c r="D164" s="32">
        <v>4689</v>
      </c>
      <c r="E164" s="19">
        <v>59</v>
      </c>
      <c r="F164" s="19">
        <v>13</v>
      </c>
      <c r="G164" s="33">
        <v>0.22033898305084801</v>
      </c>
      <c r="H164" s="32">
        <v>79.474576271186393</v>
      </c>
      <c r="I164" s="32">
        <v>2400</v>
      </c>
      <c r="J164" s="16" t="s">
        <v>4231</v>
      </c>
      <c r="K164" s="16" t="s">
        <v>4232</v>
      </c>
      <c r="L164" s="16" t="s">
        <v>3941</v>
      </c>
    </row>
    <row r="165" spans="1:12" ht="19.5" customHeight="1" x14ac:dyDescent="0.35">
      <c r="A165" s="16" t="s">
        <v>1419</v>
      </c>
      <c r="B165" s="16" t="s">
        <v>898</v>
      </c>
      <c r="C165" s="32">
        <v>78.099999999999994</v>
      </c>
      <c r="D165" s="32">
        <v>4686</v>
      </c>
      <c r="E165" s="19">
        <v>48</v>
      </c>
      <c r="F165" s="19">
        <v>25</v>
      </c>
      <c r="G165" s="33">
        <v>0.52083333333333304</v>
      </c>
      <c r="H165" s="32">
        <v>97.625</v>
      </c>
      <c r="I165" s="32">
        <v>1500</v>
      </c>
      <c r="J165" s="16" t="s">
        <v>4233</v>
      </c>
      <c r="K165" s="16" t="s">
        <v>4234</v>
      </c>
      <c r="L165" s="16" t="s">
        <v>3907</v>
      </c>
    </row>
    <row r="166" spans="1:12" ht="19.5" customHeight="1" x14ac:dyDescent="0.35">
      <c r="A166" s="16" t="s">
        <v>1422</v>
      </c>
      <c r="B166" s="16" t="s">
        <v>929</v>
      </c>
      <c r="C166" s="32">
        <v>77.233333333333306</v>
      </c>
      <c r="D166" s="32">
        <v>4634</v>
      </c>
      <c r="E166" s="19">
        <v>42</v>
      </c>
      <c r="F166" s="19">
        <v>19</v>
      </c>
      <c r="G166" s="33">
        <v>0.452380952380952</v>
      </c>
      <c r="H166" s="32">
        <v>110.333333333333</v>
      </c>
      <c r="I166" s="32">
        <v>793</v>
      </c>
      <c r="J166" s="16" t="s">
        <v>4235</v>
      </c>
      <c r="K166" s="16" t="s">
        <v>4236</v>
      </c>
      <c r="L166" s="16" t="s">
        <v>3907</v>
      </c>
    </row>
    <row r="167" spans="1:12" ht="19.5" customHeight="1" x14ac:dyDescent="0.35">
      <c r="A167" s="16" t="s">
        <v>1425</v>
      </c>
      <c r="B167" s="16" t="s">
        <v>963</v>
      </c>
      <c r="C167" s="32">
        <v>77.1666666666667</v>
      </c>
      <c r="D167" s="32">
        <v>4630</v>
      </c>
      <c r="E167" s="19">
        <v>101</v>
      </c>
      <c r="F167" s="19">
        <v>26</v>
      </c>
      <c r="G167" s="33">
        <v>0.25742574257425699</v>
      </c>
      <c r="H167" s="32">
        <v>45.841584158415799</v>
      </c>
      <c r="I167" s="32">
        <v>600</v>
      </c>
      <c r="J167" s="16" t="s">
        <v>4237</v>
      </c>
      <c r="K167" s="16" t="s">
        <v>4238</v>
      </c>
      <c r="L167" s="16" t="s">
        <v>3907</v>
      </c>
    </row>
    <row r="168" spans="1:12" ht="19.5" customHeight="1" x14ac:dyDescent="0.35">
      <c r="A168" s="16" t="s">
        <v>1428</v>
      </c>
      <c r="B168" s="16" t="s">
        <v>963</v>
      </c>
      <c r="C168" s="32">
        <v>76.983333333333306</v>
      </c>
      <c r="D168" s="32">
        <v>4619</v>
      </c>
      <c r="E168" s="19">
        <v>86</v>
      </c>
      <c r="F168" s="19">
        <v>17</v>
      </c>
      <c r="G168" s="33">
        <v>0.19767441860465099</v>
      </c>
      <c r="H168" s="32">
        <v>53.709302325581397</v>
      </c>
      <c r="I168" s="32">
        <v>1826</v>
      </c>
      <c r="J168" s="16" t="s">
        <v>4239</v>
      </c>
      <c r="K168" s="16" t="s">
        <v>4240</v>
      </c>
      <c r="L168" s="16" t="s">
        <v>3907</v>
      </c>
    </row>
    <row r="169" spans="1:12" ht="19.5" customHeight="1" x14ac:dyDescent="0.35">
      <c r="A169" s="16" t="s">
        <v>1431</v>
      </c>
      <c r="B169" s="16" t="s">
        <v>1136</v>
      </c>
      <c r="C169" s="32">
        <v>75.816666666666706</v>
      </c>
      <c r="D169" s="32">
        <v>4549</v>
      </c>
      <c r="E169" s="19">
        <v>80</v>
      </c>
      <c r="F169" s="19">
        <v>18</v>
      </c>
      <c r="G169" s="33">
        <v>0.22500000000000001</v>
      </c>
      <c r="H169" s="32">
        <v>56.862499999999997</v>
      </c>
      <c r="I169" s="32">
        <v>1200</v>
      </c>
      <c r="J169" s="16" t="s">
        <v>4241</v>
      </c>
      <c r="K169" s="16" t="s">
        <v>4242</v>
      </c>
      <c r="L169" s="16" t="s">
        <v>3907</v>
      </c>
    </row>
    <row r="170" spans="1:12" ht="19.5" customHeight="1" x14ac:dyDescent="0.35">
      <c r="A170" s="16" t="s">
        <v>1434</v>
      </c>
      <c r="B170" s="16" t="s">
        <v>905</v>
      </c>
      <c r="C170" s="32">
        <v>75.366666666666703</v>
      </c>
      <c r="D170" s="32">
        <v>4522</v>
      </c>
      <c r="E170" s="19">
        <v>79</v>
      </c>
      <c r="F170" s="19">
        <v>30</v>
      </c>
      <c r="G170" s="33">
        <v>0.379746835443038</v>
      </c>
      <c r="H170" s="32">
        <v>57.240506329113899</v>
      </c>
      <c r="I170" s="32">
        <v>727</v>
      </c>
      <c r="J170" s="16" t="s">
        <v>4243</v>
      </c>
      <c r="K170" s="16" t="s">
        <v>4244</v>
      </c>
      <c r="L170" s="16" t="s">
        <v>3907</v>
      </c>
    </row>
    <row r="171" spans="1:12" ht="19.5" customHeight="1" x14ac:dyDescent="0.35">
      <c r="A171" s="16" t="s">
        <v>1437</v>
      </c>
      <c r="B171" s="16" t="s">
        <v>1084</v>
      </c>
      <c r="C171" s="32">
        <v>75.033333333333303</v>
      </c>
      <c r="D171" s="32">
        <v>4502</v>
      </c>
      <c r="E171" s="19">
        <v>137</v>
      </c>
      <c r="F171" s="19">
        <v>12</v>
      </c>
      <c r="G171" s="33">
        <v>8.7591240875912399E-2</v>
      </c>
      <c r="H171" s="32">
        <v>32.861313868613102</v>
      </c>
      <c r="I171" s="32">
        <v>2400</v>
      </c>
      <c r="J171" s="16" t="s">
        <v>4245</v>
      </c>
      <c r="K171" s="16" t="s">
        <v>4246</v>
      </c>
      <c r="L171" s="16" t="s">
        <v>3941</v>
      </c>
    </row>
    <row r="172" spans="1:12" ht="19.5" customHeight="1" x14ac:dyDescent="0.35">
      <c r="A172" s="16" t="s">
        <v>1440</v>
      </c>
      <c r="B172" s="16" t="s">
        <v>963</v>
      </c>
      <c r="C172" s="32">
        <v>74.1666666666667</v>
      </c>
      <c r="D172" s="32">
        <v>4450</v>
      </c>
      <c r="E172" s="19">
        <v>98</v>
      </c>
      <c r="F172" s="19">
        <v>19</v>
      </c>
      <c r="G172" s="33">
        <v>0.19387755102040799</v>
      </c>
      <c r="H172" s="32">
        <v>45.408163265306101</v>
      </c>
      <c r="I172" s="32">
        <v>2400</v>
      </c>
      <c r="J172" s="16" t="s">
        <v>4247</v>
      </c>
      <c r="K172" s="16" t="s">
        <v>4248</v>
      </c>
      <c r="L172" s="16" t="s">
        <v>3907</v>
      </c>
    </row>
    <row r="173" spans="1:12" ht="19.5" customHeight="1" x14ac:dyDescent="0.35">
      <c r="A173" s="16" t="s">
        <v>1444</v>
      </c>
      <c r="B173" s="16" t="s">
        <v>1143</v>
      </c>
      <c r="C173" s="32">
        <v>73.066666666666706</v>
      </c>
      <c r="D173" s="32">
        <v>4384</v>
      </c>
      <c r="E173" s="19">
        <v>13</v>
      </c>
      <c r="F173" s="19">
        <v>4</v>
      </c>
      <c r="G173" s="33">
        <v>0.30769230769230799</v>
      </c>
      <c r="H173" s="32">
        <v>337.230769230769</v>
      </c>
      <c r="I173" s="32">
        <v>4084</v>
      </c>
      <c r="J173" s="16" t="s">
        <v>4249</v>
      </c>
      <c r="K173" s="16" t="s">
        <v>4250</v>
      </c>
      <c r="L173" s="16" t="s">
        <v>3924</v>
      </c>
    </row>
    <row r="174" spans="1:12" ht="19.5" customHeight="1" x14ac:dyDescent="0.35">
      <c r="A174" s="16" t="s">
        <v>1447</v>
      </c>
      <c r="B174" s="16" t="s">
        <v>959</v>
      </c>
      <c r="C174" s="32">
        <v>72.8333333333333</v>
      </c>
      <c r="D174" s="32">
        <v>4370</v>
      </c>
      <c r="E174" s="19">
        <v>84</v>
      </c>
      <c r="F174" s="19">
        <v>14</v>
      </c>
      <c r="G174" s="33">
        <v>0.16666666666666699</v>
      </c>
      <c r="H174" s="32">
        <v>52.023809523809497</v>
      </c>
      <c r="I174" s="32">
        <v>1260</v>
      </c>
      <c r="J174" s="16" t="s">
        <v>4251</v>
      </c>
      <c r="K174" s="16" t="s">
        <v>4252</v>
      </c>
      <c r="L174" s="16" t="s">
        <v>4253</v>
      </c>
    </row>
    <row r="175" spans="1:12" ht="19.5" customHeight="1" x14ac:dyDescent="0.35">
      <c r="A175" s="16" t="s">
        <v>1450</v>
      </c>
      <c r="B175" s="16" t="s">
        <v>989</v>
      </c>
      <c r="C175" s="32">
        <v>72.0833333333333</v>
      </c>
      <c r="D175" s="32">
        <v>4325</v>
      </c>
      <c r="E175" s="19">
        <v>29</v>
      </c>
      <c r="F175" s="19">
        <v>11</v>
      </c>
      <c r="G175" s="33">
        <v>0.37931034482758602</v>
      </c>
      <c r="H175" s="32">
        <v>149.13793103448299</v>
      </c>
      <c r="I175" s="32">
        <v>1500</v>
      </c>
      <c r="J175" s="16" t="s">
        <v>4254</v>
      </c>
      <c r="K175" s="16" t="s">
        <v>4255</v>
      </c>
      <c r="L175" s="16" t="s">
        <v>4256</v>
      </c>
    </row>
    <row r="176" spans="1:12" ht="19.5" customHeight="1" x14ac:dyDescent="0.35">
      <c r="A176" s="16" t="s">
        <v>1453</v>
      </c>
      <c r="B176" s="16" t="s">
        <v>1136</v>
      </c>
      <c r="C176" s="32">
        <v>69.95</v>
      </c>
      <c r="D176" s="32">
        <v>4197</v>
      </c>
      <c r="E176" s="19">
        <v>88</v>
      </c>
      <c r="F176" s="19">
        <v>27</v>
      </c>
      <c r="G176" s="33">
        <v>0.30681818181818199</v>
      </c>
      <c r="H176" s="32">
        <v>47.693181818181799</v>
      </c>
      <c r="I176" s="32">
        <v>1920</v>
      </c>
      <c r="J176" s="16" t="s">
        <v>4257</v>
      </c>
      <c r="K176" s="16" t="s">
        <v>4258</v>
      </c>
      <c r="L176" s="16" t="s">
        <v>3907</v>
      </c>
    </row>
    <row r="177" spans="1:12" ht="19.5" customHeight="1" x14ac:dyDescent="0.35">
      <c r="A177" s="16" t="s">
        <v>1456</v>
      </c>
      <c r="B177" s="16" t="s">
        <v>1050</v>
      </c>
      <c r="C177" s="32">
        <v>69.066666666666706</v>
      </c>
      <c r="D177" s="32">
        <v>4144</v>
      </c>
      <c r="E177" s="19">
        <v>61</v>
      </c>
      <c r="F177" s="19">
        <v>29</v>
      </c>
      <c r="G177" s="33">
        <v>0.47540983606557402</v>
      </c>
      <c r="H177" s="32">
        <v>67.934426229508205</v>
      </c>
      <c r="I177" s="32">
        <v>900</v>
      </c>
      <c r="J177" s="16" t="s">
        <v>4259</v>
      </c>
      <c r="K177" s="16" t="s">
        <v>4260</v>
      </c>
      <c r="L177" s="16" t="s">
        <v>3907</v>
      </c>
    </row>
    <row r="178" spans="1:12" ht="19.5" customHeight="1" x14ac:dyDescent="0.35">
      <c r="A178" s="16" t="s">
        <v>1459</v>
      </c>
      <c r="B178" s="16" t="s">
        <v>1077</v>
      </c>
      <c r="C178" s="32">
        <v>68.900000000000006</v>
      </c>
      <c r="D178" s="32">
        <v>4134</v>
      </c>
      <c r="E178" s="19">
        <v>213</v>
      </c>
      <c r="F178" s="19">
        <v>17</v>
      </c>
      <c r="G178" s="33">
        <v>7.9812206572769995E-2</v>
      </c>
      <c r="H178" s="32">
        <v>19.408450704225402</v>
      </c>
      <c r="I178" s="32">
        <v>1920</v>
      </c>
      <c r="J178" s="16" t="s">
        <v>4261</v>
      </c>
      <c r="K178" s="16" t="s">
        <v>4262</v>
      </c>
      <c r="L178" s="16" t="s">
        <v>3941</v>
      </c>
    </row>
    <row r="179" spans="1:12" ht="19.5" customHeight="1" x14ac:dyDescent="0.35">
      <c r="A179" s="16" t="s">
        <v>1462</v>
      </c>
      <c r="B179" s="16" t="s">
        <v>1122</v>
      </c>
      <c r="C179" s="32">
        <v>68.283333333333303</v>
      </c>
      <c r="D179" s="32">
        <v>4097</v>
      </c>
      <c r="E179" s="19">
        <v>115</v>
      </c>
      <c r="F179" s="19">
        <v>35</v>
      </c>
      <c r="G179" s="33">
        <v>0.30434782608695699</v>
      </c>
      <c r="H179" s="32">
        <v>35.626086956521704</v>
      </c>
      <c r="I179" s="32">
        <v>480</v>
      </c>
      <c r="J179" s="16" t="s">
        <v>4263</v>
      </c>
      <c r="K179" s="16" t="s">
        <v>4264</v>
      </c>
      <c r="L179" s="16" t="s">
        <v>3907</v>
      </c>
    </row>
    <row r="180" spans="1:12" ht="19.5" customHeight="1" x14ac:dyDescent="0.35">
      <c r="A180" s="16" t="s">
        <v>1465</v>
      </c>
      <c r="B180" s="16" t="s">
        <v>1136</v>
      </c>
      <c r="C180" s="32">
        <v>67.8333333333333</v>
      </c>
      <c r="D180" s="32">
        <v>4070</v>
      </c>
      <c r="E180" s="19">
        <v>64</v>
      </c>
      <c r="F180" s="19">
        <v>23</v>
      </c>
      <c r="G180" s="33">
        <v>0.359375</v>
      </c>
      <c r="H180" s="32">
        <v>63.59375</v>
      </c>
      <c r="I180" s="32">
        <v>1260</v>
      </c>
      <c r="J180" s="16" t="s">
        <v>4265</v>
      </c>
      <c r="K180" s="16" t="s">
        <v>4266</v>
      </c>
      <c r="L180" s="16" t="s">
        <v>3907</v>
      </c>
    </row>
    <row r="181" spans="1:12" ht="19.5" customHeight="1" x14ac:dyDescent="0.35">
      <c r="A181" s="16" t="s">
        <v>1468</v>
      </c>
      <c r="B181" s="16" t="s">
        <v>1077</v>
      </c>
      <c r="C181" s="32">
        <v>67.816666666666706</v>
      </c>
      <c r="D181" s="32">
        <v>4069</v>
      </c>
      <c r="E181" s="19">
        <v>223</v>
      </c>
      <c r="F181" s="19">
        <v>24</v>
      </c>
      <c r="G181" s="33">
        <v>0.10762331838564999</v>
      </c>
      <c r="H181" s="32">
        <v>18.246636771300501</v>
      </c>
      <c r="I181" s="32">
        <v>960</v>
      </c>
      <c r="J181" s="16" t="s">
        <v>4267</v>
      </c>
      <c r="K181" s="16" t="s">
        <v>4268</v>
      </c>
      <c r="L181" s="16" t="s">
        <v>3941</v>
      </c>
    </row>
    <row r="182" spans="1:12" ht="19.5" customHeight="1" x14ac:dyDescent="0.35">
      <c r="A182" s="16" t="s">
        <v>1471</v>
      </c>
      <c r="B182" s="16" t="s">
        <v>921</v>
      </c>
      <c r="C182" s="32">
        <v>67.683333333333294</v>
      </c>
      <c r="D182" s="32">
        <v>4061</v>
      </c>
      <c r="E182" s="19">
        <v>68</v>
      </c>
      <c r="F182" s="19">
        <v>32</v>
      </c>
      <c r="G182" s="33">
        <v>0.47058823529411797</v>
      </c>
      <c r="H182" s="32">
        <v>59.720588235294102</v>
      </c>
      <c r="I182" s="32">
        <v>652</v>
      </c>
      <c r="J182" s="16" t="s">
        <v>4269</v>
      </c>
      <c r="K182" s="16" t="s">
        <v>4270</v>
      </c>
      <c r="L182" s="16" t="s">
        <v>3907</v>
      </c>
    </row>
    <row r="183" spans="1:12" ht="19.5" customHeight="1" x14ac:dyDescent="0.35">
      <c r="A183" s="16" t="s">
        <v>1474</v>
      </c>
      <c r="B183" s="16" t="s">
        <v>905</v>
      </c>
      <c r="C183" s="32">
        <v>67.3333333333333</v>
      </c>
      <c r="D183" s="32">
        <v>4040</v>
      </c>
      <c r="E183" s="19">
        <v>38</v>
      </c>
      <c r="F183" s="19">
        <v>16</v>
      </c>
      <c r="G183" s="33">
        <v>0.42105263157894701</v>
      </c>
      <c r="H183" s="32">
        <v>106.31578947368401</v>
      </c>
      <c r="I183" s="32">
        <v>1800</v>
      </c>
      <c r="J183" s="16" t="s">
        <v>4271</v>
      </c>
      <c r="K183" s="16" t="s">
        <v>4272</v>
      </c>
      <c r="L183" s="16" t="s">
        <v>3907</v>
      </c>
    </row>
    <row r="184" spans="1:12" ht="19.5" customHeight="1" x14ac:dyDescent="0.35">
      <c r="A184" s="16" t="s">
        <v>1477</v>
      </c>
      <c r="B184" s="16" t="s">
        <v>913</v>
      </c>
      <c r="C184" s="32">
        <v>66.966666666666697</v>
      </c>
      <c r="D184" s="32">
        <v>4018</v>
      </c>
      <c r="E184" s="19">
        <v>84</v>
      </c>
      <c r="F184" s="19">
        <v>49</v>
      </c>
      <c r="G184" s="33">
        <v>0.58333333333333304</v>
      </c>
      <c r="H184" s="32">
        <v>47.8333333333333</v>
      </c>
      <c r="I184" s="32">
        <v>520</v>
      </c>
      <c r="J184" s="16" t="s">
        <v>4273</v>
      </c>
      <c r="K184" s="16" t="s">
        <v>4274</v>
      </c>
      <c r="L184" s="16" t="s">
        <v>3907</v>
      </c>
    </row>
    <row r="185" spans="1:12" ht="19.5" customHeight="1" x14ac:dyDescent="0.35">
      <c r="A185" s="16" t="s">
        <v>1480</v>
      </c>
      <c r="B185" s="16" t="s">
        <v>1122</v>
      </c>
      <c r="C185" s="32">
        <v>66.6666666666667</v>
      </c>
      <c r="D185" s="32">
        <v>4000</v>
      </c>
      <c r="E185" s="19">
        <v>8</v>
      </c>
      <c r="F185" s="19">
        <v>1</v>
      </c>
      <c r="G185" s="33">
        <v>0.125</v>
      </c>
      <c r="H185" s="32">
        <v>500</v>
      </c>
      <c r="I185" s="32">
        <v>4000</v>
      </c>
      <c r="J185" s="16" t="s">
        <v>4275</v>
      </c>
      <c r="K185" s="16" t="s">
        <v>4276</v>
      </c>
      <c r="L185" s="16" t="s">
        <v>3907</v>
      </c>
    </row>
    <row r="186" spans="1:12" ht="19.5" customHeight="1" x14ac:dyDescent="0.35">
      <c r="A186" s="16" t="s">
        <v>1483</v>
      </c>
      <c r="B186" s="16" t="s">
        <v>1122</v>
      </c>
      <c r="C186" s="32">
        <v>65.349999999999994</v>
      </c>
      <c r="D186" s="32">
        <v>3921</v>
      </c>
      <c r="E186" s="19">
        <v>141</v>
      </c>
      <c r="F186" s="19">
        <v>31</v>
      </c>
      <c r="G186" s="33">
        <v>0.219858156028369</v>
      </c>
      <c r="H186" s="32">
        <v>27.8085106382979</v>
      </c>
      <c r="I186" s="32">
        <v>1000</v>
      </c>
      <c r="J186" s="16" t="s">
        <v>4277</v>
      </c>
      <c r="K186" s="16" t="s">
        <v>4278</v>
      </c>
      <c r="L186" s="16" t="s">
        <v>3907</v>
      </c>
    </row>
    <row r="187" spans="1:12" ht="19.5" customHeight="1" x14ac:dyDescent="0.35">
      <c r="A187" s="16" t="s">
        <v>1486</v>
      </c>
      <c r="B187" s="16" t="s">
        <v>905</v>
      </c>
      <c r="C187" s="32">
        <v>65.233333333333306</v>
      </c>
      <c r="D187" s="32">
        <v>3914</v>
      </c>
      <c r="E187" s="19">
        <v>69</v>
      </c>
      <c r="F187" s="19">
        <v>38</v>
      </c>
      <c r="G187" s="33">
        <v>0.55072463768115898</v>
      </c>
      <c r="H187" s="32">
        <v>56.7246376811594</v>
      </c>
      <c r="I187" s="32">
        <v>516</v>
      </c>
      <c r="J187" s="16" t="s">
        <v>4279</v>
      </c>
      <c r="K187" s="16" t="s">
        <v>4280</v>
      </c>
      <c r="L187" s="16" t="s">
        <v>3907</v>
      </c>
    </row>
    <row r="188" spans="1:12" ht="19.5" customHeight="1" x14ac:dyDescent="0.35">
      <c r="A188" s="16" t="s">
        <v>1489</v>
      </c>
      <c r="B188" s="16" t="s">
        <v>1490</v>
      </c>
      <c r="C188" s="32">
        <v>65.216666666666697</v>
      </c>
      <c r="D188" s="32">
        <v>3913</v>
      </c>
      <c r="E188" s="19">
        <v>7</v>
      </c>
      <c r="F188" s="19">
        <v>4</v>
      </c>
      <c r="G188" s="33">
        <v>0.57142857142857095</v>
      </c>
      <c r="H188" s="32">
        <v>559</v>
      </c>
      <c r="I188" s="32">
        <v>3253</v>
      </c>
      <c r="J188" s="16" t="s">
        <v>4281</v>
      </c>
      <c r="K188" s="16" t="s">
        <v>4282</v>
      </c>
      <c r="L188" s="16" t="s">
        <v>4052</v>
      </c>
    </row>
    <row r="189" spans="1:12" ht="19.5" customHeight="1" x14ac:dyDescent="0.35">
      <c r="A189" s="16" t="s">
        <v>1493</v>
      </c>
      <c r="B189" s="16" t="s">
        <v>1494</v>
      </c>
      <c r="C189" s="32">
        <v>64.7</v>
      </c>
      <c r="D189" s="32">
        <v>3882</v>
      </c>
      <c r="E189" s="19">
        <v>25</v>
      </c>
      <c r="F189" s="19">
        <v>10</v>
      </c>
      <c r="G189" s="33">
        <v>0.4</v>
      </c>
      <c r="H189" s="32">
        <v>155.28</v>
      </c>
      <c r="I189" s="32">
        <v>2520</v>
      </c>
      <c r="J189" s="16" t="s">
        <v>4283</v>
      </c>
      <c r="K189" s="16" t="s">
        <v>4284</v>
      </c>
      <c r="L189" s="16" t="s">
        <v>3924</v>
      </c>
    </row>
    <row r="190" spans="1:12" ht="19.5" customHeight="1" x14ac:dyDescent="0.35">
      <c r="A190" s="16" t="s">
        <v>1497</v>
      </c>
      <c r="B190" s="16" t="s">
        <v>989</v>
      </c>
      <c r="C190" s="32">
        <v>64.283333333333303</v>
      </c>
      <c r="D190" s="32">
        <v>3857</v>
      </c>
      <c r="E190" s="19">
        <v>68</v>
      </c>
      <c r="F190" s="19">
        <v>39</v>
      </c>
      <c r="G190" s="33">
        <v>0.57352941176470595</v>
      </c>
      <c r="H190" s="32">
        <v>56.720588235294102</v>
      </c>
      <c r="I190" s="32">
        <v>400</v>
      </c>
      <c r="J190" s="16" t="s">
        <v>4285</v>
      </c>
      <c r="K190" s="16" t="s">
        <v>4286</v>
      </c>
      <c r="L190" s="16" t="s">
        <v>3907</v>
      </c>
    </row>
    <row r="191" spans="1:12" ht="19.5" customHeight="1" x14ac:dyDescent="0.35">
      <c r="A191" s="16" t="s">
        <v>1500</v>
      </c>
      <c r="B191" s="16" t="s">
        <v>1077</v>
      </c>
      <c r="C191" s="32">
        <v>63.9</v>
      </c>
      <c r="D191" s="32">
        <v>3834</v>
      </c>
      <c r="E191" s="19">
        <v>136</v>
      </c>
      <c r="F191" s="19">
        <v>17</v>
      </c>
      <c r="G191" s="33">
        <v>0.125</v>
      </c>
      <c r="H191" s="32">
        <v>28.1911764705882</v>
      </c>
      <c r="I191" s="32">
        <v>960</v>
      </c>
      <c r="J191" s="16" t="s">
        <v>4287</v>
      </c>
      <c r="K191" s="16" t="s">
        <v>4288</v>
      </c>
      <c r="L191" s="16" t="s">
        <v>3941</v>
      </c>
    </row>
    <row r="192" spans="1:12" ht="19.5" customHeight="1" x14ac:dyDescent="0.35">
      <c r="A192" s="16" t="s">
        <v>1503</v>
      </c>
      <c r="B192" s="16" t="s">
        <v>1295</v>
      </c>
      <c r="C192" s="32">
        <v>63.483333333333299</v>
      </c>
      <c r="D192" s="32">
        <v>3809</v>
      </c>
      <c r="E192" s="19">
        <v>48</v>
      </c>
      <c r="F192" s="19">
        <v>29</v>
      </c>
      <c r="G192" s="33">
        <v>0.60416666666666696</v>
      </c>
      <c r="H192" s="32">
        <v>79.3541666666667</v>
      </c>
      <c r="I192" s="32">
        <v>720</v>
      </c>
      <c r="J192" s="16" t="s">
        <v>4289</v>
      </c>
      <c r="K192" s="16" t="s">
        <v>4290</v>
      </c>
      <c r="L192" s="16" t="s">
        <v>3924</v>
      </c>
    </row>
    <row r="193" spans="1:12" ht="19.5" customHeight="1" x14ac:dyDescent="0.35">
      <c r="A193" s="16" t="s">
        <v>1506</v>
      </c>
      <c r="B193" s="16" t="s">
        <v>1118</v>
      </c>
      <c r="C193" s="32">
        <v>63.466666666666697</v>
      </c>
      <c r="D193" s="32">
        <v>3808</v>
      </c>
      <c r="E193" s="19">
        <v>36</v>
      </c>
      <c r="F193" s="19">
        <v>13</v>
      </c>
      <c r="G193" s="33">
        <v>0.36111111111111099</v>
      </c>
      <c r="H193" s="32">
        <v>105.777777777778</v>
      </c>
      <c r="I193" s="32">
        <v>1100</v>
      </c>
      <c r="J193" s="16" t="s">
        <v>4291</v>
      </c>
      <c r="K193" s="16" t="s">
        <v>4292</v>
      </c>
      <c r="L193" s="16" t="s">
        <v>3907</v>
      </c>
    </row>
    <row r="194" spans="1:12" ht="19.5" customHeight="1" x14ac:dyDescent="0.35">
      <c r="A194" s="16" t="s">
        <v>1509</v>
      </c>
      <c r="B194" s="16" t="s">
        <v>963</v>
      </c>
      <c r="C194" s="32">
        <v>63.183333333333302</v>
      </c>
      <c r="D194" s="32">
        <v>3791</v>
      </c>
      <c r="E194" s="19">
        <v>78</v>
      </c>
      <c r="F194" s="19">
        <v>22</v>
      </c>
      <c r="G194" s="33">
        <v>0.28205128205128199</v>
      </c>
      <c r="H194" s="32">
        <v>48.602564102564102</v>
      </c>
      <c r="I194" s="32">
        <v>1230</v>
      </c>
      <c r="J194" s="16" t="s">
        <v>4293</v>
      </c>
      <c r="K194" s="16" t="s">
        <v>4294</v>
      </c>
      <c r="L194" s="16" t="s">
        <v>3907</v>
      </c>
    </row>
    <row r="195" spans="1:12" ht="19.5" customHeight="1" x14ac:dyDescent="0.35">
      <c r="A195" s="16" t="s">
        <v>1512</v>
      </c>
      <c r="B195" s="16" t="s">
        <v>1136</v>
      </c>
      <c r="C195" s="32">
        <v>63.05</v>
      </c>
      <c r="D195" s="32">
        <v>3783</v>
      </c>
      <c r="E195" s="19">
        <v>47</v>
      </c>
      <c r="F195" s="19">
        <v>17</v>
      </c>
      <c r="G195" s="33">
        <v>0.36170212765957499</v>
      </c>
      <c r="H195" s="32">
        <v>80.489361702127695</v>
      </c>
      <c r="I195" s="32">
        <v>900</v>
      </c>
      <c r="J195" s="16" t="s">
        <v>4295</v>
      </c>
      <c r="K195" s="16" t="s">
        <v>4296</v>
      </c>
      <c r="L195" s="16" t="s">
        <v>3907</v>
      </c>
    </row>
    <row r="196" spans="1:12" ht="19.5" customHeight="1" x14ac:dyDescent="0.35">
      <c r="A196" s="16" t="s">
        <v>1515</v>
      </c>
      <c r="B196" s="16" t="s">
        <v>1136</v>
      </c>
      <c r="C196" s="32">
        <v>62.716666666666697</v>
      </c>
      <c r="D196" s="32">
        <v>3763</v>
      </c>
      <c r="E196" s="19">
        <v>63</v>
      </c>
      <c r="F196" s="19">
        <v>34</v>
      </c>
      <c r="G196" s="33">
        <v>0.53968253968253999</v>
      </c>
      <c r="H196" s="32">
        <v>59.730158730158699</v>
      </c>
      <c r="I196" s="32">
        <v>480</v>
      </c>
      <c r="J196" s="16" t="s">
        <v>4297</v>
      </c>
      <c r="K196" s="16" t="s">
        <v>4298</v>
      </c>
      <c r="L196" s="16" t="s">
        <v>3907</v>
      </c>
    </row>
    <row r="197" spans="1:12" ht="19.5" customHeight="1" x14ac:dyDescent="0.35">
      <c r="A197" s="16" t="s">
        <v>1518</v>
      </c>
      <c r="B197" s="16" t="s">
        <v>905</v>
      </c>
      <c r="C197" s="32">
        <v>62.316666666666698</v>
      </c>
      <c r="D197" s="32">
        <v>3739</v>
      </c>
      <c r="E197" s="19">
        <v>48</v>
      </c>
      <c r="F197" s="19">
        <v>20</v>
      </c>
      <c r="G197" s="33">
        <v>0.41666666666666702</v>
      </c>
      <c r="H197" s="32">
        <v>77.8958333333333</v>
      </c>
      <c r="I197" s="32">
        <v>520</v>
      </c>
      <c r="J197" s="16" t="s">
        <v>4299</v>
      </c>
      <c r="K197" s="16" t="s">
        <v>4300</v>
      </c>
      <c r="L197" s="16" t="s">
        <v>3907</v>
      </c>
    </row>
    <row r="198" spans="1:12" ht="19.5" customHeight="1" x14ac:dyDescent="0.35">
      <c r="A198" s="16" t="s">
        <v>1521</v>
      </c>
      <c r="B198" s="16" t="s">
        <v>963</v>
      </c>
      <c r="C198" s="32">
        <v>61.733333333333299</v>
      </c>
      <c r="D198" s="32">
        <v>3704</v>
      </c>
      <c r="E198" s="19">
        <v>138</v>
      </c>
      <c r="F198" s="19">
        <v>33</v>
      </c>
      <c r="G198" s="33">
        <v>0.23913043478260901</v>
      </c>
      <c r="H198" s="32">
        <v>26.840579710144901</v>
      </c>
      <c r="I198" s="32">
        <v>540</v>
      </c>
      <c r="J198" s="16" t="s">
        <v>4301</v>
      </c>
      <c r="K198" s="16" t="s">
        <v>4302</v>
      </c>
      <c r="L198" s="16" t="s">
        <v>3907</v>
      </c>
    </row>
    <row r="199" spans="1:12" ht="19.5" customHeight="1" x14ac:dyDescent="0.35">
      <c r="A199" s="16" t="s">
        <v>1524</v>
      </c>
      <c r="B199" s="16" t="s">
        <v>1122</v>
      </c>
      <c r="C199" s="32">
        <v>59.8333333333333</v>
      </c>
      <c r="D199" s="32">
        <v>3590</v>
      </c>
      <c r="E199" s="19">
        <v>101</v>
      </c>
      <c r="F199" s="19">
        <v>22</v>
      </c>
      <c r="G199" s="33">
        <v>0.21782178217821799</v>
      </c>
      <c r="H199" s="32">
        <v>35.5445544554455</v>
      </c>
      <c r="I199" s="32">
        <v>600</v>
      </c>
      <c r="J199" s="16" t="s">
        <v>4303</v>
      </c>
      <c r="K199" s="16" t="s">
        <v>4304</v>
      </c>
      <c r="L199" s="16" t="s">
        <v>3907</v>
      </c>
    </row>
    <row r="200" spans="1:12" ht="19.5" customHeight="1" x14ac:dyDescent="0.35">
      <c r="A200" s="16" t="s">
        <v>1527</v>
      </c>
      <c r="B200" s="16" t="s">
        <v>905</v>
      </c>
      <c r="C200" s="32">
        <v>59.75</v>
      </c>
      <c r="D200" s="32">
        <v>3585</v>
      </c>
      <c r="E200" s="19">
        <v>66</v>
      </c>
      <c r="F200" s="19">
        <v>35</v>
      </c>
      <c r="G200" s="33">
        <v>0.53030303030303005</v>
      </c>
      <c r="H200" s="32">
        <v>54.318181818181799</v>
      </c>
      <c r="I200" s="32">
        <v>420</v>
      </c>
      <c r="J200" s="16" t="s">
        <v>4305</v>
      </c>
      <c r="K200" s="16" t="s">
        <v>4306</v>
      </c>
      <c r="L200" s="16" t="s">
        <v>3907</v>
      </c>
    </row>
    <row r="201" spans="1:12" ht="19.5" customHeight="1" x14ac:dyDescent="0.35">
      <c r="A201" s="16" t="s">
        <v>1530</v>
      </c>
      <c r="B201" s="16" t="s">
        <v>996</v>
      </c>
      <c r="C201" s="32">
        <v>59.5</v>
      </c>
      <c r="D201" s="32">
        <v>3570</v>
      </c>
      <c r="E201" s="19">
        <v>56</v>
      </c>
      <c r="F201" s="19">
        <v>22</v>
      </c>
      <c r="G201" s="33">
        <v>0.39285714285714302</v>
      </c>
      <c r="H201" s="32">
        <v>63.75</v>
      </c>
      <c r="I201" s="32">
        <v>660</v>
      </c>
      <c r="J201" s="16" t="s">
        <v>4307</v>
      </c>
      <c r="K201" s="16" t="s">
        <v>4308</v>
      </c>
      <c r="L201" s="16" t="s">
        <v>3907</v>
      </c>
    </row>
    <row r="202" spans="1:12" ht="19.5" customHeight="1" x14ac:dyDescent="0.35">
      <c r="A202" s="16" t="s">
        <v>1533</v>
      </c>
      <c r="B202" s="16" t="s">
        <v>1299</v>
      </c>
      <c r="C202" s="32">
        <v>59.016666666666701</v>
      </c>
      <c r="D202" s="32">
        <v>3541</v>
      </c>
      <c r="E202" s="19">
        <v>58</v>
      </c>
      <c r="F202" s="19">
        <v>13</v>
      </c>
      <c r="G202" s="33">
        <v>0.22413793103448301</v>
      </c>
      <c r="H202" s="32">
        <v>61.051724137930997</v>
      </c>
      <c r="I202" s="32">
        <v>960</v>
      </c>
      <c r="J202" s="16" t="s">
        <v>4309</v>
      </c>
      <c r="K202" s="16" t="s">
        <v>4310</v>
      </c>
      <c r="L202" s="16" t="s">
        <v>3941</v>
      </c>
    </row>
    <row r="203" spans="1:12" ht="19.5" customHeight="1" x14ac:dyDescent="0.35">
      <c r="A203" s="16" t="s">
        <v>1536</v>
      </c>
      <c r="B203" s="16" t="s">
        <v>1009</v>
      </c>
      <c r="C203" s="32">
        <v>58.866666666666703</v>
      </c>
      <c r="D203" s="32">
        <v>3532</v>
      </c>
      <c r="E203" s="19">
        <v>172</v>
      </c>
      <c r="F203" s="19">
        <v>44</v>
      </c>
      <c r="G203" s="33">
        <v>0.25581395348837199</v>
      </c>
      <c r="H203" s="32">
        <v>20.5348837209302</v>
      </c>
      <c r="I203" s="32">
        <v>480</v>
      </c>
      <c r="J203" s="16" t="s">
        <v>4311</v>
      </c>
      <c r="K203" s="16" t="s">
        <v>4312</v>
      </c>
      <c r="L203" s="16" t="s">
        <v>3907</v>
      </c>
    </row>
    <row r="204" spans="1:12" ht="19.5" customHeight="1" x14ac:dyDescent="0.35">
      <c r="A204" s="16" t="s">
        <v>1539</v>
      </c>
      <c r="B204" s="16" t="s">
        <v>973</v>
      </c>
      <c r="C204" s="32">
        <v>58.75</v>
      </c>
      <c r="D204" s="32">
        <v>3525</v>
      </c>
      <c r="E204" s="19">
        <v>44</v>
      </c>
      <c r="F204" s="19">
        <v>20</v>
      </c>
      <c r="G204" s="33">
        <v>0.45454545454545497</v>
      </c>
      <c r="H204" s="32">
        <v>80.113636363636402</v>
      </c>
      <c r="I204" s="32">
        <v>1500</v>
      </c>
      <c r="J204" s="16" t="s">
        <v>4313</v>
      </c>
      <c r="K204" s="16" t="s">
        <v>4314</v>
      </c>
      <c r="L204" s="16" t="s">
        <v>3907</v>
      </c>
    </row>
    <row r="205" spans="1:12" ht="19.5" customHeight="1" x14ac:dyDescent="0.35">
      <c r="A205" s="16" t="s">
        <v>1542</v>
      </c>
      <c r="B205" s="16" t="s">
        <v>1136</v>
      </c>
      <c r="C205" s="32">
        <v>57.016666666666701</v>
      </c>
      <c r="D205" s="32">
        <v>3421</v>
      </c>
      <c r="E205" s="19">
        <v>27</v>
      </c>
      <c r="F205" s="19">
        <v>15</v>
      </c>
      <c r="G205" s="33">
        <v>0.55555555555555602</v>
      </c>
      <c r="H205" s="32">
        <v>126.70370370370399</v>
      </c>
      <c r="I205" s="32">
        <v>2270</v>
      </c>
      <c r="J205" s="16" t="s">
        <v>4315</v>
      </c>
      <c r="K205" s="16" t="s">
        <v>4316</v>
      </c>
      <c r="L205" s="16" t="s">
        <v>3924</v>
      </c>
    </row>
    <row r="206" spans="1:12" ht="19.5" customHeight="1" x14ac:dyDescent="0.35">
      <c r="A206" s="16" t="s">
        <v>1545</v>
      </c>
      <c r="B206" s="16" t="s">
        <v>1084</v>
      </c>
      <c r="C206" s="32">
        <v>56.733333333333299</v>
      </c>
      <c r="D206" s="32">
        <v>3404</v>
      </c>
      <c r="E206" s="19">
        <v>71</v>
      </c>
      <c r="F206" s="19">
        <v>19</v>
      </c>
      <c r="G206" s="33">
        <v>0.26760563380281699</v>
      </c>
      <c r="H206" s="32">
        <v>47.943661971830998</v>
      </c>
      <c r="I206" s="32">
        <v>700</v>
      </c>
      <c r="J206" s="16" t="s">
        <v>4317</v>
      </c>
      <c r="K206" s="16" t="s">
        <v>4318</v>
      </c>
      <c r="L206" s="16" t="s">
        <v>3941</v>
      </c>
    </row>
    <row r="207" spans="1:12" ht="19.5" customHeight="1" x14ac:dyDescent="0.35">
      <c r="A207" s="16" t="s">
        <v>1548</v>
      </c>
      <c r="B207" s="16" t="s">
        <v>1122</v>
      </c>
      <c r="C207" s="32">
        <v>56.516666666666701</v>
      </c>
      <c r="D207" s="32">
        <v>3391</v>
      </c>
      <c r="E207" s="19">
        <v>100</v>
      </c>
      <c r="F207" s="19">
        <v>28</v>
      </c>
      <c r="G207" s="33">
        <v>0.28000000000000003</v>
      </c>
      <c r="H207" s="32">
        <v>33.909999999999997</v>
      </c>
      <c r="I207" s="32">
        <v>519</v>
      </c>
      <c r="J207" s="16" t="s">
        <v>4319</v>
      </c>
      <c r="K207" s="16" t="s">
        <v>4320</v>
      </c>
      <c r="L207" s="16" t="s">
        <v>3907</v>
      </c>
    </row>
    <row r="208" spans="1:12" ht="19.5" customHeight="1" x14ac:dyDescent="0.35">
      <c r="A208" s="16" t="s">
        <v>1551</v>
      </c>
      <c r="B208" s="16" t="s">
        <v>1084</v>
      </c>
      <c r="C208" s="32">
        <v>56.433333333333302</v>
      </c>
      <c r="D208" s="32">
        <v>3386</v>
      </c>
      <c r="E208" s="19">
        <v>69</v>
      </c>
      <c r="F208" s="19">
        <v>15</v>
      </c>
      <c r="G208" s="33">
        <v>0.217391304347826</v>
      </c>
      <c r="H208" s="32">
        <v>49.072463768116002</v>
      </c>
      <c r="I208" s="32">
        <v>614</v>
      </c>
      <c r="J208" s="16" t="s">
        <v>4321</v>
      </c>
      <c r="K208" s="16" t="s">
        <v>4322</v>
      </c>
      <c r="L208" s="16" t="s">
        <v>3941</v>
      </c>
    </row>
    <row r="209" spans="1:12" ht="19.5" customHeight="1" x14ac:dyDescent="0.35">
      <c r="A209" s="16" t="s">
        <v>1554</v>
      </c>
      <c r="B209" s="16" t="s">
        <v>1077</v>
      </c>
      <c r="C209" s="32">
        <v>55.9166666666667</v>
      </c>
      <c r="D209" s="32">
        <v>3355</v>
      </c>
      <c r="E209" s="19">
        <v>175</v>
      </c>
      <c r="F209" s="19">
        <v>19</v>
      </c>
      <c r="G209" s="33">
        <v>0.108571428571429</v>
      </c>
      <c r="H209" s="32">
        <v>19.171428571428599</v>
      </c>
      <c r="I209" s="32">
        <v>480</v>
      </c>
      <c r="J209" s="16" t="s">
        <v>4323</v>
      </c>
      <c r="K209" s="16" t="s">
        <v>4324</v>
      </c>
      <c r="L209" s="16" t="s">
        <v>3941</v>
      </c>
    </row>
    <row r="210" spans="1:12" ht="19.5" customHeight="1" x14ac:dyDescent="0.35">
      <c r="A210" s="16" t="s">
        <v>1557</v>
      </c>
      <c r="B210" s="16" t="s">
        <v>1240</v>
      </c>
      <c r="C210" s="32">
        <v>55.3333333333333</v>
      </c>
      <c r="D210" s="32">
        <v>3320</v>
      </c>
      <c r="E210" s="19">
        <v>118</v>
      </c>
      <c r="F210" s="19">
        <v>29</v>
      </c>
      <c r="G210" s="33">
        <v>0.24576271186440701</v>
      </c>
      <c r="H210" s="32">
        <v>28.135593220339</v>
      </c>
      <c r="I210" s="32">
        <v>400</v>
      </c>
      <c r="J210" s="16" t="s">
        <v>4325</v>
      </c>
      <c r="K210" s="16" t="s">
        <v>4326</v>
      </c>
      <c r="L210" s="16" t="s">
        <v>3907</v>
      </c>
    </row>
    <row r="211" spans="1:12" ht="19.5" customHeight="1" x14ac:dyDescent="0.35">
      <c r="A211" s="16" t="s">
        <v>1560</v>
      </c>
      <c r="B211" s="16" t="s">
        <v>921</v>
      </c>
      <c r="C211" s="32">
        <v>55.266666666666701</v>
      </c>
      <c r="D211" s="32">
        <v>3316</v>
      </c>
      <c r="E211" s="19">
        <v>71</v>
      </c>
      <c r="F211" s="19">
        <v>25</v>
      </c>
      <c r="G211" s="33">
        <v>0.352112676056338</v>
      </c>
      <c r="H211" s="32">
        <v>46.704225352112701</v>
      </c>
      <c r="I211" s="32">
        <v>480</v>
      </c>
      <c r="J211" s="16" t="s">
        <v>4327</v>
      </c>
      <c r="K211" s="16" t="s">
        <v>4328</v>
      </c>
      <c r="L211" s="16" t="s">
        <v>3907</v>
      </c>
    </row>
    <row r="212" spans="1:12" ht="19.5" customHeight="1" x14ac:dyDescent="0.35">
      <c r="A212" s="16" t="s">
        <v>1563</v>
      </c>
      <c r="B212" s="16" t="s">
        <v>921</v>
      </c>
      <c r="C212" s="32">
        <v>54.933333333333302</v>
      </c>
      <c r="D212" s="32">
        <v>3296</v>
      </c>
      <c r="E212" s="19">
        <v>77</v>
      </c>
      <c r="F212" s="19">
        <v>28</v>
      </c>
      <c r="G212" s="33">
        <v>0.36363636363636398</v>
      </c>
      <c r="H212" s="32">
        <v>42.805194805194802</v>
      </c>
      <c r="I212" s="32">
        <v>480</v>
      </c>
      <c r="J212" s="16" t="s">
        <v>4329</v>
      </c>
      <c r="K212" s="16" t="s">
        <v>4330</v>
      </c>
      <c r="L212" s="16" t="s">
        <v>3907</v>
      </c>
    </row>
    <row r="213" spans="1:12" ht="19.5" customHeight="1" x14ac:dyDescent="0.35">
      <c r="A213" s="16" t="s">
        <v>1566</v>
      </c>
      <c r="B213" s="16" t="s">
        <v>946</v>
      </c>
      <c r="C213" s="32">
        <v>54.35</v>
      </c>
      <c r="D213" s="32">
        <v>3261</v>
      </c>
      <c r="E213" s="19">
        <v>48</v>
      </c>
      <c r="F213" s="19">
        <v>31</v>
      </c>
      <c r="G213" s="33">
        <v>0.64583333333333304</v>
      </c>
      <c r="H213" s="32">
        <v>67.9375</v>
      </c>
      <c r="I213" s="32">
        <v>426</v>
      </c>
      <c r="J213" s="16" t="s">
        <v>4331</v>
      </c>
      <c r="K213" s="16" t="s">
        <v>4332</v>
      </c>
      <c r="L213" s="16" t="s">
        <v>3907</v>
      </c>
    </row>
    <row r="214" spans="1:12" ht="19.5" customHeight="1" x14ac:dyDescent="0.35">
      <c r="A214" s="16" t="s">
        <v>1569</v>
      </c>
      <c r="B214" s="16" t="s">
        <v>973</v>
      </c>
      <c r="C214" s="32">
        <v>53.283333333333303</v>
      </c>
      <c r="D214" s="32">
        <v>3197</v>
      </c>
      <c r="E214" s="19">
        <v>53</v>
      </c>
      <c r="F214" s="19">
        <v>29</v>
      </c>
      <c r="G214" s="33">
        <v>0.54716981132075504</v>
      </c>
      <c r="H214" s="32">
        <v>60.320754716981099</v>
      </c>
      <c r="I214" s="32">
        <v>420</v>
      </c>
      <c r="J214" s="16" t="s">
        <v>4333</v>
      </c>
      <c r="K214" s="16" t="s">
        <v>4334</v>
      </c>
      <c r="L214" s="16" t="s">
        <v>3907</v>
      </c>
    </row>
    <row r="215" spans="1:12" ht="19.5" customHeight="1" x14ac:dyDescent="0.35">
      <c r="A215" s="16" t="s">
        <v>1572</v>
      </c>
      <c r="B215" s="16" t="s">
        <v>1122</v>
      </c>
      <c r="C215" s="32">
        <v>53.016666666666701</v>
      </c>
      <c r="D215" s="32">
        <v>3181</v>
      </c>
      <c r="E215" s="19">
        <v>132</v>
      </c>
      <c r="F215" s="19">
        <v>30</v>
      </c>
      <c r="G215" s="33">
        <v>0.22727272727272699</v>
      </c>
      <c r="H215" s="32">
        <v>24.098484848484901</v>
      </c>
      <c r="I215" s="32">
        <v>420</v>
      </c>
      <c r="J215" s="16" t="s">
        <v>4335</v>
      </c>
      <c r="K215" s="16" t="s">
        <v>4336</v>
      </c>
      <c r="L215" s="16" t="s">
        <v>3907</v>
      </c>
    </row>
    <row r="216" spans="1:12" ht="19.5" customHeight="1" x14ac:dyDescent="0.35">
      <c r="A216" s="16" t="s">
        <v>1575</v>
      </c>
      <c r="B216" s="16" t="s">
        <v>1077</v>
      </c>
      <c r="C216" s="32">
        <v>52.0833333333333</v>
      </c>
      <c r="D216" s="32">
        <v>3125</v>
      </c>
      <c r="E216" s="19">
        <v>151</v>
      </c>
      <c r="F216" s="19">
        <v>12</v>
      </c>
      <c r="G216" s="33">
        <v>7.9470198675496706E-2</v>
      </c>
      <c r="H216" s="32">
        <v>20.695364238410601</v>
      </c>
      <c r="I216" s="32">
        <v>1000</v>
      </c>
      <c r="J216" s="16" t="s">
        <v>4337</v>
      </c>
      <c r="K216" s="16" t="s">
        <v>4338</v>
      </c>
      <c r="L216" s="16" t="s">
        <v>3941</v>
      </c>
    </row>
    <row r="217" spans="1:12" ht="19.5" customHeight="1" x14ac:dyDescent="0.35">
      <c r="A217" s="16" t="s">
        <v>1578</v>
      </c>
      <c r="B217" s="16" t="s">
        <v>898</v>
      </c>
      <c r="C217" s="32">
        <v>51.95</v>
      </c>
      <c r="D217" s="32">
        <v>3117</v>
      </c>
      <c r="E217" s="19">
        <v>67</v>
      </c>
      <c r="F217" s="19">
        <v>31</v>
      </c>
      <c r="G217" s="33">
        <v>0.462686567164179</v>
      </c>
      <c r="H217" s="32">
        <v>46.522388059701498</v>
      </c>
      <c r="I217" s="32">
        <v>339</v>
      </c>
      <c r="J217" s="16" t="s">
        <v>4339</v>
      </c>
      <c r="K217" s="16" t="s">
        <v>4340</v>
      </c>
      <c r="L217" s="16" t="s">
        <v>3907</v>
      </c>
    </row>
    <row r="218" spans="1:12" ht="19.5" customHeight="1" x14ac:dyDescent="0.35">
      <c r="A218" s="16" t="s">
        <v>1581</v>
      </c>
      <c r="B218" s="16" t="s">
        <v>1582</v>
      </c>
      <c r="C218" s="32">
        <v>51.133333333333297</v>
      </c>
      <c r="D218" s="32">
        <v>3068</v>
      </c>
      <c r="E218" s="19">
        <v>62</v>
      </c>
      <c r="F218" s="19">
        <v>22</v>
      </c>
      <c r="G218" s="33">
        <v>0.35483870967741898</v>
      </c>
      <c r="H218" s="32">
        <v>49.4838709677419</v>
      </c>
      <c r="I218" s="32">
        <v>480</v>
      </c>
      <c r="J218" s="16" t="s">
        <v>4341</v>
      </c>
      <c r="K218" s="16" t="s">
        <v>4342</v>
      </c>
      <c r="L218" s="16" t="s">
        <v>3907</v>
      </c>
    </row>
    <row r="219" spans="1:12" ht="19.5" customHeight="1" x14ac:dyDescent="0.35">
      <c r="A219" s="16" t="s">
        <v>1585</v>
      </c>
      <c r="B219" s="16" t="s">
        <v>1070</v>
      </c>
      <c r="C219" s="32">
        <v>50.816666666666698</v>
      </c>
      <c r="D219" s="32">
        <v>3049</v>
      </c>
      <c r="E219" s="19">
        <v>79</v>
      </c>
      <c r="F219" s="19">
        <v>33</v>
      </c>
      <c r="G219" s="33">
        <v>0.417721518987342</v>
      </c>
      <c r="H219" s="32">
        <v>38.5949367088608</v>
      </c>
      <c r="I219" s="32">
        <v>450</v>
      </c>
      <c r="J219" s="16" t="s">
        <v>4343</v>
      </c>
      <c r="K219" s="16" t="s">
        <v>4344</v>
      </c>
      <c r="L219" s="16" t="s">
        <v>3907</v>
      </c>
    </row>
    <row r="220" spans="1:12" ht="19.5" customHeight="1" x14ac:dyDescent="0.35">
      <c r="A220" s="16" t="s">
        <v>1588</v>
      </c>
      <c r="B220" s="16" t="s">
        <v>1136</v>
      </c>
      <c r="C220" s="32">
        <v>50.35</v>
      </c>
      <c r="D220" s="32">
        <v>3021</v>
      </c>
      <c r="E220" s="19">
        <v>64</v>
      </c>
      <c r="F220" s="19">
        <v>24</v>
      </c>
      <c r="G220" s="33">
        <v>0.375</v>
      </c>
      <c r="H220" s="32">
        <v>47.203125</v>
      </c>
      <c r="I220" s="32">
        <v>460</v>
      </c>
      <c r="J220" s="16" t="s">
        <v>4345</v>
      </c>
      <c r="K220" s="16" t="s">
        <v>4346</v>
      </c>
      <c r="L220" s="16" t="s">
        <v>3907</v>
      </c>
    </row>
    <row r="221" spans="1:12" ht="19.5" customHeight="1" x14ac:dyDescent="0.35">
      <c r="A221" s="16" t="s">
        <v>1591</v>
      </c>
      <c r="B221" s="16" t="s">
        <v>929</v>
      </c>
      <c r="C221" s="32">
        <v>49.5</v>
      </c>
      <c r="D221" s="32">
        <v>2970</v>
      </c>
      <c r="E221" s="19">
        <v>8</v>
      </c>
      <c r="F221" s="19">
        <v>6</v>
      </c>
      <c r="G221" s="33">
        <v>0.75</v>
      </c>
      <c r="H221" s="32">
        <v>371.25</v>
      </c>
      <c r="I221" s="32">
        <v>1740</v>
      </c>
      <c r="J221" s="16" t="s">
        <v>4347</v>
      </c>
      <c r="K221" s="16" t="s">
        <v>4348</v>
      </c>
      <c r="L221" s="16" t="s">
        <v>4349</v>
      </c>
    </row>
    <row r="222" spans="1:12" ht="19.5" customHeight="1" x14ac:dyDescent="0.35">
      <c r="A222" s="16" t="s">
        <v>1594</v>
      </c>
      <c r="B222" s="16" t="s">
        <v>909</v>
      </c>
      <c r="C222" s="32">
        <v>48.9166666666667</v>
      </c>
      <c r="D222" s="32">
        <v>2935</v>
      </c>
      <c r="E222" s="19">
        <v>43</v>
      </c>
      <c r="F222" s="19">
        <v>27</v>
      </c>
      <c r="G222" s="33">
        <v>0.62790697674418605</v>
      </c>
      <c r="H222" s="32">
        <v>68.255813953488399</v>
      </c>
      <c r="I222" s="32">
        <v>460</v>
      </c>
      <c r="J222" s="16" t="s">
        <v>4350</v>
      </c>
      <c r="K222" s="16" t="s">
        <v>4351</v>
      </c>
      <c r="L222" s="16" t="s">
        <v>3907</v>
      </c>
    </row>
    <row r="223" spans="1:12" ht="19.5" customHeight="1" x14ac:dyDescent="0.35">
      <c r="A223" s="16" t="s">
        <v>1597</v>
      </c>
      <c r="B223" s="16" t="s">
        <v>1101</v>
      </c>
      <c r="C223" s="32">
        <v>48.533333333333303</v>
      </c>
      <c r="D223" s="32">
        <v>2912</v>
      </c>
      <c r="E223" s="19">
        <v>70</v>
      </c>
      <c r="F223" s="19">
        <v>23</v>
      </c>
      <c r="G223" s="33">
        <v>0.32857142857142901</v>
      </c>
      <c r="H223" s="32">
        <v>41.6</v>
      </c>
      <c r="I223" s="32">
        <v>399</v>
      </c>
      <c r="J223" s="16" t="s">
        <v>4352</v>
      </c>
      <c r="K223" s="16" t="s">
        <v>4353</v>
      </c>
      <c r="L223" s="16" t="s">
        <v>3907</v>
      </c>
    </row>
    <row r="224" spans="1:12" ht="19.5" customHeight="1" x14ac:dyDescent="0.35">
      <c r="A224" s="16" t="s">
        <v>1600</v>
      </c>
      <c r="B224" s="16" t="s">
        <v>1122</v>
      </c>
      <c r="C224" s="32">
        <v>47.6666666666667</v>
      </c>
      <c r="D224" s="32">
        <v>2860</v>
      </c>
      <c r="E224" s="19">
        <v>80</v>
      </c>
      <c r="F224" s="19">
        <v>26</v>
      </c>
      <c r="G224" s="33">
        <v>0.32500000000000001</v>
      </c>
      <c r="H224" s="32">
        <v>35.75</v>
      </c>
      <c r="I224" s="32">
        <v>480</v>
      </c>
      <c r="J224" s="16" t="s">
        <v>4354</v>
      </c>
      <c r="K224" s="16" t="s">
        <v>4355</v>
      </c>
      <c r="L224" s="16" t="s">
        <v>3907</v>
      </c>
    </row>
    <row r="225" spans="1:12" ht="19.5" customHeight="1" x14ac:dyDescent="0.35">
      <c r="A225" s="16" t="s">
        <v>1603</v>
      </c>
      <c r="B225" s="16" t="s">
        <v>913</v>
      </c>
      <c r="C225" s="32">
        <v>47.35</v>
      </c>
      <c r="D225" s="32">
        <v>2841</v>
      </c>
      <c r="E225" s="19">
        <v>64</v>
      </c>
      <c r="F225" s="19">
        <v>34</v>
      </c>
      <c r="G225" s="33">
        <v>0.53125</v>
      </c>
      <c r="H225" s="32">
        <v>44.390625</v>
      </c>
      <c r="I225" s="32">
        <v>350</v>
      </c>
      <c r="J225" s="16" t="s">
        <v>4356</v>
      </c>
      <c r="K225" s="16" t="s">
        <v>4357</v>
      </c>
      <c r="L225" s="16" t="s">
        <v>3907</v>
      </c>
    </row>
    <row r="226" spans="1:12" ht="19.5" customHeight="1" x14ac:dyDescent="0.35">
      <c r="A226" s="16" t="s">
        <v>1606</v>
      </c>
      <c r="B226" s="16" t="s">
        <v>1077</v>
      </c>
      <c r="C226" s="32">
        <v>46.6666666666667</v>
      </c>
      <c r="D226" s="32">
        <v>2800</v>
      </c>
      <c r="E226" s="19">
        <v>109</v>
      </c>
      <c r="F226" s="19">
        <v>12</v>
      </c>
      <c r="G226" s="33">
        <v>0.11009174311926601</v>
      </c>
      <c r="H226" s="32">
        <v>25.688073394495401</v>
      </c>
      <c r="I226" s="32">
        <v>720</v>
      </c>
      <c r="J226" s="16" t="s">
        <v>4358</v>
      </c>
      <c r="K226" s="16" t="s">
        <v>4359</v>
      </c>
      <c r="L226" s="16" t="s">
        <v>4360</v>
      </c>
    </row>
    <row r="227" spans="1:12" ht="19.5" customHeight="1" x14ac:dyDescent="0.35">
      <c r="A227" s="16" t="s">
        <v>1609</v>
      </c>
      <c r="B227" s="16" t="s">
        <v>1240</v>
      </c>
      <c r="C227" s="32">
        <v>46.5</v>
      </c>
      <c r="D227" s="32">
        <v>2790</v>
      </c>
      <c r="E227" s="19">
        <v>58</v>
      </c>
      <c r="F227" s="19">
        <v>18</v>
      </c>
      <c r="G227" s="33">
        <v>0.31034482758620702</v>
      </c>
      <c r="H227" s="32">
        <v>48.1034482758621</v>
      </c>
      <c r="I227" s="32">
        <v>1200</v>
      </c>
      <c r="J227" s="16" t="s">
        <v>4361</v>
      </c>
      <c r="K227" s="16" t="s">
        <v>4362</v>
      </c>
      <c r="L227" s="16" t="s">
        <v>3907</v>
      </c>
    </row>
    <row r="228" spans="1:12" ht="19.5" customHeight="1" x14ac:dyDescent="0.35">
      <c r="A228" s="16" t="s">
        <v>1612</v>
      </c>
      <c r="B228" s="16" t="s">
        <v>1240</v>
      </c>
      <c r="C228" s="32">
        <v>46.45</v>
      </c>
      <c r="D228" s="32">
        <v>2787</v>
      </c>
      <c r="E228" s="19">
        <v>62</v>
      </c>
      <c r="F228" s="19">
        <v>19</v>
      </c>
      <c r="G228" s="33">
        <v>0.30645161290322598</v>
      </c>
      <c r="H228" s="32">
        <v>44.951612903225801</v>
      </c>
      <c r="I228" s="32">
        <v>960</v>
      </c>
      <c r="J228" s="16" t="s">
        <v>4363</v>
      </c>
      <c r="K228" s="16" t="s">
        <v>4364</v>
      </c>
      <c r="L228" s="16" t="s">
        <v>3907</v>
      </c>
    </row>
    <row r="229" spans="1:12" ht="19.5" customHeight="1" x14ac:dyDescent="0.35">
      <c r="A229" s="16" t="s">
        <v>1615</v>
      </c>
      <c r="B229" s="16" t="s">
        <v>1157</v>
      </c>
      <c r="C229" s="32">
        <v>46.3333333333333</v>
      </c>
      <c r="D229" s="32">
        <v>2780</v>
      </c>
      <c r="E229" s="19">
        <v>53</v>
      </c>
      <c r="F229" s="19">
        <v>23</v>
      </c>
      <c r="G229" s="33">
        <v>0.43396226415094302</v>
      </c>
      <c r="H229" s="32">
        <v>52.452830188679201</v>
      </c>
      <c r="I229" s="32">
        <v>600</v>
      </c>
      <c r="J229" s="16" t="s">
        <v>4365</v>
      </c>
      <c r="K229" s="16" t="s">
        <v>4366</v>
      </c>
      <c r="L229" s="16" t="s">
        <v>4165</v>
      </c>
    </row>
    <row r="230" spans="1:12" ht="19.5" customHeight="1" x14ac:dyDescent="0.35">
      <c r="A230" s="16" t="s">
        <v>1618</v>
      </c>
      <c r="B230" s="16" t="s">
        <v>1299</v>
      </c>
      <c r="C230" s="32">
        <v>46.116666666666703</v>
      </c>
      <c r="D230" s="32">
        <v>2767</v>
      </c>
      <c r="E230" s="19">
        <v>46</v>
      </c>
      <c r="F230" s="19">
        <v>16</v>
      </c>
      <c r="G230" s="33">
        <v>0.34782608695652201</v>
      </c>
      <c r="H230" s="32">
        <v>60.152173913043498</v>
      </c>
      <c r="I230" s="32">
        <v>1109</v>
      </c>
      <c r="J230" s="16" t="s">
        <v>4367</v>
      </c>
      <c r="K230" s="16" t="s">
        <v>4368</v>
      </c>
      <c r="L230" s="16" t="s">
        <v>3941</v>
      </c>
    </row>
    <row r="231" spans="1:12" ht="19.5" customHeight="1" x14ac:dyDescent="0.35">
      <c r="A231" s="16" t="s">
        <v>1621</v>
      </c>
      <c r="B231" s="16" t="s">
        <v>946</v>
      </c>
      <c r="C231" s="32">
        <v>45.933333333333302</v>
      </c>
      <c r="D231" s="32">
        <v>2756</v>
      </c>
      <c r="E231" s="19">
        <v>29</v>
      </c>
      <c r="F231" s="19">
        <v>16</v>
      </c>
      <c r="G231" s="33">
        <v>0.55172413793103503</v>
      </c>
      <c r="H231" s="32">
        <v>95.034482758620697</v>
      </c>
      <c r="I231" s="32">
        <v>1258</v>
      </c>
      <c r="J231" s="16" t="s">
        <v>4369</v>
      </c>
      <c r="K231" s="16" t="s">
        <v>4370</v>
      </c>
      <c r="L231" s="16" t="s">
        <v>3907</v>
      </c>
    </row>
    <row r="232" spans="1:12" ht="19.5" customHeight="1" x14ac:dyDescent="0.35">
      <c r="A232" s="16" t="s">
        <v>1624</v>
      </c>
      <c r="B232" s="16" t="s">
        <v>905</v>
      </c>
      <c r="C232" s="32">
        <v>45.233333333333299</v>
      </c>
      <c r="D232" s="32">
        <v>2714</v>
      </c>
      <c r="E232" s="19">
        <v>65</v>
      </c>
      <c r="F232" s="19">
        <v>33</v>
      </c>
      <c r="G232" s="33">
        <v>0.507692307692308</v>
      </c>
      <c r="H232" s="32">
        <v>41.753846153846197</v>
      </c>
      <c r="I232" s="32">
        <v>480</v>
      </c>
      <c r="J232" s="16" t="s">
        <v>4371</v>
      </c>
      <c r="K232" s="16" t="s">
        <v>4372</v>
      </c>
      <c r="L232" s="16" t="s">
        <v>3907</v>
      </c>
    </row>
    <row r="233" spans="1:12" ht="19.5" customHeight="1" x14ac:dyDescent="0.35">
      <c r="A233" s="16" t="s">
        <v>1627</v>
      </c>
      <c r="B233" s="16" t="s">
        <v>946</v>
      </c>
      <c r="C233" s="32">
        <v>45.066666666666698</v>
      </c>
      <c r="D233" s="32">
        <v>2704</v>
      </c>
      <c r="E233" s="19">
        <v>47</v>
      </c>
      <c r="F233" s="19">
        <v>32</v>
      </c>
      <c r="G233" s="33">
        <v>0.680851063829787</v>
      </c>
      <c r="H233" s="32">
        <v>57.531914893617</v>
      </c>
      <c r="I233" s="32">
        <v>240</v>
      </c>
      <c r="J233" s="16" t="s">
        <v>4373</v>
      </c>
      <c r="K233" s="16" t="s">
        <v>4374</v>
      </c>
      <c r="L233" s="16" t="s">
        <v>3907</v>
      </c>
    </row>
    <row r="234" spans="1:12" ht="19.5" customHeight="1" x14ac:dyDescent="0.35">
      <c r="A234" s="16" t="s">
        <v>1630</v>
      </c>
      <c r="B234" s="16" t="s">
        <v>1077</v>
      </c>
      <c r="C234" s="32">
        <v>44.9166666666667</v>
      </c>
      <c r="D234" s="32">
        <v>2695</v>
      </c>
      <c r="E234" s="19">
        <v>83</v>
      </c>
      <c r="F234" s="19">
        <v>9</v>
      </c>
      <c r="G234" s="33">
        <v>0.108433734939759</v>
      </c>
      <c r="H234" s="32">
        <v>32.469879518072297</v>
      </c>
      <c r="I234" s="32">
        <v>1920</v>
      </c>
      <c r="J234" s="16" t="s">
        <v>4375</v>
      </c>
      <c r="K234" s="16" t="s">
        <v>4376</v>
      </c>
      <c r="L234" s="16" t="s">
        <v>4360</v>
      </c>
    </row>
    <row r="235" spans="1:12" ht="19.5" customHeight="1" x14ac:dyDescent="0.35">
      <c r="A235" s="16" t="s">
        <v>1633</v>
      </c>
      <c r="B235" s="16" t="s">
        <v>1240</v>
      </c>
      <c r="C235" s="32">
        <v>44.866666666666703</v>
      </c>
      <c r="D235" s="32">
        <v>2692</v>
      </c>
      <c r="E235" s="19">
        <v>84</v>
      </c>
      <c r="F235" s="19">
        <v>31</v>
      </c>
      <c r="G235" s="33">
        <v>0.36904761904761901</v>
      </c>
      <c r="H235" s="32">
        <v>32.047619047619101</v>
      </c>
      <c r="I235" s="32">
        <v>360</v>
      </c>
      <c r="J235" s="16" t="s">
        <v>4377</v>
      </c>
      <c r="K235" s="16" t="s">
        <v>4378</v>
      </c>
      <c r="L235" s="16" t="s">
        <v>3907</v>
      </c>
    </row>
    <row r="236" spans="1:12" ht="19.5" customHeight="1" x14ac:dyDescent="0.35">
      <c r="A236" s="16" t="s">
        <v>1636</v>
      </c>
      <c r="B236" s="16" t="s">
        <v>1136</v>
      </c>
      <c r="C236" s="32">
        <v>44.566666666666698</v>
      </c>
      <c r="D236" s="32">
        <v>2674</v>
      </c>
      <c r="E236" s="19">
        <v>47</v>
      </c>
      <c r="F236" s="19">
        <v>25</v>
      </c>
      <c r="G236" s="33">
        <v>0.53191489361702105</v>
      </c>
      <c r="H236" s="32">
        <v>56.893617021276597</v>
      </c>
      <c r="I236" s="32">
        <v>550</v>
      </c>
      <c r="J236" s="16" t="s">
        <v>4379</v>
      </c>
      <c r="K236" s="16" t="s">
        <v>4380</v>
      </c>
      <c r="L236" s="16" t="s">
        <v>3907</v>
      </c>
    </row>
    <row r="237" spans="1:12" ht="19.5" customHeight="1" x14ac:dyDescent="0.35">
      <c r="A237" s="16" t="s">
        <v>1639</v>
      </c>
      <c r="B237" s="16" t="s">
        <v>921</v>
      </c>
      <c r="C237" s="32">
        <v>44.4</v>
      </c>
      <c r="D237" s="32">
        <v>2664</v>
      </c>
      <c r="E237" s="19">
        <v>23</v>
      </c>
      <c r="F237" s="19">
        <v>12</v>
      </c>
      <c r="G237" s="33">
        <v>0.52173913043478304</v>
      </c>
      <c r="H237" s="32">
        <v>115.826086956522</v>
      </c>
      <c r="I237" s="32">
        <v>960</v>
      </c>
      <c r="J237" s="16" t="s">
        <v>4381</v>
      </c>
      <c r="K237" s="16" t="s">
        <v>4382</v>
      </c>
      <c r="L237" s="16" t="s">
        <v>4256</v>
      </c>
    </row>
    <row r="238" spans="1:12" ht="19.5" customHeight="1" x14ac:dyDescent="0.35">
      <c r="A238" s="16" t="s">
        <v>1642</v>
      </c>
      <c r="B238" s="16" t="s">
        <v>1240</v>
      </c>
      <c r="C238" s="32">
        <v>44.15</v>
      </c>
      <c r="D238" s="32">
        <v>2649</v>
      </c>
      <c r="E238" s="19">
        <v>63</v>
      </c>
      <c r="F238" s="19">
        <v>16</v>
      </c>
      <c r="G238" s="33">
        <v>0.25396825396825401</v>
      </c>
      <c r="H238" s="32">
        <v>42.047619047619101</v>
      </c>
      <c r="I238" s="32">
        <v>720</v>
      </c>
      <c r="J238" s="16" t="s">
        <v>4383</v>
      </c>
      <c r="K238" s="16" t="s">
        <v>4384</v>
      </c>
      <c r="L238" s="16" t="s">
        <v>3907</v>
      </c>
    </row>
    <row r="239" spans="1:12" ht="19.5" customHeight="1" x14ac:dyDescent="0.35">
      <c r="A239" s="16" t="s">
        <v>1645</v>
      </c>
      <c r="B239" s="16" t="s">
        <v>1646</v>
      </c>
      <c r="C239" s="32">
        <v>43.966666666666697</v>
      </c>
      <c r="D239" s="32">
        <v>2638</v>
      </c>
      <c r="E239" s="19">
        <v>24</v>
      </c>
      <c r="F239" s="19">
        <v>12</v>
      </c>
      <c r="G239" s="33">
        <v>0.5</v>
      </c>
      <c r="H239" s="32">
        <v>109.916666666667</v>
      </c>
      <c r="I239" s="32">
        <v>512</v>
      </c>
      <c r="J239" s="16" t="s">
        <v>4385</v>
      </c>
      <c r="K239" s="16" t="s">
        <v>4386</v>
      </c>
      <c r="L239" s="16" t="s">
        <v>4253</v>
      </c>
    </row>
    <row r="240" spans="1:12" ht="19.5" customHeight="1" x14ac:dyDescent="0.35">
      <c r="A240" s="16" t="s">
        <v>1649</v>
      </c>
      <c r="B240" s="16" t="s">
        <v>1070</v>
      </c>
      <c r="C240" s="32">
        <v>43.65</v>
      </c>
      <c r="D240" s="32">
        <v>2619</v>
      </c>
      <c r="E240" s="19">
        <v>64</v>
      </c>
      <c r="F240" s="19">
        <v>25</v>
      </c>
      <c r="G240" s="33">
        <v>0.390625</v>
      </c>
      <c r="H240" s="32">
        <v>40.921875</v>
      </c>
      <c r="I240" s="32">
        <v>402</v>
      </c>
      <c r="J240" s="16" t="s">
        <v>4387</v>
      </c>
      <c r="K240" s="16" t="s">
        <v>4388</v>
      </c>
      <c r="L240" s="16" t="s">
        <v>3907</v>
      </c>
    </row>
    <row r="241" spans="1:12" ht="19.5" customHeight="1" x14ac:dyDescent="0.35">
      <c r="A241" s="16" t="s">
        <v>1652</v>
      </c>
      <c r="B241" s="16" t="s">
        <v>946</v>
      </c>
      <c r="C241" s="32">
        <v>43.5833333333333</v>
      </c>
      <c r="D241" s="32">
        <v>2615</v>
      </c>
      <c r="E241" s="19">
        <v>43</v>
      </c>
      <c r="F241" s="19">
        <v>28</v>
      </c>
      <c r="G241" s="33">
        <v>0.65116279069767502</v>
      </c>
      <c r="H241" s="32">
        <v>60.8139534883721</v>
      </c>
      <c r="I241" s="32">
        <v>600</v>
      </c>
      <c r="J241" s="16" t="s">
        <v>4389</v>
      </c>
      <c r="K241" s="16" t="s">
        <v>4390</v>
      </c>
      <c r="L241" s="16" t="s">
        <v>3907</v>
      </c>
    </row>
    <row r="242" spans="1:12" ht="19.5" customHeight="1" x14ac:dyDescent="0.35">
      <c r="A242" s="16" t="s">
        <v>1655</v>
      </c>
      <c r="B242" s="16" t="s">
        <v>1077</v>
      </c>
      <c r="C242" s="32">
        <v>43.5</v>
      </c>
      <c r="D242" s="32">
        <v>2610</v>
      </c>
      <c r="E242" s="19">
        <v>110</v>
      </c>
      <c r="F242" s="19">
        <v>11</v>
      </c>
      <c r="G242" s="33">
        <v>0.1</v>
      </c>
      <c r="H242" s="32">
        <v>23.727272727272702</v>
      </c>
      <c r="I242" s="32">
        <v>600</v>
      </c>
      <c r="J242" s="16" t="s">
        <v>4391</v>
      </c>
      <c r="K242" s="16" t="s">
        <v>4392</v>
      </c>
      <c r="L242" s="16" t="s">
        <v>3941</v>
      </c>
    </row>
    <row r="243" spans="1:12" ht="19.5" customHeight="1" x14ac:dyDescent="0.35">
      <c r="A243" s="16" t="s">
        <v>1658</v>
      </c>
      <c r="B243" s="16" t="s">
        <v>1659</v>
      </c>
      <c r="C243" s="32">
        <v>43.483333333333299</v>
      </c>
      <c r="D243" s="32">
        <v>2609</v>
      </c>
      <c r="E243" s="19">
        <v>22</v>
      </c>
      <c r="F243" s="19">
        <v>13</v>
      </c>
      <c r="G243" s="33">
        <v>0.59090909090909105</v>
      </c>
      <c r="H243" s="32">
        <v>118.59090909090899</v>
      </c>
      <c r="I243" s="32">
        <v>1121</v>
      </c>
      <c r="J243" s="16" t="s">
        <v>4393</v>
      </c>
      <c r="K243" s="16" t="s">
        <v>4394</v>
      </c>
      <c r="L243" s="16" t="s">
        <v>4253</v>
      </c>
    </row>
    <row r="244" spans="1:12" ht="19.5" customHeight="1" x14ac:dyDescent="0.35">
      <c r="A244" s="16" t="s">
        <v>1662</v>
      </c>
      <c r="B244" s="16" t="s">
        <v>1157</v>
      </c>
      <c r="C244" s="32">
        <v>43.3333333333333</v>
      </c>
      <c r="D244" s="32">
        <v>2600</v>
      </c>
      <c r="E244" s="19">
        <v>56</v>
      </c>
      <c r="F244" s="19">
        <v>23</v>
      </c>
      <c r="G244" s="33">
        <v>0.41071428571428598</v>
      </c>
      <c r="H244" s="32">
        <v>46.428571428571402</v>
      </c>
      <c r="I244" s="32">
        <v>550</v>
      </c>
      <c r="J244" s="16" t="s">
        <v>4395</v>
      </c>
      <c r="K244" s="16" t="s">
        <v>4396</v>
      </c>
      <c r="L244" s="16" t="s">
        <v>4165</v>
      </c>
    </row>
    <row r="245" spans="1:12" ht="19.5" customHeight="1" x14ac:dyDescent="0.35">
      <c r="A245" s="16" t="s">
        <v>1665</v>
      </c>
      <c r="B245" s="16" t="s">
        <v>1240</v>
      </c>
      <c r="C245" s="32">
        <v>43.233333333333299</v>
      </c>
      <c r="D245" s="32">
        <v>2594</v>
      </c>
      <c r="E245" s="19">
        <v>115</v>
      </c>
      <c r="F245" s="19">
        <v>35</v>
      </c>
      <c r="G245" s="33">
        <v>0.30434782608695699</v>
      </c>
      <c r="H245" s="32">
        <v>22.5565217391304</v>
      </c>
      <c r="I245" s="32">
        <v>480</v>
      </c>
      <c r="J245" s="16" t="s">
        <v>4397</v>
      </c>
      <c r="K245" s="16" t="s">
        <v>4398</v>
      </c>
      <c r="L245" s="16" t="s">
        <v>3907</v>
      </c>
    </row>
    <row r="246" spans="1:12" ht="19.5" customHeight="1" x14ac:dyDescent="0.35">
      <c r="A246" s="16" t="s">
        <v>1668</v>
      </c>
      <c r="B246" s="16" t="s">
        <v>959</v>
      </c>
      <c r="C246" s="32">
        <v>42.716666666666697</v>
      </c>
      <c r="D246" s="32">
        <v>2563</v>
      </c>
      <c r="E246" s="19">
        <v>61</v>
      </c>
      <c r="F246" s="19">
        <v>17</v>
      </c>
      <c r="G246" s="33">
        <v>0.27868852459016402</v>
      </c>
      <c r="H246" s="32">
        <v>42.016393442622999</v>
      </c>
      <c r="I246" s="32">
        <v>400</v>
      </c>
      <c r="J246" s="16" t="s">
        <v>4399</v>
      </c>
      <c r="K246" s="16" t="s">
        <v>4400</v>
      </c>
      <c r="L246" s="16" t="s">
        <v>4052</v>
      </c>
    </row>
    <row r="247" spans="1:12" ht="19.5" customHeight="1" x14ac:dyDescent="0.35">
      <c r="A247" s="16" t="s">
        <v>1671</v>
      </c>
      <c r="B247" s="16" t="s">
        <v>1136</v>
      </c>
      <c r="C247" s="32">
        <v>42.533333333333303</v>
      </c>
      <c r="D247" s="32">
        <v>2552</v>
      </c>
      <c r="E247" s="19">
        <v>36</v>
      </c>
      <c r="F247" s="19">
        <v>12</v>
      </c>
      <c r="G247" s="33">
        <v>0.33333333333333298</v>
      </c>
      <c r="H247" s="32">
        <v>70.8888888888889</v>
      </c>
      <c r="I247" s="32">
        <v>540</v>
      </c>
      <c r="J247" s="16" t="s">
        <v>4401</v>
      </c>
      <c r="K247" s="16" t="s">
        <v>4402</v>
      </c>
      <c r="L247" s="16" t="s">
        <v>3907</v>
      </c>
    </row>
    <row r="248" spans="1:12" ht="19.5" customHeight="1" x14ac:dyDescent="0.35">
      <c r="A248" s="16" t="s">
        <v>1674</v>
      </c>
      <c r="B248" s="16" t="s">
        <v>1009</v>
      </c>
      <c r="C248" s="32">
        <v>42.5</v>
      </c>
      <c r="D248" s="32">
        <v>2550</v>
      </c>
      <c r="E248" s="19">
        <v>120</v>
      </c>
      <c r="F248" s="19">
        <v>38</v>
      </c>
      <c r="G248" s="33">
        <v>0.31666666666666698</v>
      </c>
      <c r="H248" s="32">
        <v>21.25</v>
      </c>
      <c r="I248" s="32">
        <v>360</v>
      </c>
      <c r="J248" s="16" t="s">
        <v>4403</v>
      </c>
      <c r="K248" s="16" t="s">
        <v>4404</v>
      </c>
      <c r="L248" s="16" t="s">
        <v>3907</v>
      </c>
    </row>
    <row r="249" spans="1:12" ht="19.5" customHeight="1" x14ac:dyDescent="0.35">
      <c r="A249" s="16" t="s">
        <v>1677</v>
      </c>
      <c r="B249" s="16" t="s">
        <v>1077</v>
      </c>
      <c r="C249" s="32">
        <v>42.3333333333333</v>
      </c>
      <c r="D249" s="32">
        <v>2540</v>
      </c>
      <c r="E249" s="19">
        <v>66</v>
      </c>
      <c r="F249" s="19">
        <v>9</v>
      </c>
      <c r="G249" s="33">
        <v>0.13636363636363599</v>
      </c>
      <c r="H249" s="32">
        <v>38.484848484848499</v>
      </c>
      <c r="I249" s="32">
        <v>860</v>
      </c>
      <c r="J249" s="16" t="s">
        <v>4405</v>
      </c>
      <c r="K249" s="16" t="s">
        <v>4406</v>
      </c>
      <c r="L249" s="16" t="s">
        <v>4360</v>
      </c>
    </row>
    <row r="250" spans="1:12" ht="19.5" customHeight="1" x14ac:dyDescent="0.35">
      <c r="A250" s="16" t="s">
        <v>1680</v>
      </c>
      <c r="B250" s="16" t="s">
        <v>1122</v>
      </c>
      <c r="C250" s="32">
        <v>42.0833333333333</v>
      </c>
      <c r="D250" s="32">
        <v>2525</v>
      </c>
      <c r="E250" s="19">
        <v>21</v>
      </c>
      <c r="F250" s="19">
        <v>10</v>
      </c>
      <c r="G250" s="33">
        <v>0.476190476190476</v>
      </c>
      <c r="H250" s="32">
        <v>120.238095238095</v>
      </c>
      <c r="I250" s="32">
        <v>1290</v>
      </c>
      <c r="J250" s="16" t="s">
        <v>4407</v>
      </c>
      <c r="K250" s="16" t="s">
        <v>4408</v>
      </c>
      <c r="L250" s="16" t="s">
        <v>3941</v>
      </c>
    </row>
    <row r="251" spans="1:12" ht="19.5" customHeight="1" x14ac:dyDescent="0.35">
      <c r="A251" s="16" t="s">
        <v>1683</v>
      </c>
      <c r="B251" s="16" t="s">
        <v>1009</v>
      </c>
      <c r="C251" s="32">
        <v>41.9166666666667</v>
      </c>
      <c r="D251" s="32">
        <v>2515</v>
      </c>
      <c r="E251" s="19">
        <v>67</v>
      </c>
      <c r="F251" s="19">
        <v>26</v>
      </c>
      <c r="G251" s="33">
        <v>0.38805970149253699</v>
      </c>
      <c r="H251" s="32">
        <v>37.537313432835802</v>
      </c>
      <c r="I251" s="32">
        <v>360</v>
      </c>
      <c r="J251" s="16" t="s">
        <v>4409</v>
      </c>
      <c r="K251" s="16" t="s">
        <v>4410</v>
      </c>
      <c r="L251" s="16" t="s">
        <v>3907</v>
      </c>
    </row>
    <row r="252" spans="1:12" ht="19.5" customHeight="1" x14ac:dyDescent="0.35">
      <c r="A252" s="16" t="s">
        <v>1686</v>
      </c>
      <c r="B252" s="16" t="s">
        <v>905</v>
      </c>
      <c r="C252" s="32">
        <v>41.6666666666667</v>
      </c>
      <c r="D252" s="32">
        <v>2500</v>
      </c>
      <c r="E252" s="19">
        <v>50</v>
      </c>
      <c r="F252" s="19">
        <v>21</v>
      </c>
      <c r="G252" s="33">
        <v>0.42</v>
      </c>
      <c r="H252" s="32">
        <v>50</v>
      </c>
      <c r="I252" s="32">
        <v>300</v>
      </c>
      <c r="J252" s="16" t="s">
        <v>4411</v>
      </c>
      <c r="K252" s="16" t="s">
        <v>4412</v>
      </c>
      <c r="L252" s="16" t="s">
        <v>3907</v>
      </c>
    </row>
    <row r="253" spans="1:12" ht="19.5" customHeight="1" x14ac:dyDescent="0.35">
      <c r="A253" s="16" t="s">
        <v>1689</v>
      </c>
      <c r="B253" s="16" t="s">
        <v>1690</v>
      </c>
      <c r="C253" s="32">
        <v>41.6666666666667</v>
      </c>
      <c r="D253" s="32">
        <v>2500</v>
      </c>
      <c r="E253" s="19">
        <v>4</v>
      </c>
      <c r="F253" s="19">
        <v>2</v>
      </c>
      <c r="G253" s="33">
        <v>0.5</v>
      </c>
      <c r="H253" s="32">
        <v>625</v>
      </c>
      <c r="I253" s="32">
        <v>2260</v>
      </c>
      <c r="J253" s="16" t="s">
        <v>4413</v>
      </c>
      <c r="K253" s="16" t="s">
        <v>4414</v>
      </c>
      <c r="L253" s="16" t="s">
        <v>4214</v>
      </c>
    </row>
    <row r="254" spans="1:12" ht="19.5" customHeight="1" x14ac:dyDescent="0.35">
      <c r="A254" s="16" t="s">
        <v>1693</v>
      </c>
      <c r="B254" s="16" t="s">
        <v>1084</v>
      </c>
      <c r="C254" s="32">
        <v>41.483333333333299</v>
      </c>
      <c r="D254" s="32">
        <v>2489</v>
      </c>
      <c r="E254" s="19">
        <v>74</v>
      </c>
      <c r="F254" s="19">
        <v>12</v>
      </c>
      <c r="G254" s="33">
        <v>0.162162162162162</v>
      </c>
      <c r="H254" s="32">
        <v>33.635135135135101</v>
      </c>
      <c r="I254" s="32">
        <v>480</v>
      </c>
      <c r="J254" s="16" t="s">
        <v>4415</v>
      </c>
      <c r="K254" s="16" t="s">
        <v>4416</v>
      </c>
      <c r="L254" s="16" t="s">
        <v>3941</v>
      </c>
    </row>
    <row r="255" spans="1:12" ht="19.5" customHeight="1" x14ac:dyDescent="0.35">
      <c r="A255" s="16" t="s">
        <v>1696</v>
      </c>
      <c r="B255" s="16" t="s">
        <v>1697</v>
      </c>
      <c r="C255" s="32">
        <v>40.4166666666667</v>
      </c>
      <c r="D255" s="32">
        <v>2425</v>
      </c>
      <c r="E255" s="19">
        <v>19</v>
      </c>
      <c r="F255" s="19">
        <v>9</v>
      </c>
      <c r="G255" s="33">
        <v>0.47368421052631599</v>
      </c>
      <c r="H255" s="32">
        <v>127.631578947368</v>
      </c>
      <c r="I255" s="32">
        <v>747</v>
      </c>
      <c r="J255" s="16" t="s">
        <v>4417</v>
      </c>
      <c r="K255" s="16" t="s">
        <v>4418</v>
      </c>
      <c r="L255" s="16" t="s">
        <v>4253</v>
      </c>
    </row>
    <row r="256" spans="1:12" ht="19.5" customHeight="1" x14ac:dyDescent="0.35">
      <c r="A256" s="16" t="s">
        <v>1700</v>
      </c>
      <c r="B256" s="16" t="s">
        <v>1299</v>
      </c>
      <c r="C256" s="32">
        <v>40.299999999999997</v>
      </c>
      <c r="D256" s="32">
        <v>2418</v>
      </c>
      <c r="E256" s="19">
        <v>35</v>
      </c>
      <c r="F256" s="19">
        <v>11</v>
      </c>
      <c r="G256" s="33">
        <v>0.314285714285714</v>
      </c>
      <c r="H256" s="32">
        <v>69.085714285714303</v>
      </c>
      <c r="I256" s="32">
        <v>720</v>
      </c>
      <c r="J256" s="16" t="s">
        <v>4419</v>
      </c>
      <c r="K256" s="16" t="s">
        <v>4420</v>
      </c>
      <c r="L256" s="16" t="s">
        <v>3941</v>
      </c>
    </row>
    <row r="257" spans="1:12" ht="19.5" customHeight="1" x14ac:dyDescent="0.35">
      <c r="A257" s="16" t="s">
        <v>1703</v>
      </c>
      <c r="B257" s="16" t="s">
        <v>1122</v>
      </c>
      <c r="C257" s="32">
        <v>39.466666666666697</v>
      </c>
      <c r="D257" s="32">
        <v>2368</v>
      </c>
      <c r="E257" s="19">
        <v>141</v>
      </c>
      <c r="F257" s="19">
        <v>26</v>
      </c>
      <c r="G257" s="33">
        <v>0.184397163120567</v>
      </c>
      <c r="H257" s="32">
        <v>16.794326241134801</v>
      </c>
      <c r="I257" s="32">
        <v>480</v>
      </c>
      <c r="J257" s="16" t="s">
        <v>4421</v>
      </c>
      <c r="K257" s="16" t="s">
        <v>4422</v>
      </c>
      <c r="L257" s="16" t="s">
        <v>3907</v>
      </c>
    </row>
    <row r="258" spans="1:12" ht="19.5" customHeight="1" x14ac:dyDescent="0.35">
      <c r="A258" s="16" t="s">
        <v>1706</v>
      </c>
      <c r="B258" s="16" t="s">
        <v>1136</v>
      </c>
      <c r="C258" s="32">
        <v>39.233333333333299</v>
      </c>
      <c r="D258" s="32">
        <v>2354</v>
      </c>
      <c r="E258" s="19">
        <v>53</v>
      </c>
      <c r="F258" s="19">
        <v>19</v>
      </c>
      <c r="G258" s="33">
        <v>0.35849056603773599</v>
      </c>
      <c r="H258" s="32">
        <v>44.415094339622598</v>
      </c>
      <c r="I258" s="32">
        <v>560</v>
      </c>
      <c r="J258" s="16" t="s">
        <v>4423</v>
      </c>
      <c r="K258" s="16" t="s">
        <v>4424</v>
      </c>
      <c r="L258" s="16" t="s">
        <v>3907</v>
      </c>
    </row>
    <row r="259" spans="1:12" ht="19.5" customHeight="1" x14ac:dyDescent="0.35">
      <c r="A259" s="16" t="s">
        <v>1709</v>
      </c>
      <c r="B259" s="16" t="s">
        <v>1122</v>
      </c>
      <c r="C259" s="32">
        <v>38.933333333333302</v>
      </c>
      <c r="D259" s="32">
        <v>2336</v>
      </c>
      <c r="E259" s="19">
        <v>22</v>
      </c>
      <c r="F259" s="19">
        <v>8</v>
      </c>
      <c r="G259" s="33">
        <v>0.36363636363636398</v>
      </c>
      <c r="H259" s="32">
        <v>106.181818181818</v>
      </c>
      <c r="I259" s="32">
        <v>1110</v>
      </c>
      <c r="J259" s="16" t="s">
        <v>4425</v>
      </c>
      <c r="K259" s="16" t="s">
        <v>4426</v>
      </c>
      <c r="L259" s="16" t="s">
        <v>3907</v>
      </c>
    </row>
    <row r="260" spans="1:12" ht="19.5" customHeight="1" x14ac:dyDescent="0.35">
      <c r="A260" s="16" t="s">
        <v>1712</v>
      </c>
      <c r="B260" s="16" t="s">
        <v>1659</v>
      </c>
      <c r="C260" s="32">
        <v>38.799999999999997</v>
      </c>
      <c r="D260" s="32">
        <v>2328</v>
      </c>
      <c r="E260" s="19">
        <v>26</v>
      </c>
      <c r="F260" s="19">
        <v>9</v>
      </c>
      <c r="G260" s="33">
        <v>0.34615384615384598</v>
      </c>
      <c r="H260" s="32">
        <v>89.538461538461505</v>
      </c>
      <c r="I260" s="32">
        <v>1292</v>
      </c>
      <c r="J260" s="16" t="s">
        <v>4427</v>
      </c>
      <c r="K260" s="16" t="s">
        <v>4428</v>
      </c>
      <c r="L260" s="16" t="s">
        <v>4253</v>
      </c>
    </row>
    <row r="261" spans="1:12" ht="19.5" customHeight="1" x14ac:dyDescent="0.35">
      <c r="A261" s="16" t="s">
        <v>1715</v>
      </c>
      <c r="B261" s="16" t="s">
        <v>959</v>
      </c>
      <c r="C261" s="32">
        <v>38.4166666666667</v>
      </c>
      <c r="D261" s="32">
        <v>2305</v>
      </c>
      <c r="E261" s="19">
        <v>68</v>
      </c>
      <c r="F261" s="19">
        <v>17</v>
      </c>
      <c r="G261" s="33">
        <v>0.25</v>
      </c>
      <c r="H261" s="32">
        <v>33.897058823529399</v>
      </c>
      <c r="I261" s="32">
        <v>650</v>
      </c>
      <c r="J261" s="16" t="s">
        <v>4429</v>
      </c>
      <c r="K261" s="16" t="s">
        <v>4430</v>
      </c>
      <c r="L261" s="16" t="s">
        <v>3941</v>
      </c>
    </row>
    <row r="262" spans="1:12" ht="19.5" customHeight="1" x14ac:dyDescent="0.35">
      <c r="A262" s="16" t="s">
        <v>1718</v>
      </c>
      <c r="B262" s="16" t="s">
        <v>1122</v>
      </c>
      <c r="C262" s="32">
        <v>37.933333333333302</v>
      </c>
      <c r="D262" s="32">
        <v>2276</v>
      </c>
      <c r="E262" s="19">
        <v>45</v>
      </c>
      <c r="F262" s="19">
        <v>10</v>
      </c>
      <c r="G262" s="33">
        <v>0.22222222222222199</v>
      </c>
      <c r="H262" s="32">
        <v>50.577777777777797</v>
      </c>
      <c r="I262" s="32">
        <v>480</v>
      </c>
      <c r="J262" s="16" t="s">
        <v>4431</v>
      </c>
      <c r="K262" s="16" t="s">
        <v>4432</v>
      </c>
      <c r="L262" s="16" t="s">
        <v>3907</v>
      </c>
    </row>
    <row r="263" spans="1:12" ht="19.5" customHeight="1" x14ac:dyDescent="0.35">
      <c r="A263" s="16" t="s">
        <v>1721</v>
      </c>
      <c r="B263" s="16" t="s">
        <v>963</v>
      </c>
      <c r="C263" s="32">
        <v>37.766666666666701</v>
      </c>
      <c r="D263" s="32">
        <v>2266</v>
      </c>
      <c r="E263" s="19">
        <v>93</v>
      </c>
      <c r="F263" s="19">
        <v>20</v>
      </c>
      <c r="G263" s="33">
        <v>0.21505376344086</v>
      </c>
      <c r="H263" s="32">
        <v>24.365591397849499</v>
      </c>
      <c r="I263" s="32">
        <v>400</v>
      </c>
      <c r="J263" s="16" t="s">
        <v>4433</v>
      </c>
      <c r="K263" s="16" t="s">
        <v>4434</v>
      </c>
      <c r="L263" s="16" t="s">
        <v>3907</v>
      </c>
    </row>
    <row r="264" spans="1:12" ht="19.5" customHeight="1" x14ac:dyDescent="0.35">
      <c r="A264" s="16" t="s">
        <v>1724</v>
      </c>
      <c r="B264" s="16" t="s">
        <v>1077</v>
      </c>
      <c r="C264" s="32">
        <v>37</v>
      </c>
      <c r="D264" s="32">
        <v>2220</v>
      </c>
      <c r="E264" s="19">
        <v>100</v>
      </c>
      <c r="F264" s="19">
        <v>4</v>
      </c>
      <c r="G264" s="33">
        <v>0.04</v>
      </c>
      <c r="H264" s="32">
        <v>22.2</v>
      </c>
      <c r="I264" s="32">
        <v>960</v>
      </c>
      <c r="J264" s="16" t="s">
        <v>4435</v>
      </c>
      <c r="K264" s="16" t="s">
        <v>4436</v>
      </c>
      <c r="L264" s="16" t="s">
        <v>3941</v>
      </c>
    </row>
    <row r="265" spans="1:12" ht="19.5" customHeight="1" x14ac:dyDescent="0.35">
      <c r="A265" s="16" t="s">
        <v>1727</v>
      </c>
      <c r="B265" s="16" t="s">
        <v>946</v>
      </c>
      <c r="C265" s="32">
        <v>36.200000000000003</v>
      </c>
      <c r="D265" s="32">
        <v>2172</v>
      </c>
      <c r="E265" s="19">
        <v>45</v>
      </c>
      <c r="F265" s="19">
        <v>23</v>
      </c>
      <c r="G265" s="33">
        <v>0.51111111111111096</v>
      </c>
      <c r="H265" s="32">
        <v>48.266666666666701</v>
      </c>
      <c r="I265" s="32">
        <v>240</v>
      </c>
      <c r="J265" s="16" t="s">
        <v>4437</v>
      </c>
      <c r="K265" s="16" t="s">
        <v>4438</v>
      </c>
      <c r="L265" s="16" t="s">
        <v>3907</v>
      </c>
    </row>
    <row r="266" spans="1:12" ht="19.5" customHeight="1" x14ac:dyDescent="0.35">
      <c r="A266" s="16" t="s">
        <v>1730</v>
      </c>
      <c r="B266" s="16" t="s">
        <v>1731</v>
      </c>
      <c r="C266" s="32">
        <v>35.4166666666667</v>
      </c>
      <c r="D266" s="32">
        <v>2125</v>
      </c>
      <c r="E266" s="19">
        <v>105</v>
      </c>
      <c r="F266" s="19">
        <v>19</v>
      </c>
      <c r="G266" s="33">
        <v>0.180952380952381</v>
      </c>
      <c r="H266" s="32">
        <v>20.238095238095202</v>
      </c>
      <c r="I266" s="32">
        <v>480</v>
      </c>
      <c r="J266" s="16" t="s">
        <v>4439</v>
      </c>
      <c r="K266" s="16" t="s">
        <v>4440</v>
      </c>
      <c r="L266" s="16" t="s">
        <v>3907</v>
      </c>
    </row>
    <row r="267" spans="1:12" ht="19.5" customHeight="1" x14ac:dyDescent="0.35">
      <c r="A267" s="16" t="s">
        <v>1734</v>
      </c>
      <c r="B267" s="16" t="s">
        <v>946</v>
      </c>
      <c r="C267" s="32">
        <v>35</v>
      </c>
      <c r="D267" s="32">
        <v>2100</v>
      </c>
      <c r="E267" s="19">
        <v>27</v>
      </c>
      <c r="F267" s="19">
        <v>16</v>
      </c>
      <c r="G267" s="33">
        <v>0.592592592592593</v>
      </c>
      <c r="H267" s="32">
        <v>77.7777777777778</v>
      </c>
      <c r="I267" s="32">
        <v>600</v>
      </c>
      <c r="J267" s="16" t="s">
        <v>4441</v>
      </c>
      <c r="K267" s="16" t="s">
        <v>4442</v>
      </c>
      <c r="L267" s="16" t="s">
        <v>3907</v>
      </c>
    </row>
    <row r="268" spans="1:12" ht="19.5" customHeight="1" x14ac:dyDescent="0.35">
      <c r="A268" s="16" t="s">
        <v>1737</v>
      </c>
      <c r="B268" s="16" t="s">
        <v>1122</v>
      </c>
      <c r="C268" s="32">
        <v>34.733333333333299</v>
      </c>
      <c r="D268" s="32">
        <v>2084</v>
      </c>
      <c r="E268" s="19">
        <v>116</v>
      </c>
      <c r="F268" s="19">
        <v>25</v>
      </c>
      <c r="G268" s="33">
        <v>0.21551724137931</v>
      </c>
      <c r="H268" s="32">
        <v>17.965517241379299</v>
      </c>
      <c r="I268" s="32">
        <v>160</v>
      </c>
      <c r="J268" s="16" t="s">
        <v>4443</v>
      </c>
      <c r="K268" s="16" t="s">
        <v>4444</v>
      </c>
      <c r="L268" s="16" t="s">
        <v>3907</v>
      </c>
    </row>
    <row r="269" spans="1:12" ht="19.5" customHeight="1" x14ac:dyDescent="0.35">
      <c r="A269" s="16" t="s">
        <v>1740</v>
      </c>
      <c r="B269" s="16" t="s">
        <v>1009</v>
      </c>
      <c r="C269" s="32">
        <v>34.25</v>
      </c>
      <c r="D269" s="32">
        <v>2055</v>
      </c>
      <c r="E269" s="19">
        <v>71</v>
      </c>
      <c r="F269" s="19">
        <v>25</v>
      </c>
      <c r="G269" s="33">
        <v>0.352112676056338</v>
      </c>
      <c r="H269" s="32">
        <v>28.943661971830998</v>
      </c>
      <c r="I269" s="32">
        <v>240</v>
      </c>
      <c r="J269" s="16" t="s">
        <v>4445</v>
      </c>
      <c r="K269" s="16" t="s">
        <v>4446</v>
      </c>
      <c r="L269" s="16" t="s">
        <v>3907</v>
      </c>
    </row>
    <row r="270" spans="1:12" ht="19.5" customHeight="1" x14ac:dyDescent="0.35">
      <c r="A270" s="16" t="s">
        <v>1743</v>
      </c>
      <c r="B270" s="16" t="s">
        <v>1697</v>
      </c>
      <c r="C270" s="32">
        <v>34.049999999999997</v>
      </c>
      <c r="D270" s="32">
        <v>2043</v>
      </c>
      <c r="E270" s="19">
        <v>17</v>
      </c>
      <c r="F270" s="19">
        <v>8</v>
      </c>
      <c r="G270" s="33">
        <v>0.47058823529411797</v>
      </c>
      <c r="H270" s="32">
        <v>120.17647058823501</v>
      </c>
      <c r="I270" s="32">
        <v>676</v>
      </c>
      <c r="J270" s="16" t="s">
        <v>4447</v>
      </c>
      <c r="K270" s="16" t="s">
        <v>4448</v>
      </c>
      <c r="L270" s="16" t="s">
        <v>4253</v>
      </c>
    </row>
    <row r="271" spans="1:12" ht="19.5" customHeight="1" x14ac:dyDescent="0.35">
      <c r="A271" s="16" t="s">
        <v>1746</v>
      </c>
      <c r="B271" s="16" t="s">
        <v>1122</v>
      </c>
      <c r="C271" s="32">
        <v>34</v>
      </c>
      <c r="D271" s="32">
        <v>2040</v>
      </c>
      <c r="E271" s="19">
        <v>79</v>
      </c>
      <c r="F271" s="19">
        <v>22</v>
      </c>
      <c r="G271" s="33">
        <v>0.278481012658228</v>
      </c>
      <c r="H271" s="32">
        <v>25.822784810126599</v>
      </c>
      <c r="I271" s="32">
        <v>802</v>
      </c>
      <c r="J271" s="16" t="s">
        <v>4449</v>
      </c>
      <c r="K271" s="16" t="s">
        <v>4450</v>
      </c>
      <c r="L271" s="16" t="s">
        <v>3907</v>
      </c>
    </row>
    <row r="272" spans="1:12" ht="19.5" customHeight="1" x14ac:dyDescent="0.35">
      <c r="A272" s="16" t="s">
        <v>1749</v>
      </c>
      <c r="B272" s="16" t="s">
        <v>946</v>
      </c>
      <c r="C272" s="32">
        <v>33.866666666666703</v>
      </c>
      <c r="D272" s="32">
        <v>2032</v>
      </c>
      <c r="E272" s="19">
        <v>42</v>
      </c>
      <c r="F272" s="19">
        <v>32</v>
      </c>
      <c r="G272" s="33">
        <v>0.76190476190476197</v>
      </c>
      <c r="H272" s="32">
        <v>48.380952380952401</v>
      </c>
      <c r="I272" s="32">
        <v>300</v>
      </c>
      <c r="J272" s="16" t="s">
        <v>4451</v>
      </c>
      <c r="K272" s="16" t="s">
        <v>4452</v>
      </c>
      <c r="L272" s="16" t="s">
        <v>3907</v>
      </c>
    </row>
    <row r="273" spans="1:12" ht="19.5" customHeight="1" x14ac:dyDescent="0.35">
      <c r="A273" s="16" t="s">
        <v>1752</v>
      </c>
      <c r="B273" s="16" t="s">
        <v>1129</v>
      </c>
      <c r="C273" s="32">
        <v>33.6666666666667</v>
      </c>
      <c r="D273" s="32">
        <v>2020</v>
      </c>
      <c r="E273" s="19">
        <v>27</v>
      </c>
      <c r="F273" s="19">
        <v>18</v>
      </c>
      <c r="G273" s="33">
        <v>0.66666666666666696</v>
      </c>
      <c r="H273" s="32">
        <v>74.814814814814795</v>
      </c>
      <c r="I273" s="32">
        <v>240</v>
      </c>
      <c r="J273" s="16" t="s">
        <v>4453</v>
      </c>
      <c r="K273" s="16" t="s">
        <v>4454</v>
      </c>
      <c r="L273" s="16" t="s">
        <v>3907</v>
      </c>
    </row>
    <row r="274" spans="1:12" ht="19.5" customHeight="1" x14ac:dyDescent="0.35">
      <c r="A274" s="16" t="s">
        <v>1755</v>
      </c>
      <c r="B274" s="16" t="s">
        <v>1136</v>
      </c>
      <c r="C274" s="32">
        <v>33.616666666666703</v>
      </c>
      <c r="D274" s="32">
        <v>2017</v>
      </c>
      <c r="E274" s="19">
        <v>55</v>
      </c>
      <c r="F274" s="19">
        <v>23</v>
      </c>
      <c r="G274" s="33">
        <v>0.41818181818181799</v>
      </c>
      <c r="H274" s="32">
        <v>36.6727272727273</v>
      </c>
      <c r="I274" s="32">
        <v>360</v>
      </c>
      <c r="J274" s="16" t="s">
        <v>4455</v>
      </c>
      <c r="K274" s="16" t="s">
        <v>4456</v>
      </c>
      <c r="L274" s="16" t="s">
        <v>3907</v>
      </c>
    </row>
    <row r="275" spans="1:12" ht="19.5" customHeight="1" x14ac:dyDescent="0.35">
      <c r="A275" s="16" t="s">
        <v>1758</v>
      </c>
      <c r="B275" s="16" t="s">
        <v>1101</v>
      </c>
      <c r="C275" s="32">
        <v>33.516666666666701</v>
      </c>
      <c r="D275" s="32">
        <v>2011</v>
      </c>
      <c r="E275" s="19">
        <v>95</v>
      </c>
      <c r="F275" s="19">
        <v>28</v>
      </c>
      <c r="G275" s="33">
        <v>0.29473684210526302</v>
      </c>
      <c r="H275" s="32">
        <v>21.168421052631601</v>
      </c>
      <c r="I275" s="32">
        <v>210</v>
      </c>
      <c r="J275" s="16" t="s">
        <v>4457</v>
      </c>
      <c r="K275" s="16" t="s">
        <v>4458</v>
      </c>
      <c r="L275" s="16" t="s">
        <v>3907</v>
      </c>
    </row>
    <row r="276" spans="1:12" ht="19.5" customHeight="1" x14ac:dyDescent="0.35">
      <c r="A276" s="16" t="s">
        <v>1761</v>
      </c>
      <c r="B276" s="16" t="s">
        <v>898</v>
      </c>
      <c r="C276" s="32">
        <v>33.3333333333333</v>
      </c>
      <c r="D276" s="32">
        <v>2000</v>
      </c>
      <c r="E276" s="19">
        <v>14</v>
      </c>
      <c r="F276" s="19">
        <v>2</v>
      </c>
      <c r="G276" s="33">
        <v>0.14285714285714299</v>
      </c>
      <c r="H276" s="32">
        <v>142.857142857143</v>
      </c>
      <c r="I276" s="32">
        <v>2000</v>
      </c>
      <c r="J276" s="16" t="s">
        <v>4459</v>
      </c>
      <c r="K276" s="16" t="s">
        <v>4460</v>
      </c>
      <c r="L276" s="16" t="s">
        <v>3924</v>
      </c>
    </row>
    <row r="277" spans="1:12" ht="19.5" customHeight="1" x14ac:dyDescent="0.35">
      <c r="A277" s="16" t="s">
        <v>1764</v>
      </c>
      <c r="B277" s="16" t="s">
        <v>905</v>
      </c>
      <c r="C277" s="32">
        <v>33.0833333333333</v>
      </c>
      <c r="D277" s="32">
        <v>1985</v>
      </c>
      <c r="E277" s="19">
        <v>37</v>
      </c>
      <c r="F277" s="19">
        <v>14</v>
      </c>
      <c r="G277" s="33">
        <v>0.37837837837837801</v>
      </c>
      <c r="H277" s="32">
        <v>53.648648648648702</v>
      </c>
      <c r="I277" s="32">
        <v>540</v>
      </c>
      <c r="J277" s="16" t="s">
        <v>4461</v>
      </c>
      <c r="K277" s="16" t="s">
        <v>4462</v>
      </c>
      <c r="L277" s="16" t="s">
        <v>3907</v>
      </c>
    </row>
    <row r="278" spans="1:12" ht="19.5" customHeight="1" x14ac:dyDescent="0.35">
      <c r="A278" s="16" t="s">
        <v>1767</v>
      </c>
      <c r="B278" s="16" t="s">
        <v>1768</v>
      </c>
      <c r="C278" s="32">
        <v>33</v>
      </c>
      <c r="D278" s="32">
        <v>1980</v>
      </c>
      <c r="E278" s="19">
        <v>86</v>
      </c>
      <c r="F278" s="19">
        <v>16</v>
      </c>
      <c r="G278" s="33">
        <v>0.186046511627907</v>
      </c>
      <c r="H278" s="32">
        <v>23.023255813953501</v>
      </c>
      <c r="I278" s="32">
        <v>240</v>
      </c>
      <c r="J278" s="16" t="s">
        <v>4463</v>
      </c>
      <c r="K278" s="16" t="s">
        <v>4464</v>
      </c>
      <c r="L278" s="16" t="s">
        <v>3907</v>
      </c>
    </row>
    <row r="279" spans="1:12" ht="19.5" customHeight="1" x14ac:dyDescent="0.35">
      <c r="A279" s="16" t="s">
        <v>1771</v>
      </c>
      <c r="B279" s="16" t="s">
        <v>905</v>
      </c>
      <c r="C279" s="32">
        <v>32.9166666666667</v>
      </c>
      <c r="D279" s="32">
        <v>1975</v>
      </c>
      <c r="E279" s="19">
        <v>46</v>
      </c>
      <c r="F279" s="19">
        <v>20</v>
      </c>
      <c r="G279" s="33">
        <v>0.434782608695652</v>
      </c>
      <c r="H279" s="32">
        <v>42.934782608695699</v>
      </c>
      <c r="I279" s="32">
        <v>240</v>
      </c>
      <c r="J279" s="16" t="s">
        <v>4465</v>
      </c>
      <c r="K279" s="16" t="s">
        <v>4466</v>
      </c>
      <c r="L279" s="16" t="s">
        <v>3907</v>
      </c>
    </row>
    <row r="280" spans="1:12" ht="19.5" customHeight="1" x14ac:dyDescent="0.35">
      <c r="A280" s="16" t="s">
        <v>1774</v>
      </c>
      <c r="B280" s="16" t="s">
        <v>1646</v>
      </c>
      <c r="C280" s="32">
        <v>32.9166666666667</v>
      </c>
      <c r="D280" s="32">
        <v>1975</v>
      </c>
      <c r="E280" s="19">
        <v>29</v>
      </c>
      <c r="F280" s="19">
        <v>12</v>
      </c>
      <c r="G280" s="33">
        <v>0.41379310344827602</v>
      </c>
      <c r="H280" s="32">
        <v>68.103448275862107</v>
      </c>
      <c r="I280" s="32">
        <v>300</v>
      </c>
      <c r="J280" s="16" t="s">
        <v>4467</v>
      </c>
      <c r="K280" s="16" t="s">
        <v>4468</v>
      </c>
      <c r="L280" s="16" t="s">
        <v>3941</v>
      </c>
    </row>
    <row r="281" spans="1:12" ht="19.5" customHeight="1" x14ac:dyDescent="0.35">
      <c r="A281" s="16" t="s">
        <v>1777</v>
      </c>
      <c r="B281" s="16" t="s">
        <v>1136</v>
      </c>
      <c r="C281" s="32">
        <v>32.4166666666667</v>
      </c>
      <c r="D281" s="32">
        <v>1945</v>
      </c>
      <c r="E281" s="19">
        <v>37</v>
      </c>
      <c r="F281" s="19">
        <v>15</v>
      </c>
      <c r="G281" s="33">
        <v>0.40540540540540498</v>
      </c>
      <c r="H281" s="32">
        <v>52.5675675675676</v>
      </c>
      <c r="I281" s="32">
        <v>770</v>
      </c>
      <c r="J281" s="16" t="s">
        <v>4469</v>
      </c>
      <c r="K281" s="16" t="s">
        <v>4470</v>
      </c>
      <c r="L281" s="16" t="s">
        <v>3907</v>
      </c>
    </row>
    <row r="282" spans="1:12" ht="19.5" customHeight="1" x14ac:dyDescent="0.35">
      <c r="A282" s="16" t="s">
        <v>1780</v>
      </c>
      <c r="B282" s="16" t="s">
        <v>963</v>
      </c>
      <c r="C282" s="32">
        <v>32.15</v>
      </c>
      <c r="D282" s="32">
        <v>1929</v>
      </c>
      <c r="E282" s="19">
        <v>70</v>
      </c>
      <c r="F282" s="19">
        <v>9</v>
      </c>
      <c r="G282" s="33">
        <v>0.128571428571429</v>
      </c>
      <c r="H282" s="32">
        <v>27.5571428571429</v>
      </c>
      <c r="I282" s="32">
        <v>450</v>
      </c>
      <c r="J282" s="16" t="s">
        <v>4471</v>
      </c>
      <c r="K282" s="16" t="s">
        <v>4472</v>
      </c>
      <c r="L282" s="16" t="s">
        <v>3907</v>
      </c>
    </row>
    <row r="283" spans="1:12" ht="19.5" customHeight="1" x14ac:dyDescent="0.35">
      <c r="A283" s="16" t="s">
        <v>1783</v>
      </c>
      <c r="B283" s="16" t="s">
        <v>1490</v>
      </c>
      <c r="C283" s="32">
        <v>32.0833333333333</v>
      </c>
      <c r="D283" s="32">
        <v>1925</v>
      </c>
      <c r="E283" s="19">
        <v>107</v>
      </c>
      <c r="F283" s="19">
        <v>15</v>
      </c>
      <c r="G283" s="33">
        <v>0.14018691588785101</v>
      </c>
      <c r="H283" s="32">
        <v>17.990654205607498</v>
      </c>
      <c r="I283" s="32">
        <v>240</v>
      </c>
      <c r="J283" s="16" t="s">
        <v>4473</v>
      </c>
      <c r="K283" s="16" t="s">
        <v>4474</v>
      </c>
      <c r="L283" s="16" t="s">
        <v>3907</v>
      </c>
    </row>
    <row r="284" spans="1:12" ht="19.5" customHeight="1" x14ac:dyDescent="0.35">
      <c r="A284" s="16" t="s">
        <v>1786</v>
      </c>
      <c r="B284" s="16" t="s">
        <v>1077</v>
      </c>
      <c r="C284" s="32">
        <v>31.95</v>
      </c>
      <c r="D284" s="32">
        <v>1917</v>
      </c>
      <c r="E284" s="19">
        <v>160</v>
      </c>
      <c r="F284" s="19">
        <v>13</v>
      </c>
      <c r="G284" s="33">
        <v>8.1250000000000003E-2</v>
      </c>
      <c r="H284" s="32">
        <v>11.981249999999999</v>
      </c>
      <c r="I284" s="32">
        <v>480</v>
      </c>
      <c r="J284" s="16" t="s">
        <v>4475</v>
      </c>
      <c r="K284" s="16" t="s">
        <v>4476</v>
      </c>
      <c r="L284" s="16" t="s">
        <v>3941</v>
      </c>
    </row>
    <row r="285" spans="1:12" ht="19.5" customHeight="1" x14ac:dyDescent="0.35">
      <c r="A285" s="16" t="s">
        <v>1789</v>
      </c>
      <c r="B285" s="16" t="s">
        <v>909</v>
      </c>
      <c r="C285" s="32">
        <v>31.866666666666699</v>
      </c>
      <c r="D285" s="32">
        <v>1912</v>
      </c>
      <c r="E285" s="19">
        <v>32</v>
      </c>
      <c r="F285" s="19">
        <v>22</v>
      </c>
      <c r="G285" s="33">
        <v>0.6875</v>
      </c>
      <c r="H285" s="32">
        <v>59.75</v>
      </c>
      <c r="I285" s="32">
        <v>240</v>
      </c>
      <c r="J285" s="16" t="s">
        <v>4477</v>
      </c>
      <c r="K285" s="16" t="s">
        <v>4478</v>
      </c>
      <c r="L285" s="16" t="s">
        <v>3924</v>
      </c>
    </row>
    <row r="286" spans="1:12" ht="19.5" customHeight="1" x14ac:dyDescent="0.35">
      <c r="A286" s="16" t="s">
        <v>1792</v>
      </c>
      <c r="B286" s="16" t="s">
        <v>1101</v>
      </c>
      <c r="C286" s="32">
        <v>31.733333333333299</v>
      </c>
      <c r="D286" s="32">
        <v>1904</v>
      </c>
      <c r="E286" s="19">
        <v>51</v>
      </c>
      <c r="F286" s="19">
        <v>20</v>
      </c>
      <c r="G286" s="33">
        <v>0.39215686274509798</v>
      </c>
      <c r="H286" s="32">
        <v>37.3333333333333</v>
      </c>
      <c r="I286" s="32">
        <v>360</v>
      </c>
      <c r="J286" s="16" t="s">
        <v>4479</v>
      </c>
      <c r="K286" s="16" t="s">
        <v>4480</v>
      </c>
      <c r="L286" s="16" t="s">
        <v>3907</v>
      </c>
    </row>
    <row r="287" spans="1:12" ht="19.5" customHeight="1" x14ac:dyDescent="0.35">
      <c r="A287" s="16" t="s">
        <v>1795</v>
      </c>
      <c r="B287" s="16" t="s">
        <v>925</v>
      </c>
      <c r="C287" s="32">
        <v>31.15</v>
      </c>
      <c r="D287" s="32">
        <v>1869</v>
      </c>
      <c r="E287" s="19">
        <v>45</v>
      </c>
      <c r="F287" s="19">
        <v>24</v>
      </c>
      <c r="G287" s="33">
        <v>0.53333333333333299</v>
      </c>
      <c r="H287" s="32">
        <v>41.533333333333303</v>
      </c>
      <c r="I287" s="32">
        <v>210</v>
      </c>
      <c r="J287" s="16" t="s">
        <v>4481</v>
      </c>
      <c r="K287" s="16" t="s">
        <v>4482</v>
      </c>
      <c r="L287" s="16" t="s">
        <v>3907</v>
      </c>
    </row>
    <row r="288" spans="1:12" ht="19.5" customHeight="1" x14ac:dyDescent="0.35">
      <c r="A288" s="16" t="s">
        <v>1798</v>
      </c>
      <c r="B288" s="16" t="s">
        <v>905</v>
      </c>
      <c r="C288" s="32">
        <v>30.9166666666667</v>
      </c>
      <c r="D288" s="32">
        <v>1855</v>
      </c>
      <c r="E288" s="19">
        <v>29</v>
      </c>
      <c r="F288" s="19">
        <v>12</v>
      </c>
      <c r="G288" s="33">
        <v>0.41379310344827602</v>
      </c>
      <c r="H288" s="32">
        <v>63.965517241379303</v>
      </c>
      <c r="I288" s="32">
        <v>657</v>
      </c>
      <c r="J288" s="16" t="s">
        <v>4483</v>
      </c>
      <c r="K288" s="16" t="s">
        <v>4484</v>
      </c>
      <c r="L288" s="16" t="s">
        <v>3907</v>
      </c>
    </row>
    <row r="289" spans="1:12" ht="19.5" customHeight="1" x14ac:dyDescent="0.35">
      <c r="A289" s="16" t="s">
        <v>1801</v>
      </c>
      <c r="B289" s="16" t="s">
        <v>1009</v>
      </c>
      <c r="C289" s="32">
        <v>30.5833333333333</v>
      </c>
      <c r="D289" s="32">
        <v>1835</v>
      </c>
      <c r="E289" s="19">
        <v>91</v>
      </c>
      <c r="F289" s="19">
        <v>28</v>
      </c>
      <c r="G289" s="33">
        <v>0.30769230769230799</v>
      </c>
      <c r="H289" s="32">
        <v>20.1648351648352</v>
      </c>
      <c r="I289" s="32">
        <v>180</v>
      </c>
      <c r="J289" s="16" t="s">
        <v>4485</v>
      </c>
      <c r="K289" s="16" t="s">
        <v>4486</v>
      </c>
      <c r="L289" s="16" t="s">
        <v>3907</v>
      </c>
    </row>
    <row r="290" spans="1:12" ht="19.5" customHeight="1" x14ac:dyDescent="0.35">
      <c r="A290" s="16" t="s">
        <v>1804</v>
      </c>
      <c r="B290" s="16" t="s">
        <v>925</v>
      </c>
      <c r="C290" s="32">
        <v>30.55</v>
      </c>
      <c r="D290" s="32">
        <v>1833</v>
      </c>
      <c r="E290" s="19">
        <v>25</v>
      </c>
      <c r="F290" s="19">
        <v>13</v>
      </c>
      <c r="G290" s="33">
        <v>0.52</v>
      </c>
      <c r="H290" s="32">
        <v>73.319999999999993</v>
      </c>
      <c r="I290" s="32">
        <v>362</v>
      </c>
      <c r="J290" s="16" t="s">
        <v>4487</v>
      </c>
      <c r="K290" s="16" t="s">
        <v>4488</v>
      </c>
      <c r="L290" s="16" t="s">
        <v>3924</v>
      </c>
    </row>
    <row r="291" spans="1:12" ht="19.5" customHeight="1" x14ac:dyDescent="0.35">
      <c r="A291" s="16" t="s">
        <v>1807</v>
      </c>
      <c r="B291" s="16" t="s">
        <v>1212</v>
      </c>
      <c r="C291" s="32">
        <v>30.45</v>
      </c>
      <c r="D291" s="32">
        <v>1827</v>
      </c>
      <c r="E291" s="19">
        <v>44</v>
      </c>
      <c r="F291" s="19">
        <v>22</v>
      </c>
      <c r="G291" s="33">
        <v>0.5</v>
      </c>
      <c r="H291" s="32">
        <v>41.522727272727302</v>
      </c>
      <c r="I291" s="32">
        <v>300</v>
      </c>
      <c r="J291" s="16" t="s">
        <v>4489</v>
      </c>
      <c r="K291" s="16" t="s">
        <v>4490</v>
      </c>
      <c r="L291" s="16" t="s">
        <v>4491</v>
      </c>
    </row>
    <row r="292" spans="1:12" ht="19.5" customHeight="1" x14ac:dyDescent="0.35">
      <c r="A292" s="16" t="s">
        <v>1810</v>
      </c>
      <c r="B292" s="16" t="s">
        <v>1084</v>
      </c>
      <c r="C292" s="32">
        <v>30.4166666666667</v>
      </c>
      <c r="D292" s="32">
        <v>1825</v>
      </c>
      <c r="E292" s="19">
        <v>46</v>
      </c>
      <c r="F292" s="19">
        <v>10</v>
      </c>
      <c r="G292" s="33">
        <v>0.217391304347826</v>
      </c>
      <c r="H292" s="32">
        <v>39.673913043478301</v>
      </c>
      <c r="I292" s="32">
        <v>380</v>
      </c>
      <c r="J292" s="16" t="s">
        <v>4492</v>
      </c>
      <c r="K292" s="16" t="s">
        <v>4493</v>
      </c>
      <c r="L292" s="16" t="s">
        <v>3941</v>
      </c>
    </row>
    <row r="293" spans="1:12" ht="19.5" customHeight="1" x14ac:dyDescent="0.35">
      <c r="A293" s="16" t="s">
        <v>1813</v>
      </c>
      <c r="B293" s="16" t="s">
        <v>898</v>
      </c>
      <c r="C293" s="32">
        <v>30</v>
      </c>
      <c r="D293" s="32">
        <v>1800</v>
      </c>
      <c r="E293" s="19">
        <v>25</v>
      </c>
      <c r="F293" s="19">
        <v>12</v>
      </c>
      <c r="G293" s="33">
        <v>0.48</v>
      </c>
      <c r="H293" s="32">
        <v>72</v>
      </c>
      <c r="I293" s="32">
        <v>920</v>
      </c>
      <c r="J293" s="16" t="s">
        <v>4494</v>
      </c>
      <c r="K293" s="16" t="s">
        <v>4495</v>
      </c>
      <c r="L293" s="16" t="s">
        <v>3907</v>
      </c>
    </row>
    <row r="294" spans="1:12" ht="19.5" customHeight="1" x14ac:dyDescent="0.35">
      <c r="A294" s="16" t="s">
        <v>1816</v>
      </c>
      <c r="B294" s="16" t="s">
        <v>1817</v>
      </c>
      <c r="C294" s="32">
        <v>29.866666666666699</v>
      </c>
      <c r="D294" s="32">
        <v>1792</v>
      </c>
      <c r="E294" s="19">
        <v>9</v>
      </c>
      <c r="F294" s="19">
        <v>2</v>
      </c>
      <c r="G294" s="33">
        <v>0.22222222222222199</v>
      </c>
      <c r="H294" s="32">
        <v>199.111111111111</v>
      </c>
      <c r="I294" s="32">
        <v>1312</v>
      </c>
      <c r="J294" s="16" t="s">
        <v>4496</v>
      </c>
      <c r="K294" s="16" t="s">
        <v>4497</v>
      </c>
      <c r="L294" s="16" t="s">
        <v>3941</v>
      </c>
    </row>
    <row r="295" spans="1:12" ht="19.5" customHeight="1" x14ac:dyDescent="0.35">
      <c r="A295" s="16" t="s">
        <v>1820</v>
      </c>
      <c r="B295" s="16" t="s">
        <v>959</v>
      </c>
      <c r="C295" s="32">
        <v>29.8333333333333</v>
      </c>
      <c r="D295" s="32">
        <v>1790</v>
      </c>
      <c r="E295" s="19">
        <v>18</v>
      </c>
      <c r="F295" s="19">
        <v>4</v>
      </c>
      <c r="G295" s="33">
        <v>0.22222222222222199</v>
      </c>
      <c r="H295" s="32">
        <v>99.4444444444444</v>
      </c>
      <c r="I295" s="32">
        <v>1260</v>
      </c>
      <c r="J295" s="16" t="s">
        <v>4498</v>
      </c>
      <c r="K295" s="16" t="s">
        <v>4499</v>
      </c>
      <c r="L295" s="16" t="s">
        <v>4253</v>
      </c>
    </row>
    <row r="296" spans="1:12" ht="19.5" customHeight="1" x14ac:dyDescent="0.35">
      <c r="A296" s="16" t="s">
        <v>1823</v>
      </c>
      <c r="B296" s="16" t="s">
        <v>905</v>
      </c>
      <c r="C296" s="32">
        <v>29.7</v>
      </c>
      <c r="D296" s="32">
        <v>1782</v>
      </c>
      <c r="E296" s="19">
        <v>21</v>
      </c>
      <c r="F296" s="19">
        <v>10</v>
      </c>
      <c r="G296" s="33">
        <v>0.476190476190476</v>
      </c>
      <c r="H296" s="32">
        <v>84.857142857142904</v>
      </c>
      <c r="I296" s="32">
        <v>600</v>
      </c>
      <c r="J296" s="16" t="s">
        <v>4500</v>
      </c>
      <c r="K296" s="16" t="s">
        <v>4501</v>
      </c>
      <c r="L296" s="16" t="s">
        <v>3907</v>
      </c>
    </row>
    <row r="297" spans="1:12" ht="19.5" customHeight="1" x14ac:dyDescent="0.35">
      <c r="A297" s="16" t="s">
        <v>1826</v>
      </c>
      <c r="B297" s="16" t="s">
        <v>913</v>
      </c>
      <c r="C297" s="32">
        <v>29.6666666666667</v>
      </c>
      <c r="D297" s="32">
        <v>1780</v>
      </c>
      <c r="E297" s="19">
        <v>12</v>
      </c>
      <c r="F297" s="19">
        <v>4</v>
      </c>
      <c r="G297" s="33">
        <v>0.33333333333333298</v>
      </c>
      <c r="H297" s="32">
        <v>148.333333333333</v>
      </c>
      <c r="I297" s="32">
        <v>930</v>
      </c>
      <c r="J297" s="16" t="s">
        <v>4502</v>
      </c>
      <c r="K297" s="16" t="s">
        <v>4503</v>
      </c>
      <c r="L297" s="16" t="s">
        <v>4256</v>
      </c>
    </row>
    <row r="298" spans="1:12" ht="19.5" customHeight="1" x14ac:dyDescent="0.35">
      <c r="A298" s="16" t="s">
        <v>1829</v>
      </c>
      <c r="B298" s="16" t="s">
        <v>996</v>
      </c>
      <c r="C298" s="32">
        <v>29.5833333333333</v>
      </c>
      <c r="D298" s="32">
        <v>1775</v>
      </c>
      <c r="E298" s="19">
        <v>31</v>
      </c>
      <c r="F298" s="19">
        <v>14</v>
      </c>
      <c r="G298" s="33">
        <v>0.45161290322580599</v>
      </c>
      <c r="H298" s="32">
        <v>57.258064516128997</v>
      </c>
      <c r="I298" s="32">
        <v>320</v>
      </c>
      <c r="J298" s="16" t="s">
        <v>4504</v>
      </c>
      <c r="K298" s="16" t="s">
        <v>4505</v>
      </c>
      <c r="L298" s="16" t="s">
        <v>3907</v>
      </c>
    </row>
    <row r="299" spans="1:12" ht="19.5" customHeight="1" x14ac:dyDescent="0.35">
      <c r="A299" s="16" t="s">
        <v>1832</v>
      </c>
      <c r="B299" s="16" t="s">
        <v>963</v>
      </c>
      <c r="C299" s="32">
        <v>29.5</v>
      </c>
      <c r="D299" s="32">
        <v>1770</v>
      </c>
      <c r="E299" s="19">
        <v>23</v>
      </c>
      <c r="F299" s="19">
        <v>6</v>
      </c>
      <c r="G299" s="33">
        <v>0.26086956521739102</v>
      </c>
      <c r="H299" s="32">
        <v>76.956521739130395</v>
      </c>
      <c r="I299" s="32">
        <v>1425</v>
      </c>
      <c r="J299" s="16" t="s">
        <v>4506</v>
      </c>
      <c r="K299" s="16" t="s">
        <v>4507</v>
      </c>
      <c r="L299" s="16" t="s">
        <v>3924</v>
      </c>
    </row>
    <row r="300" spans="1:12" ht="19.5" customHeight="1" x14ac:dyDescent="0.35">
      <c r="A300" s="16" t="s">
        <v>1835</v>
      </c>
      <c r="B300" s="16" t="s">
        <v>1101</v>
      </c>
      <c r="C300" s="32">
        <v>29.1666666666667</v>
      </c>
      <c r="D300" s="32">
        <v>1750</v>
      </c>
      <c r="E300" s="19">
        <v>42</v>
      </c>
      <c r="F300" s="19">
        <v>19</v>
      </c>
      <c r="G300" s="33">
        <v>0.452380952380952</v>
      </c>
      <c r="H300" s="32">
        <v>41.6666666666667</v>
      </c>
      <c r="I300" s="32">
        <v>240</v>
      </c>
      <c r="J300" s="16" t="s">
        <v>4508</v>
      </c>
      <c r="K300" s="16" t="s">
        <v>4509</v>
      </c>
      <c r="L300" s="16" t="s">
        <v>3907</v>
      </c>
    </row>
    <row r="301" spans="1:12" ht="19.5" customHeight="1" x14ac:dyDescent="0.35">
      <c r="A301" s="16" t="s">
        <v>1838</v>
      </c>
      <c r="B301" s="16" t="s">
        <v>963</v>
      </c>
      <c r="C301" s="32">
        <v>27.8333333333333</v>
      </c>
      <c r="D301" s="32">
        <v>1670</v>
      </c>
      <c r="E301" s="19">
        <v>46</v>
      </c>
      <c r="F301" s="19">
        <v>14</v>
      </c>
      <c r="G301" s="33">
        <v>0.30434782608695699</v>
      </c>
      <c r="H301" s="32">
        <v>36.304347826087003</v>
      </c>
      <c r="I301" s="32">
        <v>240</v>
      </c>
      <c r="J301" s="16" t="s">
        <v>4510</v>
      </c>
      <c r="K301" s="16" t="s">
        <v>4511</v>
      </c>
      <c r="L301" s="16" t="s">
        <v>3907</v>
      </c>
    </row>
    <row r="302" spans="1:12" ht="19.5" customHeight="1" x14ac:dyDescent="0.35">
      <c r="A302" s="16" t="s">
        <v>1841</v>
      </c>
      <c r="B302" s="16" t="s">
        <v>1118</v>
      </c>
      <c r="C302" s="32">
        <v>27.6666666666667</v>
      </c>
      <c r="D302" s="32">
        <v>1660</v>
      </c>
      <c r="E302" s="19">
        <v>8</v>
      </c>
      <c r="F302" s="19">
        <v>5</v>
      </c>
      <c r="G302" s="33">
        <v>0.625</v>
      </c>
      <c r="H302" s="32">
        <v>207.5</v>
      </c>
      <c r="I302" s="32">
        <v>980</v>
      </c>
      <c r="J302" s="16" t="s">
        <v>4512</v>
      </c>
      <c r="K302" s="16" t="s">
        <v>4513</v>
      </c>
      <c r="L302" s="16" t="s">
        <v>4165</v>
      </c>
    </row>
    <row r="303" spans="1:12" ht="19.5" customHeight="1" x14ac:dyDescent="0.35">
      <c r="A303" s="16" t="s">
        <v>1844</v>
      </c>
      <c r="B303" s="16" t="s">
        <v>1136</v>
      </c>
      <c r="C303" s="32">
        <v>27.5833333333333</v>
      </c>
      <c r="D303" s="32">
        <v>1655</v>
      </c>
      <c r="E303" s="19">
        <v>26</v>
      </c>
      <c r="F303" s="19">
        <v>11</v>
      </c>
      <c r="G303" s="33">
        <v>0.42307692307692302</v>
      </c>
      <c r="H303" s="32">
        <v>63.653846153846203</v>
      </c>
      <c r="I303" s="32">
        <v>460</v>
      </c>
      <c r="J303" s="16" t="s">
        <v>4514</v>
      </c>
      <c r="K303" s="16" t="s">
        <v>4515</v>
      </c>
      <c r="L303" s="16" t="s">
        <v>3907</v>
      </c>
    </row>
    <row r="304" spans="1:12" ht="19.5" customHeight="1" x14ac:dyDescent="0.35">
      <c r="A304" s="16" t="s">
        <v>1847</v>
      </c>
      <c r="B304" s="16" t="s">
        <v>1143</v>
      </c>
      <c r="C304" s="32">
        <v>27.5833333333333</v>
      </c>
      <c r="D304" s="32">
        <v>1655</v>
      </c>
      <c r="E304" s="19">
        <v>24</v>
      </c>
      <c r="F304" s="19">
        <v>5</v>
      </c>
      <c r="G304" s="33">
        <v>0.20833333333333301</v>
      </c>
      <c r="H304" s="32">
        <v>68.9583333333333</v>
      </c>
      <c r="I304" s="32">
        <v>1600</v>
      </c>
      <c r="J304" s="16" t="s">
        <v>4516</v>
      </c>
      <c r="K304" s="16" t="s">
        <v>4517</v>
      </c>
      <c r="L304" s="16" t="s">
        <v>3907</v>
      </c>
    </row>
    <row r="305" spans="1:12" ht="19.5" customHeight="1" x14ac:dyDescent="0.35">
      <c r="A305" s="16" t="s">
        <v>1850</v>
      </c>
      <c r="B305" s="16" t="s">
        <v>1490</v>
      </c>
      <c r="C305" s="32">
        <v>27.216666666666701</v>
      </c>
      <c r="D305" s="32">
        <v>1633</v>
      </c>
      <c r="E305" s="19">
        <v>74</v>
      </c>
      <c r="F305" s="19">
        <v>13</v>
      </c>
      <c r="G305" s="33">
        <v>0.17567567567567599</v>
      </c>
      <c r="H305" s="32">
        <v>22.0675675675676</v>
      </c>
      <c r="I305" s="32">
        <v>240</v>
      </c>
      <c r="J305" s="16" t="s">
        <v>4518</v>
      </c>
      <c r="K305" s="16" t="s">
        <v>4519</v>
      </c>
      <c r="L305" s="16" t="s">
        <v>3907</v>
      </c>
    </row>
    <row r="306" spans="1:12" ht="19.5" customHeight="1" x14ac:dyDescent="0.35">
      <c r="A306" s="16" t="s">
        <v>1853</v>
      </c>
      <c r="B306" s="16" t="s">
        <v>1136</v>
      </c>
      <c r="C306" s="32">
        <v>26.85</v>
      </c>
      <c r="D306" s="32">
        <v>1611</v>
      </c>
      <c r="E306" s="19">
        <v>38</v>
      </c>
      <c r="F306" s="19">
        <v>16</v>
      </c>
      <c r="G306" s="33">
        <v>0.42105263157894701</v>
      </c>
      <c r="H306" s="32">
        <v>42.394736842105303</v>
      </c>
      <c r="I306" s="32">
        <v>400</v>
      </c>
      <c r="J306" s="16" t="s">
        <v>4520</v>
      </c>
      <c r="K306" s="16" t="s">
        <v>4521</v>
      </c>
      <c r="L306" s="16" t="s">
        <v>3907</v>
      </c>
    </row>
    <row r="307" spans="1:12" ht="19.5" customHeight="1" x14ac:dyDescent="0.35">
      <c r="A307" s="16" t="s">
        <v>1856</v>
      </c>
      <c r="B307" s="16" t="s">
        <v>929</v>
      </c>
      <c r="C307" s="32">
        <v>26.783333333333299</v>
      </c>
      <c r="D307" s="32">
        <v>1607</v>
      </c>
      <c r="E307" s="19">
        <v>35</v>
      </c>
      <c r="F307" s="19">
        <v>12</v>
      </c>
      <c r="G307" s="33">
        <v>0.34285714285714303</v>
      </c>
      <c r="H307" s="32">
        <v>45.914285714285697</v>
      </c>
      <c r="I307" s="32">
        <v>360</v>
      </c>
      <c r="J307" s="16" t="s">
        <v>4522</v>
      </c>
      <c r="K307" s="16" t="s">
        <v>4523</v>
      </c>
      <c r="L307" s="16" t="s">
        <v>3907</v>
      </c>
    </row>
    <row r="308" spans="1:12" ht="19.5" customHeight="1" x14ac:dyDescent="0.35">
      <c r="A308" s="16" t="s">
        <v>1859</v>
      </c>
      <c r="B308" s="16" t="s">
        <v>1077</v>
      </c>
      <c r="C308" s="32">
        <v>26.5</v>
      </c>
      <c r="D308" s="32">
        <v>1590</v>
      </c>
      <c r="E308" s="19">
        <v>75</v>
      </c>
      <c r="F308" s="19">
        <v>6</v>
      </c>
      <c r="G308" s="33">
        <v>0.08</v>
      </c>
      <c r="H308" s="32">
        <v>21.2</v>
      </c>
      <c r="I308" s="32">
        <v>960</v>
      </c>
      <c r="J308" s="16" t="s">
        <v>4524</v>
      </c>
      <c r="K308" s="16" t="s">
        <v>4525</v>
      </c>
      <c r="L308" s="16" t="s">
        <v>4360</v>
      </c>
    </row>
    <row r="309" spans="1:12" ht="19.5" customHeight="1" x14ac:dyDescent="0.35">
      <c r="A309" s="16" t="s">
        <v>1862</v>
      </c>
      <c r="B309" s="16" t="s">
        <v>946</v>
      </c>
      <c r="C309" s="32">
        <v>26.383333333333301</v>
      </c>
      <c r="D309" s="32">
        <v>1583</v>
      </c>
      <c r="E309" s="19">
        <v>60</v>
      </c>
      <c r="F309" s="19">
        <v>35</v>
      </c>
      <c r="G309" s="33">
        <v>0.58333333333333304</v>
      </c>
      <c r="H309" s="32">
        <v>26.383333333333301</v>
      </c>
      <c r="I309" s="32">
        <v>240</v>
      </c>
      <c r="J309" s="16" t="s">
        <v>4526</v>
      </c>
      <c r="K309" s="16" t="s">
        <v>4527</v>
      </c>
      <c r="L309" s="16" t="s">
        <v>3907</v>
      </c>
    </row>
    <row r="310" spans="1:12" ht="19.5" customHeight="1" x14ac:dyDescent="0.35">
      <c r="A310" s="16" t="s">
        <v>1865</v>
      </c>
      <c r="B310" s="16" t="s">
        <v>921</v>
      </c>
      <c r="C310" s="32">
        <v>26.283333333333299</v>
      </c>
      <c r="D310" s="32">
        <v>1577</v>
      </c>
      <c r="E310" s="19">
        <v>24</v>
      </c>
      <c r="F310" s="19">
        <v>11</v>
      </c>
      <c r="G310" s="33">
        <v>0.45833333333333298</v>
      </c>
      <c r="H310" s="32">
        <v>65.7083333333333</v>
      </c>
      <c r="I310" s="32">
        <v>480</v>
      </c>
      <c r="J310" s="16" t="s">
        <v>4528</v>
      </c>
      <c r="K310" s="16" t="s">
        <v>4529</v>
      </c>
      <c r="L310" s="16" t="s">
        <v>3907</v>
      </c>
    </row>
    <row r="311" spans="1:12" ht="19.5" customHeight="1" x14ac:dyDescent="0.35">
      <c r="A311" s="16" t="s">
        <v>1868</v>
      </c>
      <c r="B311" s="16" t="s">
        <v>1136</v>
      </c>
      <c r="C311" s="32">
        <v>26.1666666666667</v>
      </c>
      <c r="D311" s="32">
        <v>1570</v>
      </c>
      <c r="E311" s="19">
        <v>46</v>
      </c>
      <c r="F311" s="19">
        <v>23</v>
      </c>
      <c r="G311" s="33">
        <v>0.5</v>
      </c>
      <c r="H311" s="32">
        <v>34.130434782608702</v>
      </c>
      <c r="I311" s="32">
        <v>270</v>
      </c>
      <c r="J311" s="16" t="s">
        <v>4530</v>
      </c>
      <c r="K311" s="16" t="s">
        <v>4531</v>
      </c>
      <c r="L311" s="16" t="s">
        <v>3907</v>
      </c>
    </row>
    <row r="312" spans="1:12" ht="19.5" customHeight="1" x14ac:dyDescent="0.35">
      <c r="A312" s="16" t="s">
        <v>1871</v>
      </c>
      <c r="B312" s="16" t="s">
        <v>1697</v>
      </c>
      <c r="C312" s="32">
        <v>25.5</v>
      </c>
      <c r="D312" s="32">
        <v>1530</v>
      </c>
      <c r="E312" s="19">
        <v>20</v>
      </c>
      <c r="F312" s="19">
        <v>4</v>
      </c>
      <c r="G312" s="33">
        <v>0.2</v>
      </c>
      <c r="H312" s="32">
        <v>76.5</v>
      </c>
      <c r="I312" s="32">
        <v>700</v>
      </c>
      <c r="J312" s="16" t="s">
        <v>4532</v>
      </c>
      <c r="K312" s="16" t="s">
        <v>4533</v>
      </c>
      <c r="L312" s="16" t="s">
        <v>4534</v>
      </c>
    </row>
    <row r="313" spans="1:12" ht="19.5" customHeight="1" x14ac:dyDescent="0.35">
      <c r="A313" s="16" t="s">
        <v>1874</v>
      </c>
      <c r="B313" s="16" t="s">
        <v>1697</v>
      </c>
      <c r="C313" s="32">
        <v>25.4166666666667</v>
      </c>
      <c r="D313" s="32">
        <v>1525</v>
      </c>
      <c r="E313" s="19">
        <v>23</v>
      </c>
      <c r="F313" s="19">
        <v>8</v>
      </c>
      <c r="G313" s="33">
        <v>0.34782608695652201</v>
      </c>
      <c r="H313" s="32">
        <v>66.304347826086996</v>
      </c>
      <c r="I313" s="32">
        <v>475</v>
      </c>
      <c r="J313" s="16" t="s">
        <v>4535</v>
      </c>
      <c r="K313" s="16" t="s">
        <v>4536</v>
      </c>
      <c r="L313" s="16" t="s">
        <v>3924</v>
      </c>
    </row>
    <row r="314" spans="1:12" ht="19.5" customHeight="1" x14ac:dyDescent="0.35">
      <c r="A314" s="16" t="s">
        <v>1877</v>
      </c>
      <c r="B314" s="16" t="s">
        <v>1009</v>
      </c>
      <c r="C314" s="32">
        <v>25.3333333333333</v>
      </c>
      <c r="D314" s="32">
        <v>1520</v>
      </c>
      <c r="E314" s="19">
        <v>46</v>
      </c>
      <c r="F314" s="19">
        <v>14</v>
      </c>
      <c r="G314" s="33">
        <v>0.30434782608695699</v>
      </c>
      <c r="H314" s="32">
        <v>33.043478260869598</v>
      </c>
      <c r="I314" s="32">
        <v>480</v>
      </c>
      <c r="J314" s="16" t="s">
        <v>4537</v>
      </c>
      <c r="K314" s="16" t="s">
        <v>4538</v>
      </c>
      <c r="L314" s="16" t="s">
        <v>3907</v>
      </c>
    </row>
    <row r="315" spans="1:12" ht="19.5" customHeight="1" x14ac:dyDescent="0.35">
      <c r="A315" s="16" t="s">
        <v>1880</v>
      </c>
      <c r="B315" s="16" t="s">
        <v>898</v>
      </c>
      <c r="C315" s="32">
        <v>24.783333333333299</v>
      </c>
      <c r="D315" s="32">
        <v>1487</v>
      </c>
      <c r="E315" s="19">
        <v>62</v>
      </c>
      <c r="F315" s="19">
        <v>15</v>
      </c>
      <c r="G315" s="33">
        <v>0.241935483870968</v>
      </c>
      <c r="H315" s="32">
        <v>23.9838709677419</v>
      </c>
      <c r="I315" s="32">
        <v>180</v>
      </c>
      <c r="J315" s="16" t="s">
        <v>4539</v>
      </c>
      <c r="K315" s="16" t="s">
        <v>4540</v>
      </c>
      <c r="L315" s="16" t="s">
        <v>3907</v>
      </c>
    </row>
    <row r="316" spans="1:12" ht="19.5" customHeight="1" x14ac:dyDescent="0.35">
      <c r="A316" s="16" t="s">
        <v>1883</v>
      </c>
      <c r="B316" s="16" t="s">
        <v>909</v>
      </c>
      <c r="C316" s="32">
        <v>24.6666666666667</v>
      </c>
      <c r="D316" s="32">
        <v>1480</v>
      </c>
      <c r="E316" s="19">
        <v>24</v>
      </c>
      <c r="F316" s="19">
        <v>13</v>
      </c>
      <c r="G316" s="33">
        <v>0.54166666666666696</v>
      </c>
      <c r="H316" s="32">
        <v>61.6666666666667</v>
      </c>
      <c r="I316" s="32">
        <v>297</v>
      </c>
      <c r="J316" s="16" t="s">
        <v>4541</v>
      </c>
      <c r="K316" s="16" t="s">
        <v>4542</v>
      </c>
      <c r="L316" s="16" t="s">
        <v>3907</v>
      </c>
    </row>
    <row r="317" spans="1:12" ht="19.5" customHeight="1" x14ac:dyDescent="0.35">
      <c r="A317" s="16" t="s">
        <v>1887</v>
      </c>
      <c r="B317" s="16" t="s">
        <v>1077</v>
      </c>
      <c r="C317" s="32">
        <v>24.5</v>
      </c>
      <c r="D317" s="32">
        <v>1470</v>
      </c>
      <c r="E317" s="19">
        <v>74</v>
      </c>
      <c r="F317" s="19">
        <v>4</v>
      </c>
      <c r="G317" s="33">
        <v>5.4054054054054099E-2</v>
      </c>
      <c r="H317" s="32">
        <v>19.864864864864899</v>
      </c>
      <c r="I317" s="32">
        <v>960</v>
      </c>
      <c r="J317" s="16" t="s">
        <v>4543</v>
      </c>
      <c r="K317" s="16" t="s">
        <v>4544</v>
      </c>
      <c r="L317" s="16" t="s">
        <v>4360</v>
      </c>
    </row>
    <row r="318" spans="1:12" ht="19.5" customHeight="1" x14ac:dyDescent="0.35">
      <c r="A318" s="16" t="s">
        <v>1890</v>
      </c>
      <c r="B318" s="16" t="s">
        <v>1118</v>
      </c>
      <c r="C318" s="32">
        <v>24.283333333333299</v>
      </c>
      <c r="D318" s="32">
        <v>1457</v>
      </c>
      <c r="E318" s="19">
        <v>10</v>
      </c>
      <c r="F318" s="19">
        <v>5</v>
      </c>
      <c r="G318" s="33">
        <v>0.5</v>
      </c>
      <c r="H318" s="32">
        <v>145.69999999999999</v>
      </c>
      <c r="I318" s="32">
        <v>640</v>
      </c>
      <c r="J318" s="16" t="s">
        <v>4545</v>
      </c>
      <c r="K318" s="16" t="s">
        <v>4546</v>
      </c>
      <c r="L318" s="16" t="s">
        <v>4165</v>
      </c>
    </row>
    <row r="319" spans="1:12" ht="19.5" customHeight="1" x14ac:dyDescent="0.35">
      <c r="A319" s="16" t="s">
        <v>1893</v>
      </c>
      <c r="B319" s="16" t="s">
        <v>1009</v>
      </c>
      <c r="C319" s="32">
        <v>24.1666666666667</v>
      </c>
      <c r="D319" s="32">
        <v>1450</v>
      </c>
      <c r="E319" s="19">
        <v>48</v>
      </c>
      <c r="F319" s="19">
        <v>17</v>
      </c>
      <c r="G319" s="33">
        <v>0.35416666666666702</v>
      </c>
      <c r="H319" s="32">
        <v>30.2083333333333</v>
      </c>
      <c r="I319" s="32">
        <v>240</v>
      </c>
      <c r="J319" s="16" t="s">
        <v>4547</v>
      </c>
      <c r="K319" s="16" t="s">
        <v>4548</v>
      </c>
      <c r="L319" s="16" t="s">
        <v>3907</v>
      </c>
    </row>
    <row r="320" spans="1:12" ht="19.5" customHeight="1" x14ac:dyDescent="0.35">
      <c r="A320" s="16" t="s">
        <v>1896</v>
      </c>
      <c r="B320" s="16" t="s">
        <v>917</v>
      </c>
      <c r="C320" s="32">
        <v>24</v>
      </c>
      <c r="D320" s="32">
        <v>1440</v>
      </c>
      <c r="E320" s="19">
        <v>7</v>
      </c>
      <c r="F320" s="19">
        <v>3</v>
      </c>
      <c r="G320" s="33">
        <v>0.42857142857142899</v>
      </c>
      <c r="H320" s="32">
        <v>205.71428571428601</v>
      </c>
      <c r="I320" s="32">
        <v>1200</v>
      </c>
      <c r="J320" s="16" t="s">
        <v>4549</v>
      </c>
      <c r="K320" s="16" t="s">
        <v>4550</v>
      </c>
      <c r="L320" s="16" t="s">
        <v>3924</v>
      </c>
    </row>
    <row r="321" spans="1:12" ht="19.5" customHeight="1" x14ac:dyDescent="0.35">
      <c r="A321" s="16" t="s">
        <v>1899</v>
      </c>
      <c r="B321" s="16" t="s">
        <v>921</v>
      </c>
      <c r="C321" s="32">
        <v>23.983333333333299</v>
      </c>
      <c r="D321" s="32">
        <v>1439</v>
      </c>
      <c r="E321" s="19">
        <v>43</v>
      </c>
      <c r="F321" s="19">
        <v>16</v>
      </c>
      <c r="G321" s="33">
        <v>0.372093023255814</v>
      </c>
      <c r="H321" s="32">
        <v>33.465116279069797</v>
      </c>
      <c r="I321" s="32">
        <v>200</v>
      </c>
      <c r="J321" s="16" t="s">
        <v>4551</v>
      </c>
      <c r="K321" s="16" t="s">
        <v>4552</v>
      </c>
      <c r="L321" s="16" t="s">
        <v>3907</v>
      </c>
    </row>
    <row r="322" spans="1:12" ht="19.5" customHeight="1" x14ac:dyDescent="0.35">
      <c r="A322" s="16" t="s">
        <v>1902</v>
      </c>
      <c r="B322" s="16" t="s">
        <v>1817</v>
      </c>
      <c r="C322" s="32">
        <v>23.9</v>
      </c>
      <c r="D322" s="32">
        <v>1434</v>
      </c>
      <c r="E322" s="19">
        <v>2</v>
      </c>
      <c r="F322" s="19">
        <v>1</v>
      </c>
      <c r="G322" s="33">
        <v>0.5</v>
      </c>
      <c r="H322" s="32">
        <v>717</v>
      </c>
      <c r="I322" s="32">
        <v>1434</v>
      </c>
      <c r="J322" s="16" t="s">
        <v>4553</v>
      </c>
      <c r="K322" s="16" t="s">
        <v>4554</v>
      </c>
      <c r="L322" s="16" t="s">
        <v>4214</v>
      </c>
    </row>
    <row r="323" spans="1:12" ht="19.5" customHeight="1" x14ac:dyDescent="0.35">
      <c r="A323" s="16" t="s">
        <v>1905</v>
      </c>
      <c r="B323" s="16" t="s">
        <v>1240</v>
      </c>
      <c r="C323" s="32">
        <v>23.55</v>
      </c>
      <c r="D323" s="32">
        <v>1413</v>
      </c>
      <c r="E323" s="19">
        <v>46</v>
      </c>
      <c r="F323" s="19">
        <v>16</v>
      </c>
      <c r="G323" s="33">
        <v>0.34782608695652201</v>
      </c>
      <c r="H323" s="32">
        <v>30.7173913043478</v>
      </c>
      <c r="I323" s="32">
        <v>360</v>
      </c>
      <c r="J323" s="16" t="s">
        <v>4555</v>
      </c>
      <c r="K323" s="16" t="s">
        <v>4556</v>
      </c>
      <c r="L323" s="16" t="s">
        <v>3907</v>
      </c>
    </row>
    <row r="324" spans="1:12" ht="19.5" customHeight="1" x14ac:dyDescent="0.35">
      <c r="A324" s="16" t="s">
        <v>1908</v>
      </c>
      <c r="B324" s="16" t="s">
        <v>1077</v>
      </c>
      <c r="C324" s="32">
        <v>23.5</v>
      </c>
      <c r="D324" s="32">
        <v>1410</v>
      </c>
      <c r="E324" s="19">
        <v>42</v>
      </c>
      <c r="F324" s="19">
        <v>10</v>
      </c>
      <c r="G324" s="33">
        <v>0.238095238095238</v>
      </c>
      <c r="H324" s="32">
        <v>33.571428571428598</v>
      </c>
      <c r="I324" s="32">
        <v>240</v>
      </c>
      <c r="J324" s="16" t="s">
        <v>4557</v>
      </c>
      <c r="K324" s="16" t="s">
        <v>4558</v>
      </c>
      <c r="L324" s="16" t="s">
        <v>3941</v>
      </c>
    </row>
    <row r="325" spans="1:12" ht="19.5" customHeight="1" x14ac:dyDescent="0.35">
      <c r="A325" s="16" t="s">
        <v>1911</v>
      </c>
      <c r="B325" s="16" t="s">
        <v>1240</v>
      </c>
      <c r="C325" s="32">
        <v>23.4166666666667</v>
      </c>
      <c r="D325" s="32">
        <v>1405</v>
      </c>
      <c r="E325" s="19">
        <v>54</v>
      </c>
      <c r="F325" s="19">
        <v>21</v>
      </c>
      <c r="G325" s="33">
        <v>0.38888888888888901</v>
      </c>
      <c r="H325" s="32">
        <v>26.018518518518501</v>
      </c>
      <c r="I325" s="32">
        <v>200</v>
      </c>
      <c r="J325" s="16" t="s">
        <v>4559</v>
      </c>
      <c r="K325" s="16" t="s">
        <v>4560</v>
      </c>
      <c r="L325" s="16" t="s">
        <v>3907</v>
      </c>
    </row>
    <row r="326" spans="1:12" ht="19.5" customHeight="1" x14ac:dyDescent="0.35">
      <c r="A326" s="16" t="s">
        <v>1914</v>
      </c>
      <c r="B326" s="16" t="s">
        <v>1659</v>
      </c>
      <c r="C326" s="32">
        <v>23.3</v>
      </c>
      <c r="D326" s="32">
        <v>1398</v>
      </c>
      <c r="E326" s="19">
        <v>20</v>
      </c>
      <c r="F326" s="19">
        <v>9</v>
      </c>
      <c r="G326" s="33">
        <v>0.45</v>
      </c>
      <c r="H326" s="32">
        <v>69.900000000000006</v>
      </c>
      <c r="I326" s="32">
        <v>1000</v>
      </c>
      <c r="J326" s="16" t="s">
        <v>4561</v>
      </c>
      <c r="K326" s="16" t="s">
        <v>4562</v>
      </c>
      <c r="L326" s="16" t="s">
        <v>4253</v>
      </c>
    </row>
    <row r="327" spans="1:12" ht="19.5" customHeight="1" x14ac:dyDescent="0.35">
      <c r="A327" s="16" t="s">
        <v>1917</v>
      </c>
      <c r="B327" s="16" t="s">
        <v>905</v>
      </c>
      <c r="C327" s="32">
        <v>23.0833333333333</v>
      </c>
      <c r="D327" s="32">
        <v>1385</v>
      </c>
      <c r="E327" s="19">
        <v>28</v>
      </c>
      <c r="F327" s="19">
        <v>13</v>
      </c>
      <c r="G327" s="33">
        <v>0.46428571428571402</v>
      </c>
      <c r="H327" s="32">
        <v>49.464285714285701</v>
      </c>
      <c r="I327" s="32">
        <v>240</v>
      </c>
      <c r="J327" s="16" t="s">
        <v>4563</v>
      </c>
      <c r="K327" s="16" t="s">
        <v>4564</v>
      </c>
      <c r="L327" s="16" t="s">
        <v>4256</v>
      </c>
    </row>
    <row r="328" spans="1:12" ht="19.5" customHeight="1" x14ac:dyDescent="0.35">
      <c r="A328" s="16" t="s">
        <v>1920</v>
      </c>
      <c r="B328" s="16" t="s">
        <v>1084</v>
      </c>
      <c r="C328" s="32">
        <v>22.883333333333301</v>
      </c>
      <c r="D328" s="32">
        <v>1373</v>
      </c>
      <c r="E328" s="19">
        <v>10</v>
      </c>
      <c r="F328" s="19">
        <v>2</v>
      </c>
      <c r="G328" s="33">
        <v>0.2</v>
      </c>
      <c r="H328" s="32">
        <v>137.30000000000001</v>
      </c>
      <c r="I328" s="32">
        <v>1372</v>
      </c>
      <c r="J328" s="16" t="s">
        <v>4565</v>
      </c>
      <c r="K328" s="16" t="s">
        <v>4566</v>
      </c>
      <c r="L328" s="16" t="s">
        <v>3941</v>
      </c>
    </row>
    <row r="329" spans="1:12" ht="19.5" customHeight="1" x14ac:dyDescent="0.35">
      <c r="A329" s="16" t="s">
        <v>1923</v>
      </c>
      <c r="B329" s="16" t="s">
        <v>1122</v>
      </c>
      <c r="C329" s="32">
        <v>22.316666666666698</v>
      </c>
      <c r="D329" s="32">
        <v>1339</v>
      </c>
      <c r="E329" s="19">
        <v>80</v>
      </c>
      <c r="F329" s="19">
        <v>9</v>
      </c>
      <c r="G329" s="33">
        <v>0.1125</v>
      </c>
      <c r="H329" s="32">
        <v>16.737500000000001</v>
      </c>
      <c r="I329" s="32">
        <v>700</v>
      </c>
      <c r="J329" s="16" t="s">
        <v>4567</v>
      </c>
      <c r="K329" s="16" t="s">
        <v>4568</v>
      </c>
      <c r="L329" s="16" t="s">
        <v>3907</v>
      </c>
    </row>
    <row r="330" spans="1:12" ht="19.5" customHeight="1" x14ac:dyDescent="0.35">
      <c r="A330" s="16" t="s">
        <v>1926</v>
      </c>
      <c r="B330" s="16" t="s">
        <v>942</v>
      </c>
      <c r="C330" s="32">
        <v>22.25</v>
      </c>
      <c r="D330" s="32">
        <v>1335</v>
      </c>
      <c r="E330" s="19">
        <v>8</v>
      </c>
      <c r="F330" s="19">
        <v>6</v>
      </c>
      <c r="G330" s="33">
        <v>0.75</v>
      </c>
      <c r="H330" s="32">
        <v>166.875</v>
      </c>
      <c r="I330" s="32">
        <v>920</v>
      </c>
      <c r="J330" s="16" t="s">
        <v>4569</v>
      </c>
      <c r="K330" s="16" t="s">
        <v>4570</v>
      </c>
      <c r="L330" s="16" t="s">
        <v>4571</v>
      </c>
    </row>
    <row r="331" spans="1:12" ht="19.5" customHeight="1" x14ac:dyDescent="0.35">
      <c r="A331" s="16" t="s">
        <v>1929</v>
      </c>
      <c r="B331" s="16" t="s">
        <v>1136</v>
      </c>
      <c r="C331" s="32">
        <v>22.15</v>
      </c>
      <c r="D331" s="32">
        <v>1329</v>
      </c>
      <c r="E331" s="19">
        <v>18</v>
      </c>
      <c r="F331" s="19">
        <v>9</v>
      </c>
      <c r="G331" s="33">
        <v>0.5</v>
      </c>
      <c r="H331" s="32">
        <v>73.8333333333333</v>
      </c>
      <c r="I331" s="32">
        <v>300</v>
      </c>
      <c r="J331" s="16" t="s">
        <v>4572</v>
      </c>
      <c r="K331" s="16" t="s">
        <v>4573</v>
      </c>
      <c r="L331" s="16" t="s">
        <v>3907</v>
      </c>
    </row>
    <row r="332" spans="1:12" ht="19.5" customHeight="1" x14ac:dyDescent="0.35">
      <c r="A332" s="16" t="s">
        <v>1932</v>
      </c>
      <c r="B332" s="16" t="s">
        <v>913</v>
      </c>
      <c r="C332" s="32">
        <v>21.8333333333333</v>
      </c>
      <c r="D332" s="32">
        <v>1310</v>
      </c>
      <c r="E332" s="19">
        <v>13</v>
      </c>
      <c r="F332" s="19">
        <v>7</v>
      </c>
      <c r="G332" s="33">
        <v>0.53846153846153799</v>
      </c>
      <c r="H332" s="32">
        <v>100.769230769231</v>
      </c>
      <c r="I332" s="32">
        <v>640</v>
      </c>
      <c r="J332" s="16" t="s">
        <v>4574</v>
      </c>
      <c r="K332" s="16" t="s">
        <v>4575</v>
      </c>
      <c r="L332" s="16" t="s">
        <v>4256</v>
      </c>
    </row>
    <row r="333" spans="1:12" ht="19.5" customHeight="1" x14ac:dyDescent="0.35">
      <c r="A333" s="16" t="s">
        <v>1935</v>
      </c>
      <c r="B333" s="16" t="s">
        <v>1646</v>
      </c>
      <c r="C333" s="32">
        <v>21.733333333333299</v>
      </c>
      <c r="D333" s="32">
        <v>1304</v>
      </c>
      <c r="E333" s="19">
        <v>24</v>
      </c>
      <c r="F333" s="19">
        <v>4</v>
      </c>
      <c r="G333" s="33">
        <v>0.16666666666666699</v>
      </c>
      <c r="H333" s="32">
        <v>54.3333333333333</v>
      </c>
      <c r="I333" s="32">
        <v>704</v>
      </c>
      <c r="J333" s="16" t="s">
        <v>4576</v>
      </c>
      <c r="K333" s="16" t="s">
        <v>4577</v>
      </c>
      <c r="L333" s="16" t="s">
        <v>4253</v>
      </c>
    </row>
    <row r="334" spans="1:12" ht="19.5" customHeight="1" x14ac:dyDescent="0.35">
      <c r="A334" s="16" t="s">
        <v>1938</v>
      </c>
      <c r="B334" s="16" t="s">
        <v>973</v>
      </c>
      <c r="C334" s="32">
        <v>21.5</v>
      </c>
      <c r="D334" s="32">
        <v>1290</v>
      </c>
      <c r="E334" s="19">
        <v>39</v>
      </c>
      <c r="F334" s="19">
        <v>14</v>
      </c>
      <c r="G334" s="33">
        <v>0.35897435897435898</v>
      </c>
      <c r="H334" s="32">
        <v>33.076923076923102</v>
      </c>
      <c r="I334" s="32">
        <v>280</v>
      </c>
      <c r="J334" s="16" t="s">
        <v>4578</v>
      </c>
      <c r="K334" s="16" t="s">
        <v>4579</v>
      </c>
      <c r="L334" s="16" t="s">
        <v>3907</v>
      </c>
    </row>
    <row r="335" spans="1:12" ht="19.5" customHeight="1" x14ac:dyDescent="0.35">
      <c r="A335" s="16" t="s">
        <v>1941</v>
      </c>
      <c r="B335" s="16" t="s">
        <v>1009</v>
      </c>
      <c r="C335" s="32">
        <v>21.183333333333302</v>
      </c>
      <c r="D335" s="32">
        <v>1271</v>
      </c>
      <c r="E335" s="19">
        <v>41</v>
      </c>
      <c r="F335" s="19">
        <v>16</v>
      </c>
      <c r="G335" s="33">
        <v>0.39024390243902402</v>
      </c>
      <c r="H335" s="32">
        <v>31</v>
      </c>
      <c r="I335" s="32">
        <v>400</v>
      </c>
      <c r="J335" s="16" t="s">
        <v>4580</v>
      </c>
      <c r="K335" s="16" t="s">
        <v>4581</v>
      </c>
      <c r="L335" s="16" t="s">
        <v>3907</v>
      </c>
    </row>
    <row r="336" spans="1:12" ht="19.5" customHeight="1" x14ac:dyDescent="0.35">
      <c r="A336" s="16" t="s">
        <v>1944</v>
      </c>
      <c r="B336" s="16" t="s">
        <v>1494</v>
      </c>
      <c r="C336" s="32">
        <v>21.1666666666667</v>
      </c>
      <c r="D336" s="32">
        <v>1270</v>
      </c>
      <c r="E336" s="19">
        <v>9</v>
      </c>
      <c r="F336" s="19">
        <v>4</v>
      </c>
      <c r="G336" s="33">
        <v>0.44444444444444398</v>
      </c>
      <c r="H336" s="32">
        <v>141.111111111111</v>
      </c>
      <c r="I336" s="32">
        <v>1000</v>
      </c>
      <c r="J336" s="16" t="s">
        <v>4582</v>
      </c>
      <c r="K336" s="16" t="s">
        <v>4583</v>
      </c>
      <c r="L336" s="16" t="s">
        <v>3924</v>
      </c>
    </row>
    <row r="337" spans="1:12" ht="19.5" customHeight="1" x14ac:dyDescent="0.35">
      <c r="A337" s="16" t="s">
        <v>1947</v>
      </c>
      <c r="B337" s="16" t="s">
        <v>1111</v>
      </c>
      <c r="C337" s="32">
        <v>21.0833333333333</v>
      </c>
      <c r="D337" s="32">
        <v>1265</v>
      </c>
      <c r="E337" s="19">
        <v>34</v>
      </c>
      <c r="F337" s="19">
        <v>13</v>
      </c>
      <c r="G337" s="33">
        <v>0.38235294117647101</v>
      </c>
      <c r="H337" s="32">
        <v>37.205882352941202</v>
      </c>
      <c r="I337" s="32">
        <v>400</v>
      </c>
      <c r="J337" s="16" t="s">
        <v>4584</v>
      </c>
      <c r="K337" s="16" t="s">
        <v>4585</v>
      </c>
      <c r="L337" s="16" t="s">
        <v>3907</v>
      </c>
    </row>
    <row r="338" spans="1:12" ht="19.5" customHeight="1" x14ac:dyDescent="0.35">
      <c r="A338" s="16" t="s">
        <v>1950</v>
      </c>
      <c r="B338" s="16" t="s">
        <v>1240</v>
      </c>
      <c r="C338" s="32">
        <v>21.0833333333333</v>
      </c>
      <c r="D338" s="32">
        <v>1265</v>
      </c>
      <c r="E338" s="19">
        <v>30</v>
      </c>
      <c r="F338" s="19">
        <v>14</v>
      </c>
      <c r="G338" s="33">
        <v>0.46666666666666701</v>
      </c>
      <c r="H338" s="32">
        <v>42.1666666666667</v>
      </c>
      <c r="I338" s="32">
        <v>240</v>
      </c>
      <c r="J338" s="16" t="s">
        <v>4586</v>
      </c>
      <c r="K338" s="16" t="s">
        <v>4587</v>
      </c>
      <c r="L338" s="16" t="s">
        <v>3907</v>
      </c>
    </row>
    <row r="339" spans="1:12" ht="19.5" customHeight="1" x14ac:dyDescent="0.35">
      <c r="A339" s="16" t="s">
        <v>1953</v>
      </c>
      <c r="B339" s="16" t="s">
        <v>921</v>
      </c>
      <c r="C339" s="32">
        <v>21.05</v>
      </c>
      <c r="D339" s="32">
        <v>1263</v>
      </c>
      <c r="E339" s="19">
        <v>10</v>
      </c>
      <c r="F339" s="19">
        <v>6</v>
      </c>
      <c r="G339" s="33">
        <v>0.6</v>
      </c>
      <c r="H339" s="32">
        <v>126.3</v>
      </c>
      <c r="I339" s="32">
        <v>300</v>
      </c>
      <c r="J339" s="16" t="s">
        <v>4588</v>
      </c>
      <c r="K339" s="16" t="s">
        <v>4589</v>
      </c>
      <c r="L339" s="16" t="s">
        <v>3907</v>
      </c>
    </row>
    <row r="340" spans="1:12" ht="19.5" customHeight="1" x14ac:dyDescent="0.35">
      <c r="A340" s="16" t="s">
        <v>1956</v>
      </c>
      <c r="B340" s="16" t="s">
        <v>1122</v>
      </c>
      <c r="C340" s="32">
        <v>20.866666666666699</v>
      </c>
      <c r="D340" s="32">
        <v>1252</v>
      </c>
      <c r="E340" s="19">
        <v>74</v>
      </c>
      <c r="F340" s="19">
        <v>14</v>
      </c>
      <c r="G340" s="33">
        <v>0.18918918918918901</v>
      </c>
      <c r="H340" s="32">
        <v>16.918918918918902</v>
      </c>
      <c r="I340" s="32">
        <v>240</v>
      </c>
      <c r="J340" s="16" t="s">
        <v>4590</v>
      </c>
      <c r="K340" s="16" t="s">
        <v>4591</v>
      </c>
      <c r="L340" s="16" t="s">
        <v>3907</v>
      </c>
    </row>
    <row r="341" spans="1:12" ht="19.5" customHeight="1" x14ac:dyDescent="0.35">
      <c r="A341" s="16" t="s">
        <v>1959</v>
      </c>
      <c r="B341" s="16" t="s">
        <v>989</v>
      </c>
      <c r="C341" s="32">
        <v>20.6666666666667</v>
      </c>
      <c r="D341" s="32">
        <v>1240</v>
      </c>
      <c r="E341" s="19">
        <v>41</v>
      </c>
      <c r="F341" s="19">
        <v>11</v>
      </c>
      <c r="G341" s="33">
        <v>0.26829268292682901</v>
      </c>
      <c r="H341" s="32">
        <v>30.243902439024399</v>
      </c>
      <c r="I341" s="32">
        <v>400</v>
      </c>
      <c r="J341" s="16" t="s">
        <v>4592</v>
      </c>
      <c r="K341" s="16" t="s">
        <v>4593</v>
      </c>
      <c r="L341" s="16" t="s">
        <v>3907</v>
      </c>
    </row>
    <row r="342" spans="1:12" ht="19.5" customHeight="1" x14ac:dyDescent="0.35">
      <c r="A342" s="16" t="s">
        <v>1962</v>
      </c>
      <c r="B342" s="16" t="s">
        <v>929</v>
      </c>
      <c r="C342" s="32">
        <v>20.6666666666667</v>
      </c>
      <c r="D342" s="32">
        <v>1240</v>
      </c>
      <c r="E342" s="19">
        <v>27</v>
      </c>
      <c r="F342" s="19">
        <v>8</v>
      </c>
      <c r="G342" s="33">
        <v>0.296296296296296</v>
      </c>
      <c r="H342" s="32">
        <v>45.925925925925903</v>
      </c>
      <c r="I342" s="32">
        <v>500</v>
      </c>
      <c r="J342" s="16" t="s">
        <v>4594</v>
      </c>
      <c r="K342" s="16" t="s">
        <v>4595</v>
      </c>
      <c r="L342" s="16" t="s">
        <v>3907</v>
      </c>
    </row>
    <row r="343" spans="1:12" ht="19.5" customHeight="1" x14ac:dyDescent="0.35">
      <c r="A343" s="16" t="s">
        <v>1965</v>
      </c>
      <c r="B343" s="16" t="s">
        <v>1768</v>
      </c>
      <c r="C343" s="32">
        <v>20.5833333333333</v>
      </c>
      <c r="D343" s="32">
        <v>1235</v>
      </c>
      <c r="E343" s="19">
        <v>84</v>
      </c>
      <c r="F343" s="19">
        <v>7</v>
      </c>
      <c r="G343" s="33">
        <v>8.3333333333333301E-2</v>
      </c>
      <c r="H343" s="32">
        <v>14.702380952381001</v>
      </c>
      <c r="I343" s="32">
        <v>330</v>
      </c>
      <c r="J343" s="16" t="s">
        <v>4596</v>
      </c>
      <c r="K343" s="16" t="s">
        <v>4597</v>
      </c>
      <c r="L343" s="16" t="s">
        <v>3907</v>
      </c>
    </row>
    <row r="344" spans="1:12" ht="19.5" customHeight="1" x14ac:dyDescent="0.35">
      <c r="A344" s="16" t="s">
        <v>1968</v>
      </c>
      <c r="B344" s="16" t="s">
        <v>1136</v>
      </c>
      <c r="C344" s="32">
        <v>20.5</v>
      </c>
      <c r="D344" s="32">
        <v>1230</v>
      </c>
      <c r="E344" s="19">
        <v>26</v>
      </c>
      <c r="F344" s="19">
        <v>9</v>
      </c>
      <c r="G344" s="33">
        <v>0.34615384615384598</v>
      </c>
      <c r="H344" s="32">
        <v>47.307692307692299</v>
      </c>
      <c r="I344" s="32">
        <v>450</v>
      </c>
      <c r="J344" s="16" t="s">
        <v>4598</v>
      </c>
      <c r="K344" s="16" t="s">
        <v>4599</v>
      </c>
      <c r="L344" s="16" t="s">
        <v>3907</v>
      </c>
    </row>
    <row r="345" spans="1:12" ht="19.5" customHeight="1" x14ac:dyDescent="0.35">
      <c r="A345" s="16" t="s">
        <v>1971</v>
      </c>
      <c r="B345" s="16" t="s">
        <v>1077</v>
      </c>
      <c r="C345" s="32">
        <v>20.3333333333333</v>
      </c>
      <c r="D345" s="32">
        <v>1220</v>
      </c>
      <c r="E345" s="19">
        <v>21</v>
      </c>
      <c r="F345" s="19">
        <v>1</v>
      </c>
      <c r="G345" s="33">
        <v>4.7619047619047603E-2</v>
      </c>
      <c r="H345" s="32">
        <v>58.095238095238102</v>
      </c>
      <c r="I345" s="32">
        <v>1220</v>
      </c>
      <c r="J345" s="16" t="s">
        <v>4600</v>
      </c>
      <c r="K345" s="16" t="s">
        <v>4601</v>
      </c>
      <c r="L345" s="16" t="s">
        <v>3941</v>
      </c>
    </row>
    <row r="346" spans="1:12" ht="19.5" customHeight="1" x14ac:dyDescent="0.35">
      <c r="A346" s="16" t="s">
        <v>1974</v>
      </c>
      <c r="B346" s="16" t="s">
        <v>929</v>
      </c>
      <c r="C346" s="32">
        <v>20.3333333333333</v>
      </c>
      <c r="D346" s="32">
        <v>1220</v>
      </c>
      <c r="E346" s="19">
        <v>6</v>
      </c>
      <c r="F346" s="19">
        <v>3</v>
      </c>
      <c r="G346" s="33">
        <v>0.5</v>
      </c>
      <c r="H346" s="32">
        <v>203.333333333333</v>
      </c>
      <c r="I346" s="32">
        <v>1205</v>
      </c>
      <c r="J346" s="16" t="s">
        <v>4602</v>
      </c>
      <c r="K346" s="16" t="s">
        <v>4603</v>
      </c>
      <c r="L346" s="16" t="s">
        <v>4604</v>
      </c>
    </row>
    <row r="347" spans="1:12" ht="19.5" customHeight="1" x14ac:dyDescent="0.35">
      <c r="A347" s="16" t="s">
        <v>1977</v>
      </c>
      <c r="B347" s="16" t="s">
        <v>1136</v>
      </c>
      <c r="C347" s="32">
        <v>20.1666666666667</v>
      </c>
      <c r="D347" s="32">
        <v>1210</v>
      </c>
      <c r="E347" s="19">
        <v>39</v>
      </c>
      <c r="F347" s="19">
        <v>17</v>
      </c>
      <c r="G347" s="33">
        <v>0.43589743589743601</v>
      </c>
      <c r="H347" s="32">
        <v>31.025641025641001</v>
      </c>
      <c r="I347" s="32">
        <v>240</v>
      </c>
      <c r="J347" s="16" t="s">
        <v>4605</v>
      </c>
      <c r="K347" s="16" t="s">
        <v>4606</v>
      </c>
      <c r="L347" s="16" t="s">
        <v>3907</v>
      </c>
    </row>
    <row r="348" spans="1:12" ht="19.5" customHeight="1" x14ac:dyDescent="0.35">
      <c r="A348" s="16" t="s">
        <v>1980</v>
      </c>
      <c r="B348" s="16" t="s">
        <v>959</v>
      </c>
      <c r="C348" s="32">
        <v>20.066666666666698</v>
      </c>
      <c r="D348" s="32">
        <v>1204</v>
      </c>
      <c r="E348" s="19">
        <v>48</v>
      </c>
      <c r="F348" s="19">
        <v>8</v>
      </c>
      <c r="G348" s="33">
        <v>0.16666666666666699</v>
      </c>
      <c r="H348" s="32">
        <v>25.0833333333333</v>
      </c>
      <c r="I348" s="32">
        <v>420</v>
      </c>
      <c r="J348" s="16" t="s">
        <v>4607</v>
      </c>
      <c r="K348" s="16" t="s">
        <v>4608</v>
      </c>
      <c r="L348" s="16" t="s">
        <v>3941</v>
      </c>
    </row>
    <row r="349" spans="1:12" ht="19.5" customHeight="1" x14ac:dyDescent="0.35">
      <c r="A349" s="16" t="s">
        <v>1983</v>
      </c>
      <c r="B349" s="16" t="s">
        <v>959</v>
      </c>
      <c r="C349" s="32">
        <v>20.016666666666701</v>
      </c>
      <c r="D349" s="32">
        <v>1201</v>
      </c>
      <c r="E349" s="19">
        <v>48</v>
      </c>
      <c r="F349" s="19">
        <v>6</v>
      </c>
      <c r="G349" s="33">
        <v>0.125</v>
      </c>
      <c r="H349" s="32">
        <v>25.0208333333333</v>
      </c>
      <c r="I349" s="32">
        <v>649</v>
      </c>
      <c r="J349" s="16" t="s">
        <v>4609</v>
      </c>
      <c r="K349" s="16" t="s">
        <v>4610</v>
      </c>
      <c r="L349" s="16" t="s">
        <v>3941</v>
      </c>
    </row>
    <row r="350" spans="1:12" ht="19.5" customHeight="1" x14ac:dyDescent="0.35">
      <c r="A350" s="16" t="s">
        <v>1986</v>
      </c>
      <c r="B350" s="16" t="s">
        <v>1690</v>
      </c>
      <c r="C350" s="32">
        <v>19.95</v>
      </c>
      <c r="D350" s="32">
        <v>1197</v>
      </c>
      <c r="E350" s="19">
        <v>9</v>
      </c>
      <c r="F350" s="19">
        <v>4</v>
      </c>
      <c r="G350" s="33">
        <v>0.44444444444444398</v>
      </c>
      <c r="H350" s="32">
        <v>133</v>
      </c>
      <c r="I350" s="32">
        <v>822</v>
      </c>
      <c r="J350" s="16" t="s">
        <v>4611</v>
      </c>
      <c r="K350" s="16" t="s">
        <v>4612</v>
      </c>
      <c r="L350" s="16" t="s">
        <v>3907</v>
      </c>
    </row>
    <row r="351" spans="1:12" ht="19.5" customHeight="1" x14ac:dyDescent="0.35">
      <c r="A351" s="16" t="s">
        <v>1989</v>
      </c>
      <c r="B351" s="16" t="s">
        <v>1582</v>
      </c>
      <c r="C351" s="32">
        <v>19.899999999999999</v>
      </c>
      <c r="D351" s="32">
        <v>1194</v>
      </c>
      <c r="E351" s="19">
        <v>47</v>
      </c>
      <c r="F351" s="19">
        <v>18</v>
      </c>
      <c r="G351" s="33">
        <v>0.38297872340425498</v>
      </c>
      <c r="H351" s="32">
        <v>25.404255319148898</v>
      </c>
      <c r="I351" s="32">
        <v>180</v>
      </c>
      <c r="J351" s="16" t="s">
        <v>4613</v>
      </c>
      <c r="K351" s="16" t="s">
        <v>4614</v>
      </c>
      <c r="L351" s="16" t="s">
        <v>4491</v>
      </c>
    </row>
    <row r="352" spans="1:12" ht="19.5" customHeight="1" x14ac:dyDescent="0.35">
      <c r="A352" s="16" t="s">
        <v>1992</v>
      </c>
      <c r="B352" s="16" t="s">
        <v>905</v>
      </c>
      <c r="C352" s="32">
        <v>19.5833333333333</v>
      </c>
      <c r="D352" s="32">
        <v>1175</v>
      </c>
      <c r="E352" s="19">
        <v>17</v>
      </c>
      <c r="F352" s="19">
        <v>7</v>
      </c>
      <c r="G352" s="33">
        <v>0.41176470588235298</v>
      </c>
      <c r="H352" s="32">
        <v>69.117647058823493</v>
      </c>
      <c r="I352" s="32">
        <v>365</v>
      </c>
      <c r="J352" s="16" t="s">
        <v>4615</v>
      </c>
      <c r="K352" s="16" t="s">
        <v>4616</v>
      </c>
      <c r="L352" s="16" t="s">
        <v>3924</v>
      </c>
    </row>
    <row r="353" spans="1:12" ht="19.5" customHeight="1" x14ac:dyDescent="0.35">
      <c r="A353" s="16" t="s">
        <v>1995</v>
      </c>
      <c r="B353" s="16" t="s">
        <v>946</v>
      </c>
      <c r="C353" s="32">
        <v>19.516666666666701</v>
      </c>
      <c r="D353" s="32">
        <v>1171</v>
      </c>
      <c r="E353" s="19">
        <v>38</v>
      </c>
      <c r="F353" s="19">
        <v>23</v>
      </c>
      <c r="G353" s="33">
        <v>0.60526315789473695</v>
      </c>
      <c r="H353" s="32">
        <v>30.815789473684202</v>
      </c>
      <c r="I353" s="32">
        <v>240</v>
      </c>
      <c r="J353" s="16" t="s">
        <v>4617</v>
      </c>
      <c r="K353" s="16" t="s">
        <v>4618</v>
      </c>
      <c r="L353" s="16" t="s">
        <v>3924</v>
      </c>
    </row>
    <row r="354" spans="1:12" ht="19.5" customHeight="1" x14ac:dyDescent="0.35">
      <c r="A354" s="16" t="s">
        <v>1998</v>
      </c>
      <c r="B354" s="16" t="s">
        <v>963</v>
      </c>
      <c r="C354" s="32">
        <v>19.45</v>
      </c>
      <c r="D354" s="32">
        <v>1167</v>
      </c>
      <c r="E354" s="19">
        <v>8</v>
      </c>
      <c r="F354" s="19">
        <v>3</v>
      </c>
      <c r="G354" s="33">
        <v>0.375</v>
      </c>
      <c r="H354" s="32">
        <v>145.875</v>
      </c>
      <c r="I354" s="32">
        <v>887</v>
      </c>
      <c r="J354" s="16" t="s">
        <v>4619</v>
      </c>
      <c r="K354" s="16" t="s">
        <v>4620</v>
      </c>
      <c r="L354" s="16" t="s">
        <v>4165</v>
      </c>
    </row>
    <row r="355" spans="1:12" ht="19.5" customHeight="1" x14ac:dyDescent="0.35">
      <c r="A355" s="16" t="s">
        <v>2001</v>
      </c>
      <c r="B355" s="16" t="s">
        <v>1077</v>
      </c>
      <c r="C355" s="32">
        <v>19.3333333333333</v>
      </c>
      <c r="D355" s="32">
        <v>1160</v>
      </c>
      <c r="E355" s="19">
        <v>35</v>
      </c>
      <c r="F355" s="19">
        <v>7</v>
      </c>
      <c r="G355" s="33">
        <v>0.2</v>
      </c>
      <c r="H355" s="32">
        <v>33.142857142857203</v>
      </c>
      <c r="I355" s="32">
        <v>480</v>
      </c>
      <c r="J355" s="16" t="s">
        <v>4621</v>
      </c>
      <c r="K355" s="16" t="s">
        <v>4622</v>
      </c>
      <c r="L355" s="16" t="s">
        <v>3941</v>
      </c>
    </row>
    <row r="356" spans="1:12" ht="19.5" customHeight="1" x14ac:dyDescent="0.35">
      <c r="A356" s="16" t="s">
        <v>2004</v>
      </c>
      <c r="B356" s="16" t="s">
        <v>1122</v>
      </c>
      <c r="C356" s="32">
        <v>19.1666666666667</v>
      </c>
      <c r="D356" s="32">
        <v>1150</v>
      </c>
      <c r="E356" s="19">
        <v>39</v>
      </c>
      <c r="F356" s="19">
        <v>8</v>
      </c>
      <c r="G356" s="33">
        <v>0.20512820512820501</v>
      </c>
      <c r="H356" s="32">
        <v>29.4871794871795</v>
      </c>
      <c r="I356" s="32">
        <v>330</v>
      </c>
      <c r="J356" s="16" t="s">
        <v>4623</v>
      </c>
      <c r="K356" s="16" t="s">
        <v>4624</v>
      </c>
      <c r="L356" s="16" t="s">
        <v>3924</v>
      </c>
    </row>
    <row r="357" spans="1:12" ht="19.5" customHeight="1" x14ac:dyDescent="0.35">
      <c r="A357" s="16" t="s">
        <v>2007</v>
      </c>
      <c r="B357" s="16" t="s">
        <v>1136</v>
      </c>
      <c r="C357" s="32">
        <v>19.116666666666699</v>
      </c>
      <c r="D357" s="32">
        <v>1147</v>
      </c>
      <c r="E357" s="19">
        <v>32</v>
      </c>
      <c r="F357" s="19">
        <v>12</v>
      </c>
      <c r="G357" s="33">
        <v>0.375</v>
      </c>
      <c r="H357" s="32">
        <v>35.84375</v>
      </c>
      <c r="I357" s="32">
        <v>240</v>
      </c>
      <c r="J357" s="16" t="s">
        <v>4625</v>
      </c>
      <c r="K357" s="16" t="s">
        <v>4626</v>
      </c>
      <c r="L357" s="16" t="s">
        <v>3907</v>
      </c>
    </row>
    <row r="358" spans="1:12" ht="19.5" customHeight="1" x14ac:dyDescent="0.35">
      <c r="A358" s="16" t="s">
        <v>2010</v>
      </c>
      <c r="B358" s="16" t="s">
        <v>1077</v>
      </c>
      <c r="C358" s="32">
        <v>19.016666666666701</v>
      </c>
      <c r="D358" s="32">
        <v>1141</v>
      </c>
      <c r="E358" s="19">
        <v>65</v>
      </c>
      <c r="F358" s="19">
        <v>6</v>
      </c>
      <c r="G358" s="33">
        <v>9.2307692307692299E-2</v>
      </c>
      <c r="H358" s="32">
        <v>17.553846153846202</v>
      </c>
      <c r="I358" s="32">
        <v>480</v>
      </c>
      <c r="J358" s="16" t="s">
        <v>4627</v>
      </c>
      <c r="K358" s="16" t="s">
        <v>4628</v>
      </c>
      <c r="L358" s="16" t="s">
        <v>4360</v>
      </c>
    </row>
    <row r="359" spans="1:12" ht="19.5" customHeight="1" x14ac:dyDescent="0.35">
      <c r="A359" s="16" t="s">
        <v>2013</v>
      </c>
      <c r="B359" s="16" t="s">
        <v>1009</v>
      </c>
      <c r="C359" s="32">
        <v>18.850000000000001</v>
      </c>
      <c r="D359" s="32">
        <v>1131</v>
      </c>
      <c r="E359" s="19">
        <v>45</v>
      </c>
      <c r="F359" s="19">
        <v>16</v>
      </c>
      <c r="G359" s="33">
        <v>0.35555555555555601</v>
      </c>
      <c r="H359" s="32">
        <v>25.133333333333301</v>
      </c>
      <c r="I359" s="32">
        <v>261</v>
      </c>
      <c r="J359" s="16" t="s">
        <v>4629</v>
      </c>
      <c r="K359" s="16" t="s">
        <v>4630</v>
      </c>
      <c r="L359" s="16" t="s">
        <v>3907</v>
      </c>
    </row>
    <row r="360" spans="1:12" ht="19.5" customHeight="1" x14ac:dyDescent="0.35">
      <c r="A360" s="16" t="s">
        <v>2016</v>
      </c>
      <c r="B360" s="16" t="s">
        <v>959</v>
      </c>
      <c r="C360" s="32">
        <v>18.716666666666701</v>
      </c>
      <c r="D360" s="32">
        <v>1123</v>
      </c>
      <c r="E360" s="19">
        <v>63</v>
      </c>
      <c r="F360" s="19">
        <v>9</v>
      </c>
      <c r="G360" s="33">
        <v>0.14285714285714299</v>
      </c>
      <c r="H360" s="32">
        <v>17.825396825396801</v>
      </c>
      <c r="I360" s="32">
        <v>480</v>
      </c>
      <c r="J360" s="16" t="s">
        <v>4631</v>
      </c>
      <c r="K360" s="16" t="s">
        <v>4632</v>
      </c>
      <c r="L360" s="16" t="s">
        <v>3941</v>
      </c>
    </row>
    <row r="361" spans="1:12" ht="19.5" customHeight="1" x14ac:dyDescent="0.35">
      <c r="A361" s="16" t="s">
        <v>2019</v>
      </c>
      <c r="B361" s="16" t="s">
        <v>1070</v>
      </c>
      <c r="C361" s="32">
        <v>18.7</v>
      </c>
      <c r="D361" s="32">
        <v>1122</v>
      </c>
      <c r="E361" s="19">
        <v>30</v>
      </c>
      <c r="F361" s="19">
        <v>16</v>
      </c>
      <c r="G361" s="33">
        <v>0.53333333333333299</v>
      </c>
      <c r="H361" s="32">
        <v>37.4</v>
      </c>
      <c r="I361" s="32">
        <v>360</v>
      </c>
      <c r="J361" s="16" t="s">
        <v>4633</v>
      </c>
      <c r="K361" s="16" t="s">
        <v>4634</v>
      </c>
      <c r="L361" s="16" t="s">
        <v>3907</v>
      </c>
    </row>
    <row r="362" spans="1:12" ht="19.5" customHeight="1" x14ac:dyDescent="0.35">
      <c r="A362" s="16" t="s">
        <v>2022</v>
      </c>
      <c r="B362" s="16" t="s">
        <v>913</v>
      </c>
      <c r="C362" s="32">
        <v>18.7</v>
      </c>
      <c r="D362" s="32">
        <v>1122</v>
      </c>
      <c r="E362" s="19">
        <v>20</v>
      </c>
      <c r="F362" s="19">
        <v>15</v>
      </c>
      <c r="G362" s="33">
        <v>0.75</v>
      </c>
      <c r="H362" s="32">
        <v>56.1</v>
      </c>
      <c r="I362" s="32">
        <v>180</v>
      </c>
      <c r="J362" s="16" t="s">
        <v>4635</v>
      </c>
      <c r="K362" s="16" t="s">
        <v>4636</v>
      </c>
      <c r="L362" s="16" t="s">
        <v>3924</v>
      </c>
    </row>
    <row r="363" spans="1:12" ht="19.5" customHeight="1" x14ac:dyDescent="0.35">
      <c r="A363" s="16" t="s">
        <v>2025</v>
      </c>
      <c r="B363" s="16" t="s">
        <v>1582</v>
      </c>
      <c r="C363" s="32">
        <v>18.4166666666667</v>
      </c>
      <c r="D363" s="32">
        <v>1105</v>
      </c>
      <c r="E363" s="19">
        <v>44</v>
      </c>
      <c r="F363" s="19">
        <v>17</v>
      </c>
      <c r="G363" s="33">
        <v>0.38636363636363602</v>
      </c>
      <c r="H363" s="32">
        <v>25.113636363636399</v>
      </c>
      <c r="I363" s="32">
        <v>360</v>
      </c>
      <c r="J363" s="16" t="s">
        <v>4637</v>
      </c>
      <c r="K363" s="16" t="s">
        <v>4638</v>
      </c>
      <c r="L363" s="16" t="s">
        <v>4491</v>
      </c>
    </row>
    <row r="364" spans="1:12" ht="19.5" customHeight="1" x14ac:dyDescent="0.35">
      <c r="A364" s="16" t="s">
        <v>2028</v>
      </c>
      <c r="B364" s="16" t="s">
        <v>913</v>
      </c>
      <c r="C364" s="32">
        <v>18.4166666666667</v>
      </c>
      <c r="D364" s="32">
        <v>1105</v>
      </c>
      <c r="E364" s="19">
        <v>21</v>
      </c>
      <c r="F364" s="19">
        <v>14</v>
      </c>
      <c r="G364" s="33">
        <v>0.66666666666666696</v>
      </c>
      <c r="H364" s="32">
        <v>52.619047619047599</v>
      </c>
      <c r="I364" s="32">
        <v>240</v>
      </c>
      <c r="J364" s="16" t="s">
        <v>4639</v>
      </c>
      <c r="K364" s="16" t="s">
        <v>4640</v>
      </c>
      <c r="L364" s="16" t="s">
        <v>3907</v>
      </c>
    </row>
    <row r="365" spans="1:12" ht="19.5" customHeight="1" x14ac:dyDescent="0.35">
      <c r="A365" s="16" t="s">
        <v>2031</v>
      </c>
      <c r="B365" s="16" t="s">
        <v>989</v>
      </c>
      <c r="C365" s="32">
        <v>18.233333333333299</v>
      </c>
      <c r="D365" s="32">
        <v>1094</v>
      </c>
      <c r="E365" s="19">
        <v>17</v>
      </c>
      <c r="F365" s="19">
        <v>4</v>
      </c>
      <c r="G365" s="33">
        <v>0.23529411764705899</v>
      </c>
      <c r="H365" s="32">
        <v>64.352941176470594</v>
      </c>
      <c r="I365" s="32">
        <v>866</v>
      </c>
      <c r="J365" s="16" t="s">
        <v>4641</v>
      </c>
      <c r="K365" s="16" t="s">
        <v>4642</v>
      </c>
      <c r="L365" s="16" t="s">
        <v>4165</v>
      </c>
    </row>
    <row r="366" spans="1:12" ht="19.5" customHeight="1" x14ac:dyDescent="0.35">
      <c r="A366" s="16" t="s">
        <v>2034</v>
      </c>
      <c r="B366" s="16" t="s">
        <v>1697</v>
      </c>
      <c r="C366" s="32">
        <v>18.1666666666667</v>
      </c>
      <c r="D366" s="32">
        <v>1090</v>
      </c>
      <c r="E366" s="19">
        <v>9</v>
      </c>
      <c r="F366" s="19">
        <v>4</v>
      </c>
      <c r="G366" s="33">
        <v>0.44444444444444398</v>
      </c>
      <c r="H366" s="32">
        <v>121.111111111111</v>
      </c>
      <c r="I366" s="32">
        <v>460</v>
      </c>
      <c r="J366" s="16" t="s">
        <v>4582</v>
      </c>
      <c r="K366" s="16" t="s">
        <v>4643</v>
      </c>
      <c r="L366" s="16" t="s">
        <v>4644</v>
      </c>
    </row>
    <row r="367" spans="1:12" ht="19.5" customHeight="1" x14ac:dyDescent="0.35">
      <c r="A367" s="16" t="s">
        <v>2036</v>
      </c>
      <c r="B367" s="16" t="s">
        <v>1054</v>
      </c>
      <c r="C367" s="32">
        <v>18</v>
      </c>
      <c r="D367" s="32">
        <v>1080</v>
      </c>
      <c r="E367" s="19">
        <v>14</v>
      </c>
      <c r="F367" s="19">
        <v>8</v>
      </c>
      <c r="G367" s="33">
        <v>0.57142857142857095</v>
      </c>
      <c r="H367" s="32">
        <v>77.142857142857096</v>
      </c>
      <c r="I367" s="32">
        <v>480</v>
      </c>
      <c r="J367" s="16" t="s">
        <v>4645</v>
      </c>
      <c r="K367" s="16" t="s">
        <v>4646</v>
      </c>
      <c r="L367" s="16" t="s">
        <v>4349</v>
      </c>
    </row>
    <row r="368" spans="1:12" ht="19.5" customHeight="1" x14ac:dyDescent="0.35">
      <c r="A368" s="16" t="s">
        <v>2039</v>
      </c>
      <c r="B368" s="16" t="s">
        <v>1009</v>
      </c>
      <c r="C368" s="32">
        <v>17.766666666666701</v>
      </c>
      <c r="D368" s="32">
        <v>1066</v>
      </c>
      <c r="E368" s="19">
        <v>29</v>
      </c>
      <c r="F368" s="19">
        <v>11</v>
      </c>
      <c r="G368" s="33">
        <v>0.37931034482758602</v>
      </c>
      <c r="H368" s="32">
        <v>36.758620689655203</v>
      </c>
      <c r="I368" s="32">
        <v>240</v>
      </c>
      <c r="J368" s="16" t="s">
        <v>4647</v>
      </c>
      <c r="K368" s="16" t="s">
        <v>4648</v>
      </c>
      <c r="L368" s="16" t="s">
        <v>3924</v>
      </c>
    </row>
    <row r="369" spans="1:12" ht="19.5" customHeight="1" x14ac:dyDescent="0.35">
      <c r="A369" s="16" t="s">
        <v>2042</v>
      </c>
      <c r="B369" s="16" t="s">
        <v>913</v>
      </c>
      <c r="C369" s="32">
        <v>17.733333333333299</v>
      </c>
      <c r="D369" s="32">
        <v>1064</v>
      </c>
      <c r="E369" s="19">
        <v>8</v>
      </c>
      <c r="F369" s="19">
        <v>4</v>
      </c>
      <c r="G369" s="33">
        <v>0.5</v>
      </c>
      <c r="H369" s="32">
        <v>133</v>
      </c>
      <c r="I369" s="32">
        <v>400</v>
      </c>
      <c r="J369" s="16" t="s">
        <v>4649</v>
      </c>
      <c r="K369" s="16" t="s">
        <v>4650</v>
      </c>
      <c r="L369" s="16" t="s">
        <v>3941</v>
      </c>
    </row>
    <row r="370" spans="1:12" ht="19.5" customHeight="1" x14ac:dyDescent="0.35">
      <c r="A370" s="16" t="s">
        <v>2045</v>
      </c>
      <c r="B370" s="16" t="s">
        <v>905</v>
      </c>
      <c r="C370" s="32">
        <v>17.616666666666699</v>
      </c>
      <c r="D370" s="32">
        <v>1057</v>
      </c>
      <c r="E370" s="19">
        <v>38</v>
      </c>
      <c r="F370" s="19">
        <v>17</v>
      </c>
      <c r="G370" s="33">
        <v>0.44736842105263203</v>
      </c>
      <c r="H370" s="32">
        <v>27.815789473684202</v>
      </c>
      <c r="I370" s="32">
        <v>180</v>
      </c>
      <c r="J370" s="16" t="s">
        <v>4651</v>
      </c>
      <c r="K370" s="16" t="s">
        <v>4652</v>
      </c>
      <c r="L370" s="16" t="s">
        <v>3924</v>
      </c>
    </row>
    <row r="371" spans="1:12" ht="19.5" customHeight="1" x14ac:dyDescent="0.35">
      <c r="A371" s="16" t="s">
        <v>2048</v>
      </c>
      <c r="B371" s="16" t="s">
        <v>973</v>
      </c>
      <c r="C371" s="32">
        <v>17.5833333333333</v>
      </c>
      <c r="D371" s="32">
        <v>1055</v>
      </c>
      <c r="E371" s="19">
        <v>41</v>
      </c>
      <c r="F371" s="19">
        <v>13</v>
      </c>
      <c r="G371" s="33">
        <v>0.31707317073170699</v>
      </c>
      <c r="H371" s="32">
        <v>25.731707317073202</v>
      </c>
      <c r="I371" s="32">
        <v>300</v>
      </c>
      <c r="J371" s="16" t="s">
        <v>4653</v>
      </c>
      <c r="K371" s="16" t="s">
        <v>4654</v>
      </c>
      <c r="L371" s="16" t="s">
        <v>3907</v>
      </c>
    </row>
    <row r="372" spans="1:12" ht="19.5" customHeight="1" x14ac:dyDescent="0.35">
      <c r="A372" s="16" t="s">
        <v>2051</v>
      </c>
      <c r="B372" s="16" t="s">
        <v>1077</v>
      </c>
      <c r="C372" s="32">
        <v>17.5833333333333</v>
      </c>
      <c r="D372" s="32">
        <v>1055</v>
      </c>
      <c r="E372" s="19">
        <v>30</v>
      </c>
      <c r="F372" s="19">
        <v>4</v>
      </c>
      <c r="G372" s="33">
        <v>0.133333333333333</v>
      </c>
      <c r="H372" s="32">
        <v>35.1666666666667</v>
      </c>
      <c r="I372" s="32">
        <v>960</v>
      </c>
      <c r="J372" s="16" t="s">
        <v>4655</v>
      </c>
      <c r="K372" s="16" t="s">
        <v>4656</v>
      </c>
      <c r="L372" s="16" t="s">
        <v>3941</v>
      </c>
    </row>
    <row r="373" spans="1:12" ht="19.5" customHeight="1" x14ac:dyDescent="0.35">
      <c r="A373" s="16" t="s">
        <v>2054</v>
      </c>
      <c r="B373" s="16" t="s">
        <v>1118</v>
      </c>
      <c r="C373" s="32">
        <v>17.566666666666698</v>
      </c>
      <c r="D373" s="32">
        <v>1054</v>
      </c>
      <c r="E373" s="19">
        <v>7</v>
      </c>
      <c r="F373" s="19">
        <v>3</v>
      </c>
      <c r="G373" s="33">
        <v>0.42857142857142899</v>
      </c>
      <c r="H373" s="32">
        <v>150.57142857142901</v>
      </c>
      <c r="I373" s="32">
        <v>450</v>
      </c>
      <c r="J373" s="16" t="s">
        <v>4657</v>
      </c>
      <c r="K373" s="16" t="s">
        <v>4658</v>
      </c>
      <c r="L373" s="16" t="s">
        <v>3941</v>
      </c>
    </row>
    <row r="374" spans="1:12" ht="19.5" customHeight="1" x14ac:dyDescent="0.35">
      <c r="A374" s="16" t="s">
        <v>2057</v>
      </c>
      <c r="B374" s="16" t="s">
        <v>921</v>
      </c>
      <c r="C374" s="32">
        <v>17.5</v>
      </c>
      <c r="D374" s="32">
        <v>1050</v>
      </c>
      <c r="E374" s="19">
        <v>60</v>
      </c>
      <c r="F374" s="19">
        <v>10</v>
      </c>
      <c r="G374" s="33">
        <v>0.16666666666666699</v>
      </c>
      <c r="H374" s="32">
        <v>17.5</v>
      </c>
      <c r="I374" s="32">
        <v>330</v>
      </c>
      <c r="J374" s="16" t="s">
        <v>4659</v>
      </c>
      <c r="K374" s="16" t="s">
        <v>4660</v>
      </c>
      <c r="L374" s="16" t="s">
        <v>3907</v>
      </c>
    </row>
    <row r="375" spans="1:12" ht="19.5" customHeight="1" x14ac:dyDescent="0.35">
      <c r="A375" s="16" t="s">
        <v>2060</v>
      </c>
      <c r="B375" s="16" t="s">
        <v>989</v>
      </c>
      <c r="C375" s="32">
        <v>17.5</v>
      </c>
      <c r="D375" s="32">
        <v>1050</v>
      </c>
      <c r="E375" s="19">
        <v>11</v>
      </c>
      <c r="F375" s="19">
        <v>9</v>
      </c>
      <c r="G375" s="33">
        <v>0.81818181818181801</v>
      </c>
      <c r="H375" s="32">
        <v>95.454545454545496</v>
      </c>
      <c r="I375" s="32">
        <v>270</v>
      </c>
      <c r="J375" s="16" t="s">
        <v>4661</v>
      </c>
      <c r="K375" s="16" t="s">
        <v>4662</v>
      </c>
      <c r="L375" s="16" t="s">
        <v>4253</v>
      </c>
    </row>
    <row r="376" spans="1:12" ht="19.5" customHeight="1" x14ac:dyDescent="0.35">
      <c r="A376" s="16" t="s">
        <v>2063</v>
      </c>
      <c r="B376" s="16" t="s">
        <v>1077</v>
      </c>
      <c r="C376" s="32">
        <v>17.3333333333333</v>
      </c>
      <c r="D376" s="32">
        <v>1040</v>
      </c>
      <c r="E376" s="19">
        <v>32</v>
      </c>
      <c r="F376" s="19">
        <v>6</v>
      </c>
      <c r="G376" s="33">
        <v>0.1875</v>
      </c>
      <c r="H376" s="32">
        <v>32.5</v>
      </c>
      <c r="I376" s="32">
        <v>480</v>
      </c>
      <c r="J376" s="16" t="s">
        <v>4663</v>
      </c>
      <c r="K376" s="16" t="s">
        <v>4664</v>
      </c>
      <c r="L376" s="16" t="s">
        <v>3941</v>
      </c>
    </row>
    <row r="377" spans="1:12" ht="19.5" customHeight="1" x14ac:dyDescent="0.35">
      <c r="A377" s="16" t="s">
        <v>2066</v>
      </c>
      <c r="B377" s="16" t="s">
        <v>1077</v>
      </c>
      <c r="C377" s="32">
        <v>17.0833333333333</v>
      </c>
      <c r="D377" s="32">
        <v>1025</v>
      </c>
      <c r="E377" s="19">
        <v>44</v>
      </c>
      <c r="F377" s="19">
        <v>6</v>
      </c>
      <c r="G377" s="33">
        <v>0.13636363636363599</v>
      </c>
      <c r="H377" s="32">
        <v>23.2954545454546</v>
      </c>
      <c r="I377" s="32">
        <v>480</v>
      </c>
      <c r="J377" s="16" t="s">
        <v>4665</v>
      </c>
      <c r="K377" s="16" t="s">
        <v>4666</v>
      </c>
      <c r="L377" s="16" t="s">
        <v>3924</v>
      </c>
    </row>
    <row r="378" spans="1:12" ht="19.5" customHeight="1" x14ac:dyDescent="0.35">
      <c r="A378" s="16" t="s">
        <v>2069</v>
      </c>
      <c r="B378" s="16" t="s">
        <v>1009</v>
      </c>
      <c r="C378" s="32">
        <v>17</v>
      </c>
      <c r="D378" s="32">
        <v>1020</v>
      </c>
      <c r="E378" s="19">
        <v>43</v>
      </c>
      <c r="F378" s="19">
        <v>12</v>
      </c>
      <c r="G378" s="33">
        <v>0.27906976744186102</v>
      </c>
      <c r="H378" s="32">
        <v>23.7209302325581</v>
      </c>
      <c r="I378" s="32">
        <v>240</v>
      </c>
      <c r="J378" s="16" t="s">
        <v>4667</v>
      </c>
      <c r="K378" s="16" t="s">
        <v>4668</v>
      </c>
      <c r="L378" s="16" t="s">
        <v>3907</v>
      </c>
    </row>
    <row r="379" spans="1:12" ht="19.5" customHeight="1" x14ac:dyDescent="0.35">
      <c r="A379" s="16" t="s">
        <v>2072</v>
      </c>
      <c r="B379" s="16" t="s">
        <v>1077</v>
      </c>
      <c r="C379" s="32">
        <v>17</v>
      </c>
      <c r="D379" s="32">
        <v>1020</v>
      </c>
      <c r="E379" s="19">
        <v>35</v>
      </c>
      <c r="F379" s="19">
        <v>5</v>
      </c>
      <c r="G379" s="33">
        <v>0.14285714285714299</v>
      </c>
      <c r="H379" s="32">
        <v>29.1428571428571</v>
      </c>
      <c r="I379" s="32">
        <v>480</v>
      </c>
      <c r="J379" s="16" t="s">
        <v>4669</v>
      </c>
      <c r="K379" s="16" t="s">
        <v>4670</v>
      </c>
      <c r="L379" s="16" t="s">
        <v>3941</v>
      </c>
    </row>
    <row r="380" spans="1:12" ht="19.5" customHeight="1" x14ac:dyDescent="0.35">
      <c r="A380" s="16" t="s">
        <v>2075</v>
      </c>
      <c r="B380" s="16" t="s">
        <v>1212</v>
      </c>
      <c r="C380" s="32">
        <v>16.6666666666667</v>
      </c>
      <c r="D380" s="32">
        <v>1000</v>
      </c>
      <c r="E380" s="19">
        <v>24</v>
      </c>
      <c r="F380" s="19">
        <v>8</v>
      </c>
      <c r="G380" s="33">
        <v>0.33333333333333298</v>
      </c>
      <c r="H380" s="32">
        <v>41.6666666666667</v>
      </c>
      <c r="I380" s="32">
        <v>460</v>
      </c>
      <c r="J380" s="16" t="s">
        <v>4671</v>
      </c>
      <c r="K380" s="16" t="s">
        <v>4672</v>
      </c>
      <c r="L380" s="16" t="s">
        <v>4673</v>
      </c>
    </row>
    <row r="381" spans="1:12" ht="19.5" customHeight="1" x14ac:dyDescent="0.35">
      <c r="A381" s="16" t="s">
        <v>2078</v>
      </c>
      <c r="B381" s="16" t="s">
        <v>1118</v>
      </c>
      <c r="C381" s="32">
        <v>16.45</v>
      </c>
      <c r="D381" s="32">
        <v>987</v>
      </c>
      <c r="E381" s="19">
        <v>25</v>
      </c>
      <c r="F381" s="19">
        <v>8</v>
      </c>
      <c r="G381" s="33">
        <v>0.32</v>
      </c>
      <c r="H381" s="32">
        <v>39.479999999999997</v>
      </c>
      <c r="I381" s="32">
        <v>255</v>
      </c>
      <c r="J381" s="16" t="s">
        <v>4674</v>
      </c>
      <c r="K381" s="16" t="s">
        <v>4675</v>
      </c>
      <c r="L381" s="16" t="s">
        <v>3907</v>
      </c>
    </row>
    <row r="382" spans="1:12" ht="19.5" customHeight="1" x14ac:dyDescent="0.35">
      <c r="A382" s="16" t="s">
        <v>2081</v>
      </c>
      <c r="B382" s="16" t="s">
        <v>1077</v>
      </c>
      <c r="C382" s="32">
        <v>16.3333333333333</v>
      </c>
      <c r="D382" s="32">
        <v>980</v>
      </c>
      <c r="E382" s="19">
        <v>52</v>
      </c>
      <c r="F382" s="19">
        <v>2</v>
      </c>
      <c r="G382" s="33">
        <v>3.8461538461538498E-2</v>
      </c>
      <c r="H382" s="32">
        <v>18.8461538461539</v>
      </c>
      <c r="I382" s="32">
        <v>860</v>
      </c>
      <c r="J382" s="16" t="s">
        <v>4676</v>
      </c>
      <c r="K382" s="16" t="s">
        <v>4677</v>
      </c>
      <c r="L382" s="16" t="s">
        <v>3941</v>
      </c>
    </row>
    <row r="383" spans="1:12" ht="19.5" customHeight="1" x14ac:dyDescent="0.35">
      <c r="A383" s="16" t="s">
        <v>2084</v>
      </c>
      <c r="B383" s="16" t="s">
        <v>1077</v>
      </c>
      <c r="C383" s="32">
        <v>16.0833333333333</v>
      </c>
      <c r="D383" s="32">
        <v>965</v>
      </c>
      <c r="E383" s="19">
        <v>71</v>
      </c>
      <c r="F383" s="19">
        <v>7</v>
      </c>
      <c r="G383" s="33">
        <v>9.85915492957746E-2</v>
      </c>
      <c r="H383" s="32">
        <v>13.5915492957747</v>
      </c>
      <c r="I383" s="32">
        <v>480</v>
      </c>
      <c r="J383" s="16" t="s">
        <v>4678</v>
      </c>
      <c r="K383" s="16" t="s">
        <v>4679</v>
      </c>
      <c r="L383" s="16" t="s">
        <v>4360</v>
      </c>
    </row>
    <row r="384" spans="1:12" ht="19.5" customHeight="1" x14ac:dyDescent="0.35">
      <c r="A384" s="16" t="s">
        <v>2087</v>
      </c>
      <c r="B384" s="16" t="s">
        <v>1009</v>
      </c>
      <c r="C384" s="32">
        <v>16</v>
      </c>
      <c r="D384" s="32">
        <v>960</v>
      </c>
      <c r="E384" s="19">
        <v>50</v>
      </c>
      <c r="F384" s="19">
        <v>17</v>
      </c>
      <c r="G384" s="33">
        <v>0.34</v>
      </c>
      <c r="H384" s="32">
        <v>19.2</v>
      </c>
      <c r="I384" s="32">
        <v>180</v>
      </c>
      <c r="J384" s="16" t="s">
        <v>4680</v>
      </c>
      <c r="K384" s="16" t="s">
        <v>4681</v>
      </c>
      <c r="L384" s="16" t="s">
        <v>3907</v>
      </c>
    </row>
    <row r="385" spans="1:12" ht="19.5" customHeight="1" x14ac:dyDescent="0.35">
      <c r="A385" s="16" t="s">
        <v>2090</v>
      </c>
      <c r="B385" s="16" t="s">
        <v>1077</v>
      </c>
      <c r="C385" s="32">
        <v>16</v>
      </c>
      <c r="D385" s="32">
        <v>960</v>
      </c>
      <c r="E385" s="19">
        <v>12</v>
      </c>
      <c r="F385" s="19">
        <v>1</v>
      </c>
      <c r="G385" s="33">
        <v>8.3333333333333301E-2</v>
      </c>
      <c r="H385" s="32">
        <v>80</v>
      </c>
      <c r="I385" s="32">
        <v>960</v>
      </c>
      <c r="J385" s="16" t="s">
        <v>4682</v>
      </c>
      <c r="K385" s="16" t="s">
        <v>4683</v>
      </c>
      <c r="L385" s="16" t="s">
        <v>3941</v>
      </c>
    </row>
    <row r="386" spans="1:12" ht="19.5" customHeight="1" x14ac:dyDescent="0.35">
      <c r="A386" s="16" t="s">
        <v>2093</v>
      </c>
      <c r="B386" s="16" t="s">
        <v>1136</v>
      </c>
      <c r="C386" s="32">
        <v>16</v>
      </c>
      <c r="D386" s="32">
        <v>960</v>
      </c>
      <c r="E386" s="19">
        <v>1</v>
      </c>
      <c r="F386" s="19">
        <v>1</v>
      </c>
      <c r="G386" s="33">
        <v>1</v>
      </c>
      <c r="H386" s="32">
        <v>960</v>
      </c>
      <c r="I386" s="32">
        <v>960</v>
      </c>
      <c r="J386" s="16" t="s">
        <v>4684</v>
      </c>
      <c r="K386" s="16" t="s">
        <v>4685</v>
      </c>
      <c r="L386" s="16" t="s">
        <v>4686</v>
      </c>
    </row>
    <row r="387" spans="1:12" ht="19.5" customHeight="1" x14ac:dyDescent="0.35">
      <c r="A387" s="16" t="s">
        <v>2096</v>
      </c>
      <c r="B387" s="16" t="s">
        <v>905</v>
      </c>
      <c r="C387" s="32">
        <v>15.75</v>
      </c>
      <c r="D387" s="32">
        <v>945</v>
      </c>
      <c r="E387" s="19">
        <v>28</v>
      </c>
      <c r="F387" s="19">
        <v>12</v>
      </c>
      <c r="G387" s="33">
        <v>0.42857142857142899</v>
      </c>
      <c r="H387" s="32">
        <v>33.75</v>
      </c>
      <c r="I387" s="32">
        <v>150</v>
      </c>
      <c r="J387" s="16" t="s">
        <v>4687</v>
      </c>
      <c r="K387" s="16" t="s">
        <v>4688</v>
      </c>
      <c r="L387" s="16" t="s">
        <v>3924</v>
      </c>
    </row>
    <row r="388" spans="1:12" ht="19.5" customHeight="1" x14ac:dyDescent="0.35">
      <c r="A388" s="16" t="s">
        <v>2099</v>
      </c>
      <c r="B388" s="16" t="s">
        <v>1084</v>
      </c>
      <c r="C388" s="32">
        <v>15.75</v>
      </c>
      <c r="D388" s="32">
        <v>945</v>
      </c>
      <c r="E388" s="19">
        <v>9</v>
      </c>
      <c r="F388" s="19">
        <v>2</v>
      </c>
      <c r="G388" s="33">
        <v>0.22222222222222199</v>
      </c>
      <c r="H388" s="32">
        <v>105</v>
      </c>
      <c r="I388" s="32">
        <v>600</v>
      </c>
      <c r="J388" s="16" t="s">
        <v>4689</v>
      </c>
      <c r="K388" s="16" t="s">
        <v>4690</v>
      </c>
      <c r="L388" s="16" t="s">
        <v>3941</v>
      </c>
    </row>
    <row r="389" spans="1:12" ht="19.5" customHeight="1" x14ac:dyDescent="0.35">
      <c r="A389" s="16" t="s">
        <v>2102</v>
      </c>
      <c r="B389" s="16" t="s">
        <v>1050</v>
      </c>
      <c r="C389" s="32">
        <v>15.6833333333333</v>
      </c>
      <c r="D389" s="32">
        <v>941</v>
      </c>
      <c r="E389" s="19">
        <v>8</v>
      </c>
      <c r="F389" s="19">
        <v>3</v>
      </c>
      <c r="G389" s="33">
        <v>0.375</v>
      </c>
      <c r="H389" s="32">
        <v>117.625</v>
      </c>
      <c r="I389" s="32">
        <v>520</v>
      </c>
      <c r="J389" s="16" t="s">
        <v>4691</v>
      </c>
      <c r="K389" s="16" t="s">
        <v>4692</v>
      </c>
      <c r="L389" s="16" t="s">
        <v>3924</v>
      </c>
    </row>
    <row r="390" spans="1:12" ht="19.5" customHeight="1" x14ac:dyDescent="0.35">
      <c r="A390" s="16" t="s">
        <v>2105</v>
      </c>
      <c r="B390" s="16" t="s">
        <v>905</v>
      </c>
      <c r="C390" s="32">
        <v>15.5</v>
      </c>
      <c r="D390" s="32">
        <v>930</v>
      </c>
      <c r="E390" s="19">
        <v>13</v>
      </c>
      <c r="F390" s="19">
        <v>6</v>
      </c>
      <c r="G390" s="33">
        <v>0.46153846153846201</v>
      </c>
      <c r="H390" s="32">
        <v>71.538461538461505</v>
      </c>
      <c r="I390" s="32">
        <v>350</v>
      </c>
      <c r="J390" s="16" t="s">
        <v>4693</v>
      </c>
      <c r="K390" s="16" t="s">
        <v>4694</v>
      </c>
      <c r="L390" s="16" t="s">
        <v>3907</v>
      </c>
    </row>
    <row r="391" spans="1:12" ht="19.5" customHeight="1" x14ac:dyDescent="0.35">
      <c r="A391" s="16" t="s">
        <v>2108</v>
      </c>
      <c r="B391" s="16" t="s">
        <v>1009</v>
      </c>
      <c r="C391" s="32">
        <v>15.3333333333333</v>
      </c>
      <c r="D391" s="32">
        <v>920</v>
      </c>
      <c r="E391" s="19">
        <v>69</v>
      </c>
      <c r="F391" s="19">
        <v>21</v>
      </c>
      <c r="G391" s="33">
        <v>0.30434782608695699</v>
      </c>
      <c r="H391" s="32">
        <v>13.3333333333333</v>
      </c>
      <c r="I391" s="32">
        <v>120</v>
      </c>
      <c r="J391" s="16" t="s">
        <v>4695</v>
      </c>
      <c r="K391" s="16" t="s">
        <v>4696</v>
      </c>
      <c r="L391" s="16" t="s">
        <v>3907</v>
      </c>
    </row>
    <row r="392" spans="1:12" ht="19.5" customHeight="1" x14ac:dyDescent="0.35">
      <c r="A392" s="16" t="s">
        <v>2111</v>
      </c>
      <c r="B392" s="16" t="s">
        <v>921</v>
      </c>
      <c r="C392" s="32">
        <v>15.3333333333333</v>
      </c>
      <c r="D392" s="32">
        <v>920</v>
      </c>
      <c r="E392" s="19">
        <v>19</v>
      </c>
      <c r="F392" s="19">
        <v>10</v>
      </c>
      <c r="G392" s="33">
        <v>0.52631578947368396</v>
      </c>
      <c r="H392" s="32">
        <v>48.421052631579002</v>
      </c>
      <c r="I392" s="32">
        <v>360</v>
      </c>
      <c r="J392" s="16" t="s">
        <v>4697</v>
      </c>
      <c r="K392" s="16" t="s">
        <v>4698</v>
      </c>
      <c r="L392" s="16" t="s">
        <v>4256</v>
      </c>
    </row>
    <row r="393" spans="1:12" ht="19.5" customHeight="1" x14ac:dyDescent="0.35">
      <c r="A393" s="16" t="s">
        <v>2114</v>
      </c>
      <c r="B393" s="16" t="s">
        <v>959</v>
      </c>
      <c r="C393" s="32">
        <v>15.3333333333333</v>
      </c>
      <c r="D393" s="32">
        <v>920</v>
      </c>
      <c r="E393" s="19">
        <v>3</v>
      </c>
      <c r="F393" s="19">
        <v>3</v>
      </c>
      <c r="G393" s="33">
        <v>1</v>
      </c>
      <c r="H393" s="32">
        <v>306.66666666666703</v>
      </c>
      <c r="I393" s="32">
        <v>680</v>
      </c>
      <c r="J393" s="16" t="s">
        <v>4699</v>
      </c>
      <c r="K393" s="16" t="s">
        <v>4700</v>
      </c>
      <c r="L393" s="16" t="s">
        <v>4604</v>
      </c>
    </row>
    <row r="394" spans="1:12" ht="19.5" customHeight="1" x14ac:dyDescent="0.35">
      <c r="A394" s="16" t="s">
        <v>2117</v>
      </c>
      <c r="B394" s="16" t="s">
        <v>1077</v>
      </c>
      <c r="C394" s="32">
        <v>14.966666666666701</v>
      </c>
      <c r="D394" s="32">
        <v>898</v>
      </c>
      <c r="E394" s="19">
        <v>20</v>
      </c>
      <c r="F394" s="19">
        <v>3</v>
      </c>
      <c r="G394" s="33">
        <v>0.15</v>
      </c>
      <c r="H394" s="32">
        <v>44.9</v>
      </c>
      <c r="I394" s="32">
        <v>398</v>
      </c>
      <c r="J394" s="16" t="s">
        <v>4701</v>
      </c>
      <c r="K394" s="16" t="s">
        <v>4702</v>
      </c>
      <c r="L394" s="16" t="s">
        <v>3941</v>
      </c>
    </row>
    <row r="395" spans="1:12" ht="19.5" customHeight="1" x14ac:dyDescent="0.35">
      <c r="A395" s="16" t="s">
        <v>2120</v>
      </c>
      <c r="B395" s="16" t="s">
        <v>1646</v>
      </c>
      <c r="C395" s="32">
        <v>14.9333333333333</v>
      </c>
      <c r="D395" s="32">
        <v>896</v>
      </c>
      <c r="E395" s="19">
        <v>18</v>
      </c>
      <c r="F395" s="19">
        <v>8</v>
      </c>
      <c r="G395" s="33">
        <v>0.44444444444444398</v>
      </c>
      <c r="H395" s="32">
        <v>49.7777777777778</v>
      </c>
      <c r="I395" s="32">
        <v>186</v>
      </c>
      <c r="J395" s="16" t="s">
        <v>4703</v>
      </c>
      <c r="K395" s="16" t="s">
        <v>4704</v>
      </c>
      <c r="L395" s="16" t="s">
        <v>4253</v>
      </c>
    </row>
    <row r="396" spans="1:12" ht="19.5" customHeight="1" x14ac:dyDescent="0.35">
      <c r="A396" s="16" t="s">
        <v>2123</v>
      </c>
      <c r="B396" s="16" t="s">
        <v>921</v>
      </c>
      <c r="C396" s="32">
        <v>14.9166666666667</v>
      </c>
      <c r="D396" s="32">
        <v>895</v>
      </c>
      <c r="E396" s="19">
        <v>3</v>
      </c>
      <c r="F396" s="19">
        <v>2</v>
      </c>
      <c r="G396" s="33">
        <v>0.66666666666666696</v>
      </c>
      <c r="H396" s="32">
        <v>298.33333333333297</v>
      </c>
      <c r="I396" s="32">
        <v>880</v>
      </c>
      <c r="J396" s="16" t="s">
        <v>4705</v>
      </c>
      <c r="K396" s="16" t="s">
        <v>4706</v>
      </c>
      <c r="L396" s="16" t="s">
        <v>4253</v>
      </c>
    </row>
    <row r="397" spans="1:12" ht="19.5" customHeight="1" x14ac:dyDescent="0.35">
      <c r="A397" s="16" t="s">
        <v>2126</v>
      </c>
      <c r="B397" s="16" t="s">
        <v>963</v>
      </c>
      <c r="C397" s="32">
        <v>14.733333333333301</v>
      </c>
      <c r="D397" s="32">
        <v>884</v>
      </c>
      <c r="E397" s="19">
        <v>59</v>
      </c>
      <c r="F397" s="19">
        <v>10</v>
      </c>
      <c r="G397" s="33">
        <v>0.169491525423729</v>
      </c>
      <c r="H397" s="32">
        <v>14.9830508474576</v>
      </c>
      <c r="I397" s="32">
        <v>180</v>
      </c>
      <c r="J397" s="16" t="s">
        <v>4707</v>
      </c>
      <c r="K397" s="16" t="s">
        <v>4708</v>
      </c>
      <c r="L397" s="16" t="s">
        <v>3907</v>
      </c>
    </row>
    <row r="398" spans="1:12" ht="19.5" customHeight="1" x14ac:dyDescent="0.35">
      <c r="A398" s="16" t="s">
        <v>2129</v>
      </c>
      <c r="B398" s="16" t="s">
        <v>905</v>
      </c>
      <c r="C398" s="32">
        <v>14.6833333333333</v>
      </c>
      <c r="D398" s="32">
        <v>881</v>
      </c>
      <c r="E398" s="19">
        <v>30</v>
      </c>
      <c r="F398" s="19">
        <v>11</v>
      </c>
      <c r="G398" s="33">
        <v>0.36666666666666697</v>
      </c>
      <c r="H398" s="32">
        <v>29.366666666666699</v>
      </c>
      <c r="I398" s="32">
        <v>181</v>
      </c>
      <c r="J398" s="16" t="s">
        <v>4709</v>
      </c>
      <c r="K398" s="16" t="s">
        <v>4710</v>
      </c>
      <c r="L398" s="16" t="s">
        <v>3907</v>
      </c>
    </row>
    <row r="399" spans="1:12" ht="19.5" customHeight="1" x14ac:dyDescent="0.35">
      <c r="A399" s="16" t="s">
        <v>2132</v>
      </c>
      <c r="B399" s="16" t="s">
        <v>1050</v>
      </c>
      <c r="C399" s="32">
        <v>14.616666666666699</v>
      </c>
      <c r="D399" s="32">
        <v>877</v>
      </c>
      <c r="E399" s="19">
        <v>7</v>
      </c>
      <c r="F399" s="19">
        <v>2</v>
      </c>
      <c r="G399" s="33">
        <v>0.28571428571428598</v>
      </c>
      <c r="H399" s="32">
        <v>125.28571428571399</v>
      </c>
      <c r="I399" s="32">
        <v>440</v>
      </c>
      <c r="J399" s="16" t="s">
        <v>4711</v>
      </c>
      <c r="K399" s="16" t="s">
        <v>4712</v>
      </c>
      <c r="L399" s="16" t="s">
        <v>3941</v>
      </c>
    </row>
    <row r="400" spans="1:12" ht="19.5" customHeight="1" x14ac:dyDescent="0.35">
      <c r="A400" s="16" t="s">
        <v>2135</v>
      </c>
      <c r="B400" s="16" t="s">
        <v>1009</v>
      </c>
      <c r="C400" s="32">
        <v>14.55</v>
      </c>
      <c r="D400" s="32">
        <v>873</v>
      </c>
      <c r="E400" s="19">
        <v>41</v>
      </c>
      <c r="F400" s="19">
        <v>15</v>
      </c>
      <c r="G400" s="33">
        <v>0.36585365853658502</v>
      </c>
      <c r="H400" s="32">
        <v>21.292682926829301</v>
      </c>
      <c r="I400" s="32">
        <v>240</v>
      </c>
      <c r="J400" s="16" t="s">
        <v>4713</v>
      </c>
      <c r="K400" s="16" t="s">
        <v>4714</v>
      </c>
      <c r="L400" s="16" t="s">
        <v>3924</v>
      </c>
    </row>
    <row r="401" spans="1:12" ht="19.5" customHeight="1" x14ac:dyDescent="0.35">
      <c r="A401" s="16" t="s">
        <v>2138</v>
      </c>
      <c r="B401" s="16" t="s">
        <v>1077</v>
      </c>
      <c r="C401" s="32">
        <v>14.5</v>
      </c>
      <c r="D401" s="32">
        <v>870</v>
      </c>
      <c r="E401" s="19">
        <v>5</v>
      </c>
      <c r="F401" s="19">
        <v>2</v>
      </c>
      <c r="G401" s="33">
        <v>0.4</v>
      </c>
      <c r="H401" s="32">
        <v>174</v>
      </c>
      <c r="I401" s="32">
        <v>860</v>
      </c>
      <c r="J401" s="16" t="s">
        <v>4715</v>
      </c>
      <c r="K401" s="16" t="s">
        <v>4716</v>
      </c>
      <c r="L401" s="16" t="s">
        <v>4360</v>
      </c>
    </row>
    <row r="402" spans="1:12" ht="19.5" customHeight="1" x14ac:dyDescent="0.35">
      <c r="A402" s="16" t="s">
        <v>2141</v>
      </c>
      <c r="B402" s="16" t="s">
        <v>1212</v>
      </c>
      <c r="C402" s="32">
        <v>14.4333333333333</v>
      </c>
      <c r="D402" s="32">
        <v>866</v>
      </c>
      <c r="E402" s="19">
        <v>45</v>
      </c>
      <c r="F402" s="19">
        <v>13</v>
      </c>
      <c r="G402" s="33">
        <v>0.28888888888888897</v>
      </c>
      <c r="H402" s="32">
        <v>19.244444444444401</v>
      </c>
      <c r="I402" s="32">
        <v>180</v>
      </c>
      <c r="J402" s="16" t="s">
        <v>4717</v>
      </c>
      <c r="K402" s="16" t="s">
        <v>4718</v>
      </c>
      <c r="L402" s="16" t="s">
        <v>4491</v>
      </c>
    </row>
    <row r="403" spans="1:12" ht="19.5" customHeight="1" x14ac:dyDescent="0.35">
      <c r="A403" s="16" t="s">
        <v>2144</v>
      </c>
      <c r="B403" s="16" t="s">
        <v>929</v>
      </c>
      <c r="C403" s="32">
        <v>14.366666666666699</v>
      </c>
      <c r="D403" s="32">
        <v>862</v>
      </c>
      <c r="E403" s="19">
        <v>8</v>
      </c>
      <c r="F403" s="19">
        <v>6</v>
      </c>
      <c r="G403" s="33">
        <v>0.75</v>
      </c>
      <c r="H403" s="32">
        <v>107.75</v>
      </c>
      <c r="I403" s="32">
        <v>391</v>
      </c>
      <c r="J403" s="16" t="s">
        <v>4719</v>
      </c>
      <c r="K403" s="16" t="s">
        <v>4720</v>
      </c>
      <c r="L403" s="16" t="s">
        <v>4571</v>
      </c>
    </row>
    <row r="404" spans="1:12" ht="19.5" customHeight="1" x14ac:dyDescent="0.35">
      <c r="A404" s="16" t="s">
        <v>2147</v>
      </c>
      <c r="B404" s="16" t="s">
        <v>959</v>
      </c>
      <c r="C404" s="32">
        <v>14.3333333333333</v>
      </c>
      <c r="D404" s="32">
        <v>860</v>
      </c>
      <c r="E404" s="19">
        <v>43</v>
      </c>
      <c r="F404" s="19">
        <v>3</v>
      </c>
      <c r="G404" s="33">
        <v>6.9767441860465101E-2</v>
      </c>
      <c r="H404" s="32">
        <v>20</v>
      </c>
      <c r="I404" s="32">
        <v>620</v>
      </c>
      <c r="J404" s="16" t="s">
        <v>4721</v>
      </c>
      <c r="K404" s="16" t="s">
        <v>4722</v>
      </c>
      <c r="L404" s="16" t="s">
        <v>3941</v>
      </c>
    </row>
    <row r="405" spans="1:12" ht="19.5" customHeight="1" x14ac:dyDescent="0.35">
      <c r="A405" s="16" t="s">
        <v>2150</v>
      </c>
      <c r="B405" s="16" t="s">
        <v>1240</v>
      </c>
      <c r="C405" s="32">
        <v>14.1833333333333</v>
      </c>
      <c r="D405" s="32">
        <v>851</v>
      </c>
      <c r="E405" s="19">
        <v>36</v>
      </c>
      <c r="F405" s="19">
        <v>11</v>
      </c>
      <c r="G405" s="33">
        <v>0.30555555555555602</v>
      </c>
      <c r="H405" s="32">
        <v>23.6388888888889</v>
      </c>
      <c r="I405" s="32">
        <v>240</v>
      </c>
      <c r="J405" s="16" t="s">
        <v>4723</v>
      </c>
      <c r="K405" s="16" t="s">
        <v>4724</v>
      </c>
      <c r="L405" s="16" t="s">
        <v>3907</v>
      </c>
    </row>
    <row r="406" spans="1:12" ht="19.5" customHeight="1" x14ac:dyDescent="0.35">
      <c r="A406" s="16" t="s">
        <v>2153</v>
      </c>
      <c r="B406" s="16" t="s">
        <v>921</v>
      </c>
      <c r="C406" s="32">
        <v>14.1666666666667</v>
      </c>
      <c r="D406" s="32">
        <v>850</v>
      </c>
      <c r="E406" s="19">
        <v>23</v>
      </c>
      <c r="F406" s="19">
        <v>12</v>
      </c>
      <c r="G406" s="33">
        <v>0.52173913043478304</v>
      </c>
      <c r="H406" s="32">
        <v>36.956521739130402</v>
      </c>
      <c r="I406" s="32">
        <v>120</v>
      </c>
      <c r="J406" s="16" t="s">
        <v>4725</v>
      </c>
      <c r="K406" s="16" t="s">
        <v>4726</v>
      </c>
      <c r="L406" s="16" t="s">
        <v>4253</v>
      </c>
    </row>
    <row r="407" spans="1:12" ht="19.5" customHeight="1" x14ac:dyDescent="0.35">
      <c r="A407" s="16" t="s">
        <v>2156</v>
      </c>
      <c r="B407" s="16" t="s">
        <v>1077</v>
      </c>
      <c r="C407" s="32">
        <v>14</v>
      </c>
      <c r="D407" s="32">
        <v>840</v>
      </c>
      <c r="E407" s="19">
        <v>9</v>
      </c>
      <c r="F407" s="19">
        <v>2</v>
      </c>
      <c r="G407" s="33">
        <v>0.22222222222222199</v>
      </c>
      <c r="H407" s="32">
        <v>93.3333333333333</v>
      </c>
      <c r="I407" s="32">
        <v>480</v>
      </c>
      <c r="J407" s="16" t="s">
        <v>4727</v>
      </c>
      <c r="K407" s="16" t="s">
        <v>4728</v>
      </c>
      <c r="L407" s="16" t="s">
        <v>3924</v>
      </c>
    </row>
    <row r="408" spans="1:12" ht="19.5" customHeight="1" x14ac:dyDescent="0.35">
      <c r="A408" s="16" t="s">
        <v>2159</v>
      </c>
      <c r="B408" s="16" t="s">
        <v>2160</v>
      </c>
      <c r="C408" s="32">
        <v>13.75</v>
      </c>
      <c r="D408" s="32">
        <v>825</v>
      </c>
      <c r="E408" s="19">
        <v>31</v>
      </c>
      <c r="F408" s="19">
        <v>7</v>
      </c>
      <c r="G408" s="33">
        <v>0.225806451612903</v>
      </c>
      <c r="H408" s="32">
        <v>26.612903225806502</v>
      </c>
      <c r="I408" s="32">
        <v>240</v>
      </c>
      <c r="J408" s="16" t="s">
        <v>4729</v>
      </c>
      <c r="K408" s="16" t="s">
        <v>4730</v>
      </c>
      <c r="L408" s="16" t="s">
        <v>3907</v>
      </c>
    </row>
    <row r="409" spans="1:12" ht="19.5" customHeight="1" x14ac:dyDescent="0.35">
      <c r="A409" s="16" t="s">
        <v>2163</v>
      </c>
      <c r="B409" s="16" t="s">
        <v>1009</v>
      </c>
      <c r="C409" s="32">
        <v>13.6666666666667</v>
      </c>
      <c r="D409" s="32">
        <v>820</v>
      </c>
      <c r="E409" s="19">
        <v>16</v>
      </c>
      <c r="F409" s="19">
        <v>7</v>
      </c>
      <c r="G409" s="33">
        <v>0.4375</v>
      </c>
      <c r="H409" s="32">
        <v>51.25</v>
      </c>
      <c r="I409" s="32">
        <v>300</v>
      </c>
      <c r="J409" s="16" t="s">
        <v>4731</v>
      </c>
      <c r="K409" s="16" t="s">
        <v>4732</v>
      </c>
      <c r="L409" s="16" t="s">
        <v>3907</v>
      </c>
    </row>
    <row r="410" spans="1:12" ht="19.5" customHeight="1" x14ac:dyDescent="0.35">
      <c r="A410" s="16" t="s">
        <v>2166</v>
      </c>
      <c r="B410" s="16" t="s">
        <v>1136</v>
      </c>
      <c r="C410" s="32">
        <v>13.3333333333333</v>
      </c>
      <c r="D410" s="32">
        <v>800</v>
      </c>
      <c r="E410" s="19">
        <v>5</v>
      </c>
      <c r="F410" s="19">
        <v>5</v>
      </c>
      <c r="G410" s="33">
        <v>1</v>
      </c>
      <c r="H410" s="32">
        <v>160</v>
      </c>
      <c r="I410" s="32">
        <v>240</v>
      </c>
      <c r="J410" s="16" t="s">
        <v>4733</v>
      </c>
      <c r="K410" s="16" t="s">
        <v>4734</v>
      </c>
      <c r="L410" s="16" t="s">
        <v>3941</v>
      </c>
    </row>
    <row r="411" spans="1:12" ht="19.5" customHeight="1" x14ac:dyDescent="0.35">
      <c r="A411" s="16" t="s">
        <v>2169</v>
      </c>
      <c r="B411" s="16" t="s">
        <v>1077</v>
      </c>
      <c r="C411" s="32">
        <v>13.1666666666667</v>
      </c>
      <c r="D411" s="32">
        <v>790</v>
      </c>
      <c r="E411" s="19">
        <v>34</v>
      </c>
      <c r="F411" s="19">
        <v>5</v>
      </c>
      <c r="G411" s="33">
        <v>0.14705882352941199</v>
      </c>
      <c r="H411" s="32">
        <v>23.235294117647101</v>
      </c>
      <c r="I411" s="32">
        <v>480</v>
      </c>
      <c r="J411" s="16" t="s">
        <v>4735</v>
      </c>
      <c r="K411" s="16" t="s">
        <v>4736</v>
      </c>
      <c r="L411" s="16" t="s">
        <v>3941</v>
      </c>
    </row>
    <row r="412" spans="1:12" ht="19.5" customHeight="1" x14ac:dyDescent="0.35">
      <c r="A412" s="16" t="s">
        <v>2172</v>
      </c>
      <c r="B412" s="16" t="s">
        <v>921</v>
      </c>
      <c r="C412" s="32">
        <v>13.133333333333301</v>
      </c>
      <c r="D412" s="32">
        <v>788</v>
      </c>
      <c r="E412" s="19">
        <v>7</v>
      </c>
      <c r="F412" s="19">
        <v>4</v>
      </c>
      <c r="G412" s="33">
        <v>0.57142857142857095</v>
      </c>
      <c r="H412" s="32">
        <v>112.571428571429</v>
      </c>
      <c r="I412" s="32">
        <v>563</v>
      </c>
      <c r="J412" s="16" t="s">
        <v>4737</v>
      </c>
      <c r="K412" s="16" t="s">
        <v>4738</v>
      </c>
      <c r="L412" s="16" t="s">
        <v>3924</v>
      </c>
    </row>
    <row r="413" spans="1:12" ht="19.5" customHeight="1" x14ac:dyDescent="0.35">
      <c r="A413" s="16" t="s">
        <v>2175</v>
      </c>
      <c r="B413" s="16" t="s">
        <v>1077</v>
      </c>
      <c r="C413" s="32">
        <v>13.016666666666699</v>
      </c>
      <c r="D413" s="32">
        <v>781</v>
      </c>
      <c r="E413" s="19">
        <v>34</v>
      </c>
      <c r="F413" s="19">
        <v>6</v>
      </c>
      <c r="G413" s="33">
        <v>0.17647058823529399</v>
      </c>
      <c r="H413" s="32">
        <v>22.970588235294102</v>
      </c>
      <c r="I413" s="32">
        <v>240</v>
      </c>
      <c r="J413" s="16" t="s">
        <v>4739</v>
      </c>
      <c r="K413" s="16" t="s">
        <v>4740</v>
      </c>
      <c r="L413" s="16" t="s">
        <v>4360</v>
      </c>
    </row>
    <row r="414" spans="1:12" ht="19.5" customHeight="1" x14ac:dyDescent="0.35">
      <c r="A414" s="16" t="s">
        <v>2178</v>
      </c>
      <c r="B414" s="16" t="s">
        <v>1077</v>
      </c>
      <c r="C414" s="32">
        <v>13</v>
      </c>
      <c r="D414" s="32">
        <v>780</v>
      </c>
      <c r="E414" s="19">
        <v>30</v>
      </c>
      <c r="F414" s="19">
        <v>3</v>
      </c>
      <c r="G414" s="33">
        <v>0.1</v>
      </c>
      <c r="H414" s="32">
        <v>26</v>
      </c>
      <c r="I414" s="32">
        <v>480</v>
      </c>
      <c r="J414" s="16" t="s">
        <v>4741</v>
      </c>
      <c r="K414" s="16" t="s">
        <v>4742</v>
      </c>
      <c r="L414" s="16" t="s">
        <v>3941</v>
      </c>
    </row>
    <row r="415" spans="1:12" ht="19.5" customHeight="1" x14ac:dyDescent="0.35">
      <c r="A415" s="16" t="s">
        <v>2181</v>
      </c>
      <c r="B415" s="16" t="s">
        <v>1659</v>
      </c>
      <c r="C415" s="32">
        <v>12.8333333333333</v>
      </c>
      <c r="D415" s="32">
        <v>770</v>
      </c>
      <c r="E415" s="19">
        <v>16</v>
      </c>
      <c r="F415" s="19">
        <v>5</v>
      </c>
      <c r="G415" s="33">
        <v>0.3125</v>
      </c>
      <c r="H415" s="32">
        <v>48.125</v>
      </c>
      <c r="I415" s="32">
        <v>500</v>
      </c>
      <c r="J415" s="16" t="s">
        <v>4743</v>
      </c>
      <c r="K415" s="16" t="s">
        <v>4744</v>
      </c>
      <c r="L415" s="16" t="s">
        <v>4253</v>
      </c>
    </row>
    <row r="416" spans="1:12" ht="19.5" customHeight="1" x14ac:dyDescent="0.35">
      <c r="A416" s="16" t="s">
        <v>2184</v>
      </c>
      <c r="B416" s="16" t="s">
        <v>1101</v>
      </c>
      <c r="C416" s="32">
        <v>12.65</v>
      </c>
      <c r="D416" s="32">
        <v>759</v>
      </c>
      <c r="E416" s="19">
        <v>15</v>
      </c>
      <c r="F416" s="19">
        <v>7</v>
      </c>
      <c r="G416" s="33">
        <v>0.46666666666666701</v>
      </c>
      <c r="H416" s="32">
        <v>50.6</v>
      </c>
      <c r="I416" s="32">
        <v>300</v>
      </c>
      <c r="J416" s="16" t="s">
        <v>4745</v>
      </c>
      <c r="K416" s="16" t="s">
        <v>4746</v>
      </c>
      <c r="L416" s="16" t="s">
        <v>3907</v>
      </c>
    </row>
    <row r="417" spans="1:12" ht="19.5" customHeight="1" x14ac:dyDescent="0.35">
      <c r="A417" s="16" t="s">
        <v>2187</v>
      </c>
      <c r="B417" s="16" t="s">
        <v>905</v>
      </c>
      <c r="C417" s="32">
        <v>12.5</v>
      </c>
      <c r="D417" s="32">
        <v>750</v>
      </c>
      <c r="E417" s="19">
        <v>21</v>
      </c>
      <c r="F417" s="19">
        <v>7</v>
      </c>
      <c r="G417" s="33">
        <v>0.33333333333333298</v>
      </c>
      <c r="H417" s="32">
        <v>35.714285714285701</v>
      </c>
      <c r="I417" s="32">
        <v>180</v>
      </c>
      <c r="J417" s="16" t="s">
        <v>4747</v>
      </c>
      <c r="K417" s="16" t="s">
        <v>4748</v>
      </c>
      <c r="L417" s="16" t="s">
        <v>3907</v>
      </c>
    </row>
    <row r="418" spans="1:12" ht="19.5" customHeight="1" x14ac:dyDescent="0.35">
      <c r="A418" s="16" t="s">
        <v>2190</v>
      </c>
      <c r="B418" s="16" t="s">
        <v>1101</v>
      </c>
      <c r="C418" s="32">
        <v>12.3333333333333</v>
      </c>
      <c r="D418" s="32">
        <v>740</v>
      </c>
      <c r="E418" s="19">
        <v>28</v>
      </c>
      <c r="F418" s="19">
        <v>9</v>
      </c>
      <c r="G418" s="33">
        <v>0.32142857142857201</v>
      </c>
      <c r="H418" s="32">
        <v>26.428571428571399</v>
      </c>
      <c r="I418" s="32">
        <v>120</v>
      </c>
      <c r="J418" s="16" t="s">
        <v>4749</v>
      </c>
      <c r="K418" s="16" t="s">
        <v>4750</v>
      </c>
      <c r="L418" s="16" t="s">
        <v>3907</v>
      </c>
    </row>
    <row r="419" spans="1:12" ht="19.5" customHeight="1" x14ac:dyDescent="0.35">
      <c r="A419" s="16" t="s">
        <v>2193</v>
      </c>
      <c r="B419" s="16" t="s">
        <v>1077</v>
      </c>
      <c r="C419" s="32">
        <v>12.1833333333333</v>
      </c>
      <c r="D419" s="32">
        <v>731</v>
      </c>
      <c r="E419" s="19">
        <v>18</v>
      </c>
      <c r="F419" s="19">
        <v>2</v>
      </c>
      <c r="G419" s="33">
        <v>0.11111111111111099</v>
      </c>
      <c r="H419" s="32">
        <v>40.6111111111111</v>
      </c>
      <c r="I419" s="32">
        <v>480</v>
      </c>
      <c r="J419" s="16" t="s">
        <v>4751</v>
      </c>
      <c r="K419" s="16" t="s">
        <v>4752</v>
      </c>
      <c r="L419" s="16" t="s">
        <v>3941</v>
      </c>
    </row>
    <row r="420" spans="1:12" ht="19.5" customHeight="1" x14ac:dyDescent="0.35">
      <c r="A420" s="16" t="s">
        <v>2196</v>
      </c>
      <c r="B420" s="16" t="s">
        <v>1009</v>
      </c>
      <c r="C420" s="32">
        <v>12.1666666666667</v>
      </c>
      <c r="D420" s="32">
        <v>730</v>
      </c>
      <c r="E420" s="19">
        <v>37</v>
      </c>
      <c r="F420" s="19">
        <v>14</v>
      </c>
      <c r="G420" s="33">
        <v>0.37837837837837801</v>
      </c>
      <c r="H420" s="32">
        <v>19.729729729729701</v>
      </c>
      <c r="I420" s="32">
        <v>230</v>
      </c>
      <c r="J420" s="16" t="s">
        <v>4753</v>
      </c>
      <c r="K420" s="16" t="s">
        <v>4754</v>
      </c>
      <c r="L420" s="16" t="s">
        <v>3907</v>
      </c>
    </row>
    <row r="421" spans="1:12" ht="19.5" customHeight="1" x14ac:dyDescent="0.35">
      <c r="A421" s="16" t="s">
        <v>2199</v>
      </c>
      <c r="B421" s="16" t="s">
        <v>1136</v>
      </c>
      <c r="C421" s="32">
        <v>12</v>
      </c>
      <c r="D421" s="32">
        <v>720</v>
      </c>
      <c r="E421" s="19">
        <v>32</v>
      </c>
      <c r="F421" s="19">
        <v>9</v>
      </c>
      <c r="G421" s="33">
        <v>0.28125</v>
      </c>
      <c r="H421" s="32">
        <v>22.5</v>
      </c>
      <c r="I421" s="32">
        <v>160</v>
      </c>
      <c r="J421" s="16" t="s">
        <v>4755</v>
      </c>
      <c r="K421" s="16" t="s">
        <v>4756</v>
      </c>
      <c r="L421" s="16" t="s">
        <v>3907</v>
      </c>
    </row>
    <row r="422" spans="1:12" ht="19.5" customHeight="1" x14ac:dyDescent="0.35">
      <c r="A422" s="16" t="s">
        <v>2202</v>
      </c>
      <c r="B422" s="16" t="s">
        <v>1490</v>
      </c>
      <c r="C422" s="32">
        <v>12</v>
      </c>
      <c r="D422" s="32">
        <v>720</v>
      </c>
      <c r="E422" s="19">
        <v>4</v>
      </c>
      <c r="F422" s="19">
        <v>3</v>
      </c>
      <c r="G422" s="33">
        <v>0.75</v>
      </c>
      <c r="H422" s="32">
        <v>180</v>
      </c>
      <c r="I422" s="32">
        <v>240</v>
      </c>
      <c r="J422" s="16" t="s">
        <v>4757</v>
      </c>
      <c r="K422" s="16" t="s">
        <v>4758</v>
      </c>
      <c r="L422" s="16" t="s">
        <v>3941</v>
      </c>
    </row>
    <row r="423" spans="1:12" ht="19.5" customHeight="1" x14ac:dyDescent="0.35">
      <c r="A423" s="16" t="s">
        <v>2205</v>
      </c>
      <c r="B423" s="16" t="s">
        <v>1077</v>
      </c>
      <c r="C423" s="32">
        <v>11.6666666666667</v>
      </c>
      <c r="D423" s="32">
        <v>700</v>
      </c>
      <c r="E423" s="19">
        <v>17</v>
      </c>
      <c r="F423" s="19">
        <v>3</v>
      </c>
      <c r="G423" s="33">
        <v>0.17647058823529399</v>
      </c>
      <c r="H423" s="32">
        <v>41.176470588235297</v>
      </c>
      <c r="I423" s="32">
        <v>480</v>
      </c>
      <c r="J423" s="16" t="s">
        <v>4759</v>
      </c>
      <c r="K423" s="16" t="s">
        <v>4760</v>
      </c>
      <c r="L423" s="16" t="s">
        <v>4360</v>
      </c>
    </row>
    <row r="424" spans="1:12" ht="19.5" customHeight="1" x14ac:dyDescent="0.35">
      <c r="A424" s="16" t="s">
        <v>2208</v>
      </c>
      <c r="B424" s="16" t="s">
        <v>989</v>
      </c>
      <c r="C424" s="32">
        <v>11.6666666666667</v>
      </c>
      <c r="D424" s="32">
        <v>700</v>
      </c>
      <c r="E424" s="19">
        <v>9</v>
      </c>
      <c r="F424" s="19">
        <v>4</v>
      </c>
      <c r="G424" s="33">
        <v>0.44444444444444398</v>
      </c>
      <c r="H424" s="32">
        <v>77.7777777777778</v>
      </c>
      <c r="I424" s="32">
        <v>360</v>
      </c>
      <c r="J424" s="16" t="s">
        <v>4761</v>
      </c>
      <c r="K424" s="16" t="s">
        <v>4762</v>
      </c>
      <c r="L424" s="16" t="s">
        <v>4763</v>
      </c>
    </row>
    <row r="425" spans="1:12" ht="19.5" customHeight="1" x14ac:dyDescent="0.35">
      <c r="A425" s="16" t="s">
        <v>2211</v>
      </c>
      <c r="B425" s="16" t="s">
        <v>1009</v>
      </c>
      <c r="C425" s="32">
        <v>11.5833333333333</v>
      </c>
      <c r="D425" s="32">
        <v>695</v>
      </c>
      <c r="E425" s="19">
        <v>16</v>
      </c>
      <c r="F425" s="19">
        <v>6</v>
      </c>
      <c r="G425" s="33">
        <v>0.375</v>
      </c>
      <c r="H425" s="32">
        <v>43.4375</v>
      </c>
      <c r="I425" s="32">
        <v>360</v>
      </c>
      <c r="J425" s="16" t="s">
        <v>4764</v>
      </c>
      <c r="K425" s="16" t="s">
        <v>4765</v>
      </c>
      <c r="L425" s="16" t="s">
        <v>3907</v>
      </c>
    </row>
    <row r="426" spans="1:12" ht="19.5" customHeight="1" x14ac:dyDescent="0.35">
      <c r="A426" s="16" t="s">
        <v>2214</v>
      </c>
      <c r="B426" s="16" t="s">
        <v>989</v>
      </c>
      <c r="C426" s="32">
        <v>11.5666666666667</v>
      </c>
      <c r="D426" s="32">
        <v>694</v>
      </c>
      <c r="E426" s="19">
        <v>19</v>
      </c>
      <c r="F426" s="19">
        <v>7</v>
      </c>
      <c r="G426" s="33">
        <v>0.36842105263157898</v>
      </c>
      <c r="H426" s="32">
        <v>36.526315789473699</v>
      </c>
      <c r="I426" s="32">
        <v>300</v>
      </c>
      <c r="J426" s="16" t="s">
        <v>4766</v>
      </c>
      <c r="K426" s="16" t="s">
        <v>4767</v>
      </c>
      <c r="L426" s="16" t="s">
        <v>3907</v>
      </c>
    </row>
    <row r="427" spans="1:12" ht="19.5" customHeight="1" x14ac:dyDescent="0.35">
      <c r="A427" s="16" t="s">
        <v>2217</v>
      </c>
      <c r="B427" s="16" t="s">
        <v>925</v>
      </c>
      <c r="C427" s="32">
        <v>11.5</v>
      </c>
      <c r="D427" s="32">
        <v>690</v>
      </c>
      <c r="E427" s="19">
        <v>12</v>
      </c>
      <c r="F427" s="19">
        <v>5</v>
      </c>
      <c r="G427" s="33">
        <v>0.41666666666666702</v>
      </c>
      <c r="H427" s="32">
        <v>57.5</v>
      </c>
      <c r="I427" s="32">
        <v>300</v>
      </c>
      <c r="J427" s="16" t="s">
        <v>4768</v>
      </c>
      <c r="K427" s="16" t="s">
        <v>4769</v>
      </c>
      <c r="L427" s="16" t="s">
        <v>4052</v>
      </c>
    </row>
    <row r="428" spans="1:12" ht="19.5" customHeight="1" x14ac:dyDescent="0.35">
      <c r="A428" s="16" t="s">
        <v>2220</v>
      </c>
      <c r="B428" s="16" t="s">
        <v>1690</v>
      </c>
      <c r="C428" s="32">
        <v>11.3333333333333</v>
      </c>
      <c r="D428" s="32">
        <v>680</v>
      </c>
      <c r="E428" s="19">
        <v>1</v>
      </c>
      <c r="F428" s="19">
        <v>1</v>
      </c>
      <c r="G428" s="33">
        <v>1</v>
      </c>
      <c r="H428" s="32">
        <v>680</v>
      </c>
      <c r="I428" s="32">
        <v>680</v>
      </c>
      <c r="J428" s="16" t="s">
        <v>4770</v>
      </c>
      <c r="K428" s="16" t="s">
        <v>4771</v>
      </c>
      <c r="L428" s="16" t="s">
        <v>4772</v>
      </c>
    </row>
    <row r="429" spans="1:12" ht="19.5" customHeight="1" x14ac:dyDescent="0.35">
      <c r="A429" s="16" t="s">
        <v>2223</v>
      </c>
      <c r="B429" s="16" t="s">
        <v>989</v>
      </c>
      <c r="C429" s="32">
        <v>11.233333333333301</v>
      </c>
      <c r="D429" s="32">
        <v>674</v>
      </c>
      <c r="E429" s="19">
        <v>14</v>
      </c>
      <c r="F429" s="19">
        <v>5</v>
      </c>
      <c r="G429" s="33">
        <v>0.35714285714285698</v>
      </c>
      <c r="H429" s="32">
        <v>48.142857142857203</v>
      </c>
      <c r="I429" s="32">
        <v>260</v>
      </c>
      <c r="J429" s="16" t="s">
        <v>4773</v>
      </c>
      <c r="K429" s="16" t="s">
        <v>4774</v>
      </c>
      <c r="L429" s="16" t="s">
        <v>3907</v>
      </c>
    </row>
    <row r="430" spans="1:12" ht="19.5" customHeight="1" x14ac:dyDescent="0.35">
      <c r="A430" s="16" t="s">
        <v>2226</v>
      </c>
      <c r="B430" s="16" t="s">
        <v>996</v>
      </c>
      <c r="C430" s="32">
        <v>11.1666666666667</v>
      </c>
      <c r="D430" s="32">
        <v>670</v>
      </c>
      <c r="E430" s="19">
        <v>31</v>
      </c>
      <c r="F430" s="19">
        <v>10</v>
      </c>
      <c r="G430" s="33">
        <v>0.32258064516128998</v>
      </c>
      <c r="H430" s="32">
        <v>21.612903225806502</v>
      </c>
      <c r="I430" s="32">
        <v>120</v>
      </c>
      <c r="J430" s="16" t="s">
        <v>4775</v>
      </c>
      <c r="K430" s="16" t="s">
        <v>4776</v>
      </c>
      <c r="L430" s="16" t="s">
        <v>3907</v>
      </c>
    </row>
    <row r="431" spans="1:12" ht="19.5" customHeight="1" x14ac:dyDescent="0.35">
      <c r="A431" s="16" t="s">
        <v>2229</v>
      </c>
      <c r="B431" s="16" t="s">
        <v>1009</v>
      </c>
      <c r="C431" s="32">
        <v>11.0833333333333</v>
      </c>
      <c r="D431" s="32">
        <v>665</v>
      </c>
      <c r="E431" s="19">
        <v>22</v>
      </c>
      <c r="F431" s="19">
        <v>8</v>
      </c>
      <c r="G431" s="33">
        <v>0.36363636363636398</v>
      </c>
      <c r="H431" s="32">
        <v>30.227272727272702</v>
      </c>
      <c r="I431" s="32">
        <v>160</v>
      </c>
      <c r="J431" s="16" t="s">
        <v>4777</v>
      </c>
      <c r="K431" s="16" t="s">
        <v>4778</v>
      </c>
      <c r="L431" s="16" t="s">
        <v>3907</v>
      </c>
    </row>
    <row r="432" spans="1:12" ht="19.5" customHeight="1" x14ac:dyDescent="0.35">
      <c r="A432" s="16" t="s">
        <v>2232</v>
      </c>
      <c r="B432" s="16" t="s">
        <v>1077</v>
      </c>
      <c r="C432" s="32">
        <v>11</v>
      </c>
      <c r="D432" s="32">
        <v>660</v>
      </c>
      <c r="E432" s="19">
        <v>37</v>
      </c>
      <c r="F432" s="19">
        <v>3</v>
      </c>
      <c r="G432" s="33">
        <v>8.1081081081081099E-2</v>
      </c>
      <c r="H432" s="32">
        <v>17.8378378378378</v>
      </c>
      <c r="I432" s="32">
        <v>480</v>
      </c>
      <c r="J432" s="16" t="s">
        <v>4779</v>
      </c>
      <c r="K432" s="16" t="s">
        <v>4780</v>
      </c>
      <c r="L432" s="16" t="s">
        <v>3941</v>
      </c>
    </row>
    <row r="433" spans="1:12" ht="19.5" customHeight="1" x14ac:dyDescent="0.35">
      <c r="A433" s="16" t="s">
        <v>2235</v>
      </c>
      <c r="B433" s="16" t="s">
        <v>929</v>
      </c>
      <c r="C433" s="32">
        <v>10.85</v>
      </c>
      <c r="D433" s="32">
        <v>651</v>
      </c>
      <c r="E433" s="19">
        <v>8</v>
      </c>
      <c r="F433" s="19">
        <v>4</v>
      </c>
      <c r="G433" s="33">
        <v>0.5</v>
      </c>
      <c r="H433" s="32">
        <v>81.375</v>
      </c>
      <c r="I433" s="32">
        <v>311</v>
      </c>
      <c r="J433" s="16" t="s">
        <v>4781</v>
      </c>
      <c r="K433" s="16" t="s">
        <v>4782</v>
      </c>
      <c r="L433" s="16" t="s">
        <v>4052</v>
      </c>
    </row>
    <row r="434" spans="1:12" ht="19.5" customHeight="1" x14ac:dyDescent="0.35">
      <c r="A434" s="16" t="s">
        <v>2238</v>
      </c>
      <c r="B434" s="16" t="s">
        <v>959</v>
      </c>
      <c r="C434" s="32">
        <v>10.8333333333333</v>
      </c>
      <c r="D434" s="32">
        <v>650</v>
      </c>
      <c r="E434" s="19">
        <v>11</v>
      </c>
      <c r="F434" s="19">
        <v>1</v>
      </c>
      <c r="G434" s="33">
        <v>9.0909090909090898E-2</v>
      </c>
      <c r="H434" s="32">
        <v>59.090909090909101</v>
      </c>
      <c r="I434" s="32">
        <v>650</v>
      </c>
      <c r="J434" s="16" t="s">
        <v>4783</v>
      </c>
      <c r="K434" s="16" t="s">
        <v>4784</v>
      </c>
      <c r="L434" s="16" t="s">
        <v>3941</v>
      </c>
    </row>
    <row r="435" spans="1:12" ht="19.5" customHeight="1" x14ac:dyDescent="0.35">
      <c r="A435" s="16" t="s">
        <v>2241</v>
      </c>
      <c r="B435" s="16" t="s">
        <v>913</v>
      </c>
      <c r="C435" s="32">
        <v>10.75</v>
      </c>
      <c r="D435" s="32">
        <v>645</v>
      </c>
      <c r="E435" s="19">
        <v>4</v>
      </c>
      <c r="F435" s="19">
        <v>4</v>
      </c>
      <c r="G435" s="33">
        <v>1</v>
      </c>
      <c r="H435" s="32">
        <v>161.25</v>
      </c>
      <c r="I435" s="32">
        <v>240</v>
      </c>
      <c r="J435" s="16" t="s">
        <v>4785</v>
      </c>
      <c r="K435" s="16" t="s">
        <v>4786</v>
      </c>
      <c r="L435" s="16" t="s">
        <v>4253</v>
      </c>
    </row>
    <row r="436" spans="1:12" ht="19.5" customHeight="1" x14ac:dyDescent="0.35">
      <c r="A436" s="16" t="s">
        <v>2244</v>
      </c>
      <c r="B436" s="16" t="s">
        <v>1111</v>
      </c>
      <c r="C436" s="32">
        <v>10.5</v>
      </c>
      <c r="D436" s="32">
        <v>630</v>
      </c>
      <c r="E436" s="19">
        <v>20</v>
      </c>
      <c r="F436" s="19">
        <v>10</v>
      </c>
      <c r="G436" s="33">
        <v>0.5</v>
      </c>
      <c r="H436" s="32">
        <v>31.5</v>
      </c>
      <c r="I436" s="32">
        <v>220</v>
      </c>
      <c r="J436" s="16" t="s">
        <v>4787</v>
      </c>
      <c r="K436" s="16" t="s">
        <v>4788</v>
      </c>
      <c r="L436" s="16" t="s">
        <v>3924</v>
      </c>
    </row>
    <row r="437" spans="1:12" ht="19.5" customHeight="1" x14ac:dyDescent="0.35">
      <c r="A437" s="16" t="s">
        <v>2247</v>
      </c>
      <c r="B437" s="16" t="s">
        <v>905</v>
      </c>
      <c r="C437" s="32">
        <v>10.5</v>
      </c>
      <c r="D437" s="32">
        <v>630</v>
      </c>
      <c r="E437" s="19">
        <v>14</v>
      </c>
      <c r="F437" s="19">
        <v>7</v>
      </c>
      <c r="G437" s="33">
        <v>0.5</v>
      </c>
      <c r="H437" s="32">
        <v>45</v>
      </c>
      <c r="I437" s="32">
        <v>120</v>
      </c>
      <c r="J437" s="16" t="s">
        <v>4789</v>
      </c>
      <c r="K437" s="16" t="s">
        <v>4790</v>
      </c>
      <c r="L437" s="16" t="s">
        <v>3907</v>
      </c>
    </row>
    <row r="438" spans="1:12" ht="19.5" customHeight="1" x14ac:dyDescent="0.35">
      <c r="A438" s="16" t="s">
        <v>2250</v>
      </c>
      <c r="B438" s="16" t="s">
        <v>1240</v>
      </c>
      <c r="C438" s="32">
        <v>10.5</v>
      </c>
      <c r="D438" s="32">
        <v>630</v>
      </c>
      <c r="E438" s="19">
        <v>7</v>
      </c>
      <c r="F438" s="19">
        <v>3</v>
      </c>
      <c r="G438" s="33">
        <v>0.42857142857142899</v>
      </c>
      <c r="H438" s="32">
        <v>90</v>
      </c>
      <c r="I438" s="32">
        <v>390</v>
      </c>
      <c r="J438" s="16" t="s">
        <v>4791</v>
      </c>
      <c r="K438" s="16" t="s">
        <v>4792</v>
      </c>
      <c r="L438" s="16" t="s">
        <v>4165</v>
      </c>
    </row>
    <row r="439" spans="1:12" ht="19.5" customHeight="1" x14ac:dyDescent="0.35">
      <c r="A439" s="16" t="s">
        <v>2253</v>
      </c>
      <c r="B439" s="16" t="s">
        <v>1240</v>
      </c>
      <c r="C439" s="32">
        <v>10.4166666666667</v>
      </c>
      <c r="D439" s="32">
        <v>625</v>
      </c>
      <c r="E439" s="19">
        <v>8</v>
      </c>
      <c r="F439" s="19">
        <v>6</v>
      </c>
      <c r="G439" s="33">
        <v>0.75</v>
      </c>
      <c r="H439" s="32">
        <v>78.125</v>
      </c>
      <c r="I439" s="32">
        <v>385</v>
      </c>
      <c r="J439" s="16" t="s">
        <v>4793</v>
      </c>
      <c r="K439" s="16" t="s">
        <v>4794</v>
      </c>
      <c r="L439" s="16" t="s">
        <v>4571</v>
      </c>
    </row>
    <row r="440" spans="1:12" ht="19.5" customHeight="1" x14ac:dyDescent="0.35">
      <c r="A440" s="16" t="s">
        <v>2256</v>
      </c>
      <c r="B440" s="16" t="s">
        <v>2257</v>
      </c>
      <c r="C440" s="32">
        <v>10.3333333333333</v>
      </c>
      <c r="D440" s="32">
        <v>620</v>
      </c>
      <c r="E440" s="19">
        <v>6</v>
      </c>
      <c r="F440" s="19">
        <v>3</v>
      </c>
      <c r="G440" s="33">
        <v>0.5</v>
      </c>
      <c r="H440" s="32">
        <v>103.333333333333</v>
      </c>
      <c r="I440" s="32">
        <v>500</v>
      </c>
      <c r="J440" s="16" t="s">
        <v>4795</v>
      </c>
      <c r="K440" s="16" t="s">
        <v>4796</v>
      </c>
      <c r="L440" s="16" t="s">
        <v>3907</v>
      </c>
    </row>
    <row r="441" spans="1:12" ht="19.5" customHeight="1" x14ac:dyDescent="0.35">
      <c r="A441" s="16" t="s">
        <v>2260</v>
      </c>
      <c r="B441" s="16" t="s">
        <v>973</v>
      </c>
      <c r="C441" s="32">
        <v>10.1666666666667</v>
      </c>
      <c r="D441" s="32">
        <v>610</v>
      </c>
      <c r="E441" s="19">
        <v>22</v>
      </c>
      <c r="F441" s="19">
        <v>12</v>
      </c>
      <c r="G441" s="33">
        <v>0.54545454545454497</v>
      </c>
      <c r="H441" s="32">
        <v>27.727272727272702</v>
      </c>
      <c r="I441" s="32">
        <v>120</v>
      </c>
      <c r="J441" s="16" t="s">
        <v>4797</v>
      </c>
      <c r="K441" s="16" t="s">
        <v>4798</v>
      </c>
      <c r="L441" s="16" t="s">
        <v>3907</v>
      </c>
    </row>
    <row r="442" spans="1:12" ht="19.5" customHeight="1" x14ac:dyDescent="0.35">
      <c r="A442" s="16" t="s">
        <v>2263</v>
      </c>
      <c r="B442" s="16" t="s">
        <v>1122</v>
      </c>
      <c r="C442" s="32">
        <v>10.033333333333299</v>
      </c>
      <c r="D442" s="32">
        <v>602</v>
      </c>
      <c r="E442" s="19">
        <v>26</v>
      </c>
      <c r="F442" s="19">
        <v>5</v>
      </c>
      <c r="G442" s="33">
        <v>0.19230769230769201</v>
      </c>
      <c r="H442" s="32">
        <v>23.153846153846199</v>
      </c>
      <c r="I442" s="32">
        <v>480</v>
      </c>
      <c r="J442" s="16" t="s">
        <v>4799</v>
      </c>
      <c r="K442" s="16" t="s">
        <v>4800</v>
      </c>
      <c r="L442" s="16" t="s">
        <v>3924</v>
      </c>
    </row>
    <row r="443" spans="1:12" ht="19.5" customHeight="1" x14ac:dyDescent="0.35">
      <c r="A443" s="16" t="s">
        <v>2266</v>
      </c>
      <c r="B443" s="16" t="s">
        <v>1077</v>
      </c>
      <c r="C443" s="32">
        <v>10</v>
      </c>
      <c r="D443" s="32">
        <v>600</v>
      </c>
      <c r="E443" s="19">
        <v>24</v>
      </c>
      <c r="F443" s="19">
        <v>4</v>
      </c>
      <c r="G443" s="33">
        <v>0.16666666666666699</v>
      </c>
      <c r="H443" s="32">
        <v>25</v>
      </c>
      <c r="I443" s="32">
        <v>360</v>
      </c>
      <c r="J443" s="16" t="s">
        <v>4801</v>
      </c>
      <c r="K443" s="16" t="s">
        <v>4802</v>
      </c>
      <c r="L443" s="16" t="s">
        <v>4491</v>
      </c>
    </row>
    <row r="444" spans="1:12" ht="19.5" customHeight="1" x14ac:dyDescent="0.35">
      <c r="A444" s="16" t="s">
        <v>2269</v>
      </c>
      <c r="B444" s="16" t="s">
        <v>929</v>
      </c>
      <c r="C444" s="32">
        <v>10</v>
      </c>
      <c r="D444" s="32">
        <v>600</v>
      </c>
      <c r="E444" s="19">
        <v>17</v>
      </c>
      <c r="F444" s="19">
        <v>4</v>
      </c>
      <c r="G444" s="33">
        <v>0.23529411764705899</v>
      </c>
      <c r="H444" s="32">
        <v>35.294117647058798</v>
      </c>
      <c r="I444" s="32">
        <v>300</v>
      </c>
      <c r="J444" s="16" t="s">
        <v>4803</v>
      </c>
      <c r="K444" s="16" t="s">
        <v>4804</v>
      </c>
      <c r="L444" s="16" t="s">
        <v>3907</v>
      </c>
    </row>
    <row r="445" spans="1:12" ht="19.5" customHeight="1" x14ac:dyDescent="0.35">
      <c r="A445" s="16" t="s">
        <v>2272</v>
      </c>
      <c r="B445" s="16" t="s">
        <v>1129</v>
      </c>
      <c r="C445" s="32">
        <v>10</v>
      </c>
      <c r="D445" s="32">
        <v>600</v>
      </c>
      <c r="E445" s="19">
        <v>3</v>
      </c>
      <c r="F445" s="19">
        <v>1</v>
      </c>
      <c r="G445" s="33">
        <v>0.33333333333333298</v>
      </c>
      <c r="H445" s="32">
        <v>200</v>
      </c>
      <c r="I445" s="32">
        <v>600</v>
      </c>
      <c r="J445" s="16" t="s">
        <v>4805</v>
      </c>
      <c r="K445" s="16" t="s">
        <v>4806</v>
      </c>
      <c r="L445" s="16" t="s">
        <v>4763</v>
      </c>
    </row>
    <row r="446" spans="1:12" ht="19.5" customHeight="1" x14ac:dyDescent="0.35">
      <c r="A446" s="16" t="s">
        <v>2275</v>
      </c>
      <c r="B446" s="16" t="s">
        <v>921</v>
      </c>
      <c r="C446" s="32">
        <v>9.75</v>
      </c>
      <c r="D446" s="32">
        <v>585</v>
      </c>
      <c r="E446" s="19">
        <v>19</v>
      </c>
      <c r="F446" s="19">
        <v>6</v>
      </c>
      <c r="G446" s="33">
        <v>0.31578947368421101</v>
      </c>
      <c r="H446" s="32">
        <v>30.789473684210499</v>
      </c>
      <c r="I446" s="32">
        <v>120</v>
      </c>
      <c r="J446" s="16" t="s">
        <v>4807</v>
      </c>
      <c r="K446" s="16" t="s">
        <v>4808</v>
      </c>
      <c r="L446" s="16" t="s">
        <v>3907</v>
      </c>
    </row>
    <row r="447" spans="1:12" ht="19.5" customHeight="1" x14ac:dyDescent="0.35">
      <c r="A447" s="16" t="s">
        <v>2278</v>
      </c>
      <c r="B447" s="16" t="s">
        <v>921</v>
      </c>
      <c r="C447" s="32">
        <v>9.7333333333333307</v>
      </c>
      <c r="D447" s="32">
        <v>584</v>
      </c>
      <c r="E447" s="19">
        <v>20</v>
      </c>
      <c r="F447" s="19">
        <v>6</v>
      </c>
      <c r="G447" s="33">
        <v>0.3</v>
      </c>
      <c r="H447" s="32">
        <v>29.2</v>
      </c>
      <c r="I447" s="32">
        <v>220</v>
      </c>
      <c r="J447" s="16" t="s">
        <v>4809</v>
      </c>
      <c r="K447" s="16" t="s">
        <v>4810</v>
      </c>
      <c r="L447" s="16" t="s">
        <v>4571</v>
      </c>
    </row>
    <row r="448" spans="1:12" ht="19.5" customHeight="1" x14ac:dyDescent="0.35">
      <c r="A448" s="16" t="s">
        <v>2281</v>
      </c>
      <c r="B448" s="16" t="s">
        <v>1077</v>
      </c>
      <c r="C448" s="32">
        <v>9.6666666666666696</v>
      </c>
      <c r="D448" s="32">
        <v>580</v>
      </c>
      <c r="E448" s="19">
        <v>40</v>
      </c>
      <c r="F448" s="19">
        <v>6</v>
      </c>
      <c r="G448" s="33">
        <v>0.15</v>
      </c>
      <c r="H448" s="32">
        <v>14.5</v>
      </c>
      <c r="I448" s="32">
        <v>180</v>
      </c>
      <c r="J448" s="16" t="s">
        <v>4811</v>
      </c>
      <c r="K448" s="16" t="s">
        <v>4812</v>
      </c>
      <c r="L448" s="16" t="s">
        <v>3941</v>
      </c>
    </row>
    <row r="449" spans="1:12" ht="19.5" customHeight="1" x14ac:dyDescent="0.35">
      <c r="A449" s="16" t="s">
        <v>2284</v>
      </c>
      <c r="B449" s="16" t="s">
        <v>1077</v>
      </c>
      <c r="C449" s="32">
        <v>9.6666666666666696</v>
      </c>
      <c r="D449" s="32">
        <v>580</v>
      </c>
      <c r="E449" s="19">
        <v>23</v>
      </c>
      <c r="F449" s="19">
        <v>2</v>
      </c>
      <c r="G449" s="33">
        <v>8.6956521739130405E-2</v>
      </c>
      <c r="H449" s="32">
        <v>25.2173913043478</v>
      </c>
      <c r="I449" s="32">
        <v>480</v>
      </c>
      <c r="J449" s="16" t="s">
        <v>4813</v>
      </c>
      <c r="K449" s="16" t="s">
        <v>4814</v>
      </c>
      <c r="L449" s="16" t="s">
        <v>3924</v>
      </c>
    </row>
    <row r="450" spans="1:12" ht="19.5" customHeight="1" x14ac:dyDescent="0.35">
      <c r="A450" s="16" t="s">
        <v>2287</v>
      </c>
      <c r="B450" s="16" t="s">
        <v>1659</v>
      </c>
      <c r="C450" s="32">
        <v>9.6166666666666707</v>
      </c>
      <c r="D450" s="32">
        <v>577</v>
      </c>
      <c r="E450" s="19">
        <v>7</v>
      </c>
      <c r="F450" s="19">
        <v>6</v>
      </c>
      <c r="G450" s="33">
        <v>0.85714285714285698</v>
      </c>
      <c r="H450" s="32">
        <v>82.428571428571402</v>
      </c>
      <c r="I450" s="32">
        <v>360</v>
      </c>
      <c r="J450" s="16" t="s">
        <v>4815</v>
      </c>
      <c r="K450" s="16" t="s">
        <v>4816</v>
      </c>
      <c r="L450" s="16" t="s">
        <v>4253</v>
      </c>
    </row>
    <row r="451" spans="1:12" ht="19.5" customHeight="1" x14ac:dyDescent="0.35">
      <c r="A451" s="16" t="s">
        <v>2290</v>
      </c>
      <c r="B451" s="16" t="s">
        <v>913</v>
      </c>
      <c r="C451" s="32">
        <v>9.4833333333333307</v>
      </c>
      <c r="D451" s="32">
        <v>569</v>
      </c>
      <c r="E451" s="19">
        <v>24</v>
      </c>
      <c r="F451" s="19">
        <v>11</v>
      </c>
      <c r="G451" s="33">
        <v>0.45833333333333298</v>
      </c>
      <c r="H451" s="32">
        <v>23.7083333333333</v>
      </c>
      <c r="I451" s="32">
        <v>120</v>
      </c>
      <c r="J451" s="16" t="s">
        <v>4817</v>
      </c>
      <c r="K451" s="16" t="s">
        <v>4818</v>
      </c>
      <c r="L451" s="16" t="s">
        <v>3907</v>
      </c>
    </row>
    <row r="452" spans="1:12" ht="19.5" customHeight="1" x14ac:dyDescent="0.35">
      <c r="A452" s="16" t="s">
        <v>2293</v>
      </c>
      <c r="B452" s="16" t="s">
        <v>1240</v>
      </c>
      <c r="C452" s="32">
        <v>9.3333333333333304</v>
      </c>
      <c r="D452" s="32">
        <v>560</v>
      </c>
      <c r="E452" s="19">
        <v>31</v>
      </c>
      <c r="F452" s="19">
        <v>11</v>
      </c>
      <c r="G452" s="33">
        <v>0.35483870967741898</v>
      </c>
      <c r="H452" s="32">
        <v>18.064516129032299</v>
      </c>
      <c r="I452" s="32">
        <v>180</v>
      </c>
      <c r="J452" s="16" t="s">
        <v>4819</v>
      </c>
      <c r="K452" s="16" t="s">
        <v>4820</v>
      </c>
      <c r="L452" s="16" t="s">
        <v>3924</v>
      </c>
    </row>
    <row r="453" spans="1:12" ht="19.5" customHeight="1" x14ac:dyDescent="0.35">
      <c r="A453" s="16" t="s">
        <v>2296</v>
      </c>
      <c r="B453" s="16" t="s">
        <v>1077</v>
      </c>
      <c r="C453" s="32">
        <v>9.3333333333333304</v>
      </c>
      <c r="D453" s="32">
        <v>560</v>
      </c>
      <c r="E453" s="19">
        <v>30</v>
      </c>
      <c r="F453" s="19">
        <v>5</v>
      </c>
      <c r="G453" s="33">
        <v>0.16666666666666699</v>
      </c>
      <c r="H453" s="32">
        <v>18.6666666666667</v>
      </c>
      <c r="I453" s="32">
        <v>200</v>
      </c>
      <c r="J453" s="16" t="s">
        <v>4821</v>
      </c>
      <c r="K453" s="16" t="s">
        <v>4822</v>
      </c>
      <c r="L453" s="16" t="s">
        <v>3941</v>
      </c>
    </row>
    <row r="454" spans="1:12" ht="19.5" customHeight="1" x14ac:dyDescent="0.35">
      <c r="A454" s="16" t="s">
        <v>2299</v>
      </c>
      <c r="B454" s="16" t="s">
        <v>942</v>
      </c>
      <c r="C454" s="32">
        <v>9.25</v>
      </c>
      <c r="D454" s="32">
        <v>555</v>
      </c>
      <c r="E454" s="19">
        <v>28</v>
      </c>
      <c r="F454" s="19">
        <v>8</v>
      </c>
      <c r="G454" s="33">
        <v>0.28571428571428598</v>
      </c>
      <c r="H454" s="32">
        <v>19.821428571428601</v>
      </c>
      <c r="I454" s="32">
        <v>150</v>
      </c>
      <c r="J454" s="16" t="s">
        <v>4823</v>
      </c>
      <c r="K454" s="16" t="s">
        <v>4824</v>
      </c>
      <c r="L454" s="16" t="s">
        <v>3907</v>
      </c>
    </row>
    <row r="455" spans="1:12" ht="19.5" customHeight="1" x14ac:dyDescent="0.35">
      <c r="A455" s="16" t="s">
        <v>2302</v>
      </c>
      <c r="B455" s="16" t="s">
        <v>1697</v>
      </c>
      <c r="C455" s="32">
        <v>9.1999999999999993</v>
      </c>
      <c r="D455" s="32">
        <v>552</v>
      </c>
      <c r="E455" s="19">
        <v>13</v>
      </c>
      <c r="F455" s="19">
        <v>6</v>
      </c>
      <c r="G455" s="33">
        <v>0.46153846153846201</v>
      </c>
      <c r="H455" s="32">
        <v>42.461538461538503</v>
      </c>
      <c r="I455" s="32">
        <v>240</v>
      </c>
      <c r="J455" s="16" t="s">
        <v>4825</v>
      </c>
      <c r="K455" s="16" t="s">
        <v>4826</v>
      </c>
      <c r="L455" s="16" t="s">
        <v>4253</v>
      </c>
    </row>
    <row r="456" spans="1:12" ht="19.5" customHeight="1" x14ac:dyDescent="0.35">
      <c r="A456" s="16" t="s">
        <v>2305</v>
      </c>
      <c r="B456" s="16" t="s">
        <v>1077</v>
      </c>
      <c r="C456" s="32">
        <v>9.0833333333333304</v>
      </c>
      <c r="D456" s="32">
        <v>545</v>
      </c>
      <c r="E456" s="19">
        <v>20</v>
      </c>
      <c r="F456" s="19">
        <v>5</v>
      </c>
      <c r="G456" s="33">
        <v>0.25</v>
      </c>
      <c r="H456" s="32">
        <v>27.25</v>
      </c>
      <c r="I456" s="32">
        <v>240</v>
      </c>
      <c r="J456" s="16" t="s">
        <v>4827</v>
      </c>
      <c r="K456" s="16" t="s">
        <v>4828</v>
      </c>
      <c r="L456" s="16" t="s">
        <v>4360</v>
      </c>
    </row>
    <row r="457" spans="1:12" ht="19.5" customHeight="1" x14ac:dyDescent="0.35">
      <c r="A457" s="16" t="s">
        <v>2308</v>
      </c>
      <c r="B457" s="16" t="s">
        <v>989</v>
      </c>
      <c r="C457" s="32">
        <v>9</v>
      </c>
      <c r="D457" s="32">
        <v>540</v>
      </c>
      <c r="E457" s="19">
        <v>9</v>
      </c>
      <c r="F457" s="19">
        <v>5</v>
      </c>
      <c r="G457" s="33">
        <v>0.55555555555555602</v>
      </c>
      <c r="H457" s="32">
        <v>60</v>
      </c>
      <c r="I457" s="32">
        <v>240</v>
      </c>
      <c r="J457" s="16" t="s">
        <v>4829</v>
      </c>
      <c r="K457" s="16" t="s">
        <v>4830</v>
      </c>
      <c r="L457" s="16" t="s">
        <v>4571</v>
      </c>
    </row>
    <row r="458" spans="1:12" ht="19.5" customHeight="1" x14ac:dyDescent="0.35">
      <c r="A458" s="16" t="s">
        <v>2311</v>
      </c>
      <c r="B458" s="16" t="s">
        <v>959</v>
      </c>
      <c r="C458" s="32">
        <v>8.8666666666666707</v>
      </c>
      <c r="D458" s="32">
        <v>532</v>
      </c>
      <c r="E458" s="19">
        <v>41</v>
      </c>
      <c r="F458" s="19">
        <v>2</v>
      </c>
      <c r="G458" s="33">
        <v>4.8780487804878099E-2</v>
      </c>
      <c r="H458" s="32">
        <v>12.975609756097599</v>
      </c>
      <c r="I458" s="32">
        <v>300</v>
      </c>
      <c r="J458" s="16" t="s">
        <v>4831</v>
      </c>
      <c r="K458" s="16" t="s">
        <v>4832</v>
      </c>
      <c r="L458" s="16" t="s">
        <v>3941</v>
      </c>
    </row>
    <row r="459" spans="1:12" ht="19.5" customHeight="1" x14ac:dyDescent="0.35">
      <c r="A459" s="16" t="s">
        <v>2314</v>
      </c>
      <c r="B459" s="16" t="s">
        <v>1582</v>
      </c>
      <c r="C459" s="32">
        <v>8.6666666666666696</v>
      </c>
      <c r="D459" s="32">
        <v>520</v>
      </c>
      <c r="E459" s="19">
        <v>34</v>
      </c>
      <c r="F459" s="19">
        <v>13</v>
      </c>
      <c r="G459" s="33">
        <v>0.38235294117647101</v>
      </c>
      <c r="H459" s="32">
        <v>15.294117647058799</v>
      </c>
      <c r="I459" s="32">
        <v>120</v>
      </c>
      <c r="J459" s="16" t="s">
        <v>4833</v>
      </c>
      <c r="K459" s="16" t="s">
        <v>4834</v>
      </c>
      <c r="L459" s="16" t="s">
        <v>4673</v>
      </c>
    </row>
    <row r="460" spans="1:12" ht="19.5" customHeight="1" x14ac:dyDescent="0.35">
      <c r="A460" s="16" t="s">
        <v>2317</v>
      </c>
      <c r="B460" s="16" t="s">
        <v>963</v>
      </c>
      <c r="C460" s="32">
        <v>8.65</v>
      </c>
      <c r="D460" s="32">
        <v>519</v>
      </c>
      <c r="E460" s="19">
        <v>15</v>
      </c>
      <c r="F460" s="19">
        <v>5</v>
      </c>
      <c r="G460" s="33">
        <v>0.33333333333333298</v>
      </c>
      <c r="H460" s="32">
        <v>34.6</v>
      </c>
      <c r="I460" s="32">
        <v>300</v>
      </c>
      <c r="J460" s="16" t="s">
        <v>4835</v>
      </c>
      <c r="K460" s="16" t="s">
        <v>4836</v>
      </c>
      <c r="L460" s="16" t="s">
        <v>4256</v>
      </c>
    </row>
    <row r="461" spans="1:12" ht="19.5" customHeight="1" x14ac:dyDescent="0.35">
      <c r="A461" s="16" t="s">
        <v>2320</v>
      </c>
      <c r="B461" s="16" t="s">
        <v>1768</v>
      </c>
      <c r="C461" s="32">
        <v>8.4166666666666696</v>
      </c>
      <c r="D461" s="32">
        <v>505</v>
      </c>
      <c r="E461" s="19">
        <v>4</v>
      </c>
      <c r="F461" s="19">
        <v>2</v>
      </c>
      <c r="G461" s="33">
        <v>0.5</v>
      </c>
      <c r="H461" s="32">
        <v>126.25</v>
      </c>
      <c r="I461" s="32">
        <v>465</v>
      </c>
      <c r="J461" s="16" t="s">
        <v>4837</v>
      </c>
      <c r="K461" s="16" t="s">
        <v>4838</v>
      </c>
      <c r="L461" s="16" t="s">
        <v>4839</v>
      </c>
    </row>
    <row r="462" spans="1:12" ht="19.5" customHeight="1" x14ac:dyDescent="0.35">
      <c r="A462" s="16" t="s">
        <v>2323</v>
      </c>
      <c r="B462" s="16" t="s">
        <v>1009</v>
      </c>
      <c r="C462" s="32">
        <v>8.35</v>
      </c>
      <c r="D462" s="32">
        <v>501</v>
      </c>
      <c r="E462" s="19">
        <v>33</v>
      </c>
      <c r="F462" s="19">
        <v>12</v>
      </c>
      <c r="G462" s="33">
        <v>0.36363636363636398</v>
      </c>
      <c r="H462" s="32">
        <v>15.181818181818199</v>
      </c>
      <c r="I462" s="32">
        <v>90</v>
      </c>
      <c r="J462" s="16" t="s">
        <v>4840</v>
      </c>
      <c r="K462" s="16" t="s">
        <v>4841</v>
      </c>
      <c r="L462" s="16" t="s">
        <v>3907</v>
      </c>
    </row>
    <row r="463" spans="1:12" ht="19.5" customHeight="1" x14ac:dyDescent="0.35">
      <c r="A463" s="16" t="s">
        <v>2326</v>
      </c>
      <c r="B463" s="16" t="s">
        <v>921</v>
      </c>
      <c r="C463" s="32">
        <v>8.35</v>
      </c>
      <c r="D463" s="32">
        <v>501</v>
      </c>
      <c r="E463" s="19">
        <v>22</v>
      </c>
      <c r="F463" s="19">
        <v>9</v>
      </c>
      <c r="G463" s="33">
        <v>0.40909090909090901</v>
      </c>
      <c r="H463" s="32">
        <v>22.772727272727298</v>
      </c>
      <c r="I463" s="32">
        <v>120</v>
      </c>
      <c r="J463" s="16" t="s">
        <v>4842</v>
      </c>
      <c r="K463" s="16" t="s">
        <v>4843</v>
      </c>
      <c r="L463" s="16" t="s">
        <v>3907</v>
      </c>
    </row>
    <row r="464" spans="1:12" ht="19.5" customHeight="1" x14ac:dyDescent="0.35">
      <c r="A464" s="16" t="s">
        <v>2329</v>
      </c>
      <c r="B464" s="16" t="s">
        <v>1697</v>
      </c>
      <c r="C464" s="32">
        <v>8.3333333333333304</v>
      </c>
      <c r="D464" s="32">
        <v>500</v>
      </c>
      <c r="E464" s="19">
        <v>5</v>
      </c>
      <c r="F464" s="19">
        <v>2</v>
      </c>
      <c r="G464" s="33">
        <v>0.4</v>
      </c>
      <c r="H464" s="32">
        <v>100</v>
      </c>
      <c r="I464" s="32">
        <v>300</v>
      </c>
      <c r="J464" s="16" t="s">
        <v>4844</v>
      </c>
      <c r="K464" s="16" t="s">
        <v>4845</v>
      </c>
      <c r="L464" s="16" t="s">
        <v>4256</v>
      </c>
    </row>
    <row r="465" spans="1:12" ht="19.5" customHeight="1" x14ac:dyDescent="0.35">
      <c r="A465" s="16" t="s">
        <v>2332</v>
      </c>
      <c r="B465" s="16" t="s">
        <v>1240</v>
      </c>
      <c r="C465" s="32">
        <v>8.2833333333333297</v>
      </c>
      <c r="D465" s="32">
        <v>497</v>
      </c>
      <c r="E465" s="19">
        <v>72</v>
      </c>
      <c r="F465" s="19">
        <v>11</v>
      </c>
      <c r="G465" s="33">
        <v>0.15277777777777801</v>
      </c>
      <c r="H465" s="32">
        <v>6.9027777777777803</v>
      </c>
      <c r="I465" s="32">
        <v>180</v>
      </c>
      <c r="J465" s="16" t="s">
        <v>4846</v>
      </c>
      <c r="K465" s="16" t="s">
        <v>4847</v>
      </c>
      <c r="L465" s="16" t="s">
        <v>3907</v>
      </c>
    </row>
    <row r="466" spans="1:12" ht="19.5" customHeight="1" x14ac:dyDescent="0.35">
      <c r="A466" s="16" t="s">
        <v>2335</v>
      </c>
      <c r="B466" s="16" t="s">
        <v>989</v>
      </c>
      <c r="C466" s="32">
        <v>8.2833333333333297</v>
      </c>
      <c r="D466" s="32">
        <v>497</v>
      </c>
      <c r="E466" s="19">
        <v>5</v>
      </c>
      <c r="F466" s="19">
        <v>2</v>
      </c>
      <c r="G466" s="33">
        <v>0.4</v>
      </c>
      <c r="H466" s="32">
        <v>99.4</v>
      </c>
      <c r="I466" s="32">
        <v>377</v>
      </c>
      <c r="J466" s="16" t="s">
        <v>4848</v>
      </c>
      <c r="K466" s="16" t="s">
        <v>4849</v>
      </c>
      <c r="L466" s="16" t="s">
        <v>3924</v>
      </c>
    </row>
    <row r="467" spans="1:12" ht="19.5" customHeight="1" x14ac:dyDescent="0.35">
      <c r="A467" s="16" t="s">
        <v>2337</v>
      </c>
      <c r="B467" s="16" t="s">
        <v>1009</v>
      </c>
      <c r="C467" s="32">
        <v>8.2333333333333307</v>
      </c>
      <c r="D467" s="32">
        <v>494</v>
      </c>
      <c r="E467" s="19">
        <v>41</v>
      </c>
      <c r="F467" s="19">
        <v>10</v>
      </c>
      <c r="G467" s="33">
        <v>0.24390243902438999</v>
      </c>
      <c r="H467" s="32">
        <v>12.048780487804899</v>
      </c>
      <c r="I467" s="32">
        <v>150</v>
      </c>
      <c r="J467" s="16" t="s">
        <v>4850</v>
      </c>
      <c r="K467" s="16" t="s">
        <v>4851</v>
      </c>
      <c r="L467" s="16" t="s">
        <v>3924</v>
      </c>
    </row>
    <row r="468" spans="1:12" ht="19.5" customHeight="1" x14ac:dyDescent="0.35">
      <c r="A468" s="16" t="s">
        <v>2340</v>
      </c>
      <c r="B468" s="16" t="s">
        <v>1077</v>
      </c>
      <c r="C468" s="32">
        <v>8</v>
      </c>
      <c r="D468" s="32">
        <v>480</v>
      </c>
      <c r="E468" s="19">
        <v>16</v>
      </c>
      <c r="F468" s="19">
        <v>3</v>
      </c>
      <c r="G468" s="33">
        <v>0.1875</v>
      </c>
      <c r="H468" s="32">
        <v>30</v>
      </c>
      <c r="I468" s="32">
        <v>240</v>
      </c>
      <c r="J468" s="16" t="s">
        <v>4852</v>
      </c>
      <c r="K468" s="16" t="s">
        <v>4853</v>
      </c>
      <c r="L468" s="16" t="s">
        <v>3941</v>
      </c>
    </row>
    <row r="469" spans="1:12" ht="19.5" customHeight="1" x14ac:dyDescent="0.35">
      <c r="A469" s="16" t="s">
        <v>2343</v>
      </c>
      <c r="B469" s="16" t="s">
        <v>1077</v>
      </c>
      <c r="C469" s="32">
        <v>8</v>
      </c>
      <c r="D469" s="32">
        <v>480</v>
      </c>
      <c r="E469" s="19">
        <v>15</v>
      </c>
      <c r="F469" s="19">
        <v>1</v>
      </c>
      <c r="G469" s="33">
        <v>6.6666666666666693E-2</v>
      </c>
      <c r="H469" s="32">
        <v>32</v>
      </c>
      <c r="I469" s="32">
        <v>480</v>
      </c>
      <c r="J469" s="16" t="s">
        <v>4854</v>
      </c>
      <c r="K469" s="16" t="s">
        <v>4855</v>
      </c>
      <c r="L469" s="16" t="s">
        <v>4360</v>
      </c>
    </row>
    <row r="470" spans="1:12" ht="19.5" customHeight="1" x14ac:dyDescent="0.35">
      <c r="A470" s="16" t="s">
        <v>2346</v>
      </c>
      <c r="B470" s="16" t="s">
        <v>921</v>
      </c>
      <c r="C470" s="32">
        <v>8</v>
      </c>
      <c r="D470" s="32">
        <v>480</v>
      </c>
      <c r="E470" s="19">
        <v>3</v>
      </c>
      <c r="F470" s="19">
        <v>2</v>
      </c>
      <c r="G470" s="33">
        <v>0.66666666666666696</v>
      </c>
      <c r="H470" s="32">
        <v>160</v>
      </c>
      <c r="I470" s="32">
        <v>420</v>
      </c>
      <c r="J470" s="16" t="s">
        <v>4856</v>
      </c>
      <c r="K470" s="16" t="s">
        <v>4857</v>
      </c>
      <c r="L470" s="16" t="s">
        <v>4858</v>
      </c>
    </row>
    <row r="471" spans="1:12" ht="19.5" customHeight="1" x14ac:dyDescent="0.35">
      <c r="A471" s="16" t="s">
        <v>2349</v>
      </c>
      <c r="B471" s="16" t="s">
        <v>963</v>
      </c>
      <c r="C471" s="32">
        <v>8</v>
      </c>
      <c r="D471" s="32">
        <v>480</v>
      </c>
      <c r="E471" s="19">
        <v>3</v>
      </c>
      <c r="F471" s="19">
        <v>1</v>
      </c>
      <c r="G471" s="33">
        <v>0.33333333333333298</v>
      </c>
      <c r="H471" s="32">
        <v>160</v>
      </c>
      <c r="I471" s="32">
        <v>480</v>
      </c>
      <c r="J471" s="16" t="s">
        <v>4859</v>
      </c>
      <c r="K471" s="16" t="s">
        <v>4860</v>
      </c>
      <c r="L471" s="16" t="s">
        <v>4253</v>
      </c>
    </row>
    <row r="472" spans="1:12" ht="19.5" customHeight="1" x14ac:dyDescent="0.35">
      <c r="A472" s="16" t="s">
        <v>2351</v>
      </c>
      <c r="B472" s="16" t="s">
        <v>1077</v>
      </c>
      <c r="C472" s="32">
        <v>8</v>
      </c>
      <c r="D472" s="32">
        <v>480</v>
      </c>
      <c r="E472" s="19">
        <v>3</v>
      </c>
      <c r="F472" s="19">
        <v>1</v>
      </c>
      <c r="G472" s="33">
        <v>0.33333333333333298</v>
      </c>
      <c r="H472" s="32">
        <v>160</v>
      </c>
      <c r="I472" s="32">
        <v>480</v>
      </c>
      <c r="J472" s="16" t="s">
        <v>4861</v>
      </c>
      <c r="K472" s="16" t="s">
        <v>4862</v>
      </c>
      <c r="L472" s="16" t="s">
        <v>4360</v>
      </c>
    </row>
    <row r="473" spans="1:12" ht="19.5" customHeight="1" x14ac:dyDescent="0.35">
      <c r="A473" s="16" t="s">
        <v>2353</v>
      </c>
      <c r="B473" s="16" t="s">
        <v>1122</v>
      </c>
      <c r="C473" s="32">
        <v>7.8333333333333304</v>
      </c>
      <c r="D473" s="32">
        <v>470</v>
      </c>
      <c r="E473" s="19">
        <v>23</v>
      </c>
      <c r="F473" s="19">
        <v>8</v>
      </c>
      <c r="G473" s="33">
        <v>0.34782608695652201</v>
      </c>
      <c r="H473" s="32">
        <v>20.434782608695699</v>
      </c>
      <c r="I473" s="32">
        <v>120</v>
      </c>
      <c r="J473" s="16" t="s">
        <v>4863</v>
      </c>
      <c r="K473" s="16" t="s">
        <v>4864</v>
      </c>
      <c r="L473" s="16" t="s">
        <v>3907</v>
      </c>
    </row>
    <row r="474" spans="1:12" ht="19.5" customHeight="1" x14ac:dyDescent="0.35">
      <c r="A474" s="16" t="s">
        <v>2356</v>
      </c>
      <c r="B474" s="16" t="s">
        <v>1118</v>
      </c>
      <c r="C474" s="32">
        <v>7.8</v>
      </c>
      <c r="D474" s="32">
        <v>468</v>
      </c>
      <c r="E474" s="19">
        <v>11</v>
      </c>
      <c r="F474" s="19">
        <v>8</v>
      </c>
      <c r="G474" s="33">
        <v>0.72727272727272696</v>
      </c>
      <c r="H474" s="32">
        <v>42.545454545454596</v>
      </c>
      <c r="I474" s="32">
        <v>240</v>
      </c>
      <c r="J474" s="16" t="s">
        <v>4865</v>
      </c>
      <c r="K474" s="16" t="s">
        <v>4866</v>
      </c>
      <c r="L474" s="16" t="s">
        <v>4165</v>
      </c>
    </row>
    <row r="475" spans="1:12" ht="19.5" customHeight="1" x14ac:dyDescent="0.35">
      <c r="A475" s="16" t="s">
        <v>2359</v>
      </c>
      <c r="B475" s="16" t="s">
        <v>1070</v>
      </c>
      <c r="C475" s="32">
        <v>7.6666666666666696</v>
      </c>
      <c r="D475" s="32">
        <v>460</v>
      </c>
      <c r="E475" s="19">
        <v>26</v>
      </c>
      <c r="F475" s="19">
        <v>5</v>
      </c>
      <c r="G475" s="33">
        <v>0.19230769230769201</v>
      </c>
      <c r="H475" s="32">
        <v>17.692307692307701</v>
      </c>
      <c r="I475" s="32">
        <v>260</v>
      </c>
      <c r="J475" s="16" t="s">
        <v>4867</v>
      </c>
      <c r="K475" s="16" t="s">
        <v>4868</v>
      </c>
      <c r="L475" s="16" t="s">
        <v>3907</v>
      </c>
    </row>
    <row r="476" spans="1:12" ht="19.5" customHeight="1" x14ac:dyDescent="0.35">
      <c r="A476" s="16" t="s">
        <v>2362</v>
      </c>
      <c r="B476" s="16" t="s">
        <v>1817</v>
      </c>
      <c r="C476" s="32">
        <v>7.6666666666666696</v>
      </c>
      <c r="D476" s="32">
        <v>460</v>
      </c>
      <c r="E476" s="19">
        <v>3</v>
      </c>
      <c r="F476" s="19">
        <v>1</v>
      </c>
      <c r="G476" s="33">
        <v>0.33333333333333298</v>
      </c>
      <c r="H476" s="32">
        <v>153.333333333333</v>
      </c>
      <c r="I476" s="32">
        <v>460</v>
      </c>
      <c r="J476" s="16" t="s">
        <v>4869</v>
      </c>
      <c r="K476" s="16" t="s">
        <v>4870</v>
      </c>
      <c r="L476" s="16" t="s">
        <v>4871</v>
      </c>
    </row>
    <row r="477" spans="1:12" ht="19.5" customHeight="1" x14ac:dyDescent="0.35">
      <c r="A477" s="16" t="s">
        <v>2365</v>
      </c>
      <c r="B477" s="16" t="s">
        <v>1070</v>
      </c>
      <c r="C477" s="32">
        <v>7.5833333333333304</v>
      </c>
      <c r="D477" s="32">
        <v>455</v>
      </c>
      <c r="E477" s="19">
        <v>13</v>
      </c>
      <c r="F477" s="19">
        <v>6</v>
      </c>
      <c r="G477" s="33">
        <v>0.46153846153846201</v>
      </c>
      <c r="H477" s="32">
        <v>35</v>
      </c>
      <c r="I477" s="32">
        <v>120</v>
      </c>
      <c r="J477" s="16" t="s">
        <v>4872</v>
      </c>
      <c r="K477" s="16" t="s">
        <v>4873</v>
      </c>
      <c r="L477" s="16" t="s">
        <v>4534</v>
      </c>
    </row>
    <row r="478" spans="1:12" ht="19.5" customHeight="1" x14ac:dyDescent="0.35">
      <c r="A478" s="16" t="s">
        <v>2368</v>
      </c>
      <c r="B478" s="16" t="s">
        <v>921</v>
      </c>
      <c r="C478" s="32">
        <v>7.5</v>
      </c>
      <c r="D478" s="32">
        <v>450</v>
      </c>
      <c r="E478" s="19">
        <v>30</v>
      </c>
      <c r="F478" s="19">
        <v>7</v>
      </c>
      <c r="G478" s="33">
        <v>0.233333333333333</v>
      </c>
      <c r="H478" s="32">
        <v>15</v>
      </c>
      <c r="I478" s="32">
        <v>150</v>
      </c>
      <c r="J478" s="16" t="s">
        <v>4874</v>
      </c>
      <c r="K478" s="16" t="s">
        <v>4875</v>
      </c>
      <c r="L478" s="16" t="s">
        <v>3907</v>
      </c>
    </row>
    <row r="479" spans="1:12" ht="19.5" customHeight="1" x14ac:dyDescent="0.35">
      <c r="A479" s="16" t="s">
        <v>2371</v>
      </c>
      <c r="B479" s="16" t="s">
        <v>1070</v>
      </c>
      <c r="C479" s="32">
        <v>7.5</v>
      </c>
      <c r="D479" s="32">
        <v>450</v>
      </c>
      <c r="E479" s="19">
        <v>9</v>
      </c>
      <c r="F479" s="19">
        <v>3</v>
      </c>
      <c r="G479" s="33">
        <v>0.33333333333333298</v>
      </c>
      <c r="H479" s="32">
        <v>50</v>
      </c>
      <c r="I479" s="32">
        <v>210</v>
      </c>
      <c r="J479" s="16" t="s">
        <v>4876</v>
      </c>
      <c r="K479" s="16" t="s">
        <v>4877</v>
      </c>
      <c r="L479" s="16" t="s">
        <v>4534</v>
      </c>
    </row>
    <row r="480" spans="1:12" ht="19.5" customHeight="1" x14ac:dyDescent="0.35">
      <c r="A480" s="16" t="s">
        <v>2374</v>
      </c>
      <c r="B480" s="16" t="s">
        <v>921</v>
      </c>
      <c r="C480" s="32">
        <v>7.5</v>
      </c>
      <c r="D480" s="32">
        <v>450</v>
      </c>
      <c r="E480" s="19">
        <v>6</v>
      </c>
      <c r="F480" s="19">
        <v>3</v>
      </c>
      <c r="G480" s="33">
        <v>0.5</v>
      </c>
      <c r="H480" s="32">
        <v>75</v>
      </c>
      <c r="I480" s="32">
        <v>240</v>
      </c>
      <c r="J480" s="16" t="s">
        <v>4878</v>
      </c>
      <c r="K480" s="16" t="s">
        <v>4879</v>
      </c>
      <c r="L480" s="16" t="s">
        <v>4571</v>
      </c>
    </row>
    <row r="481" spans="1:12" ht="19.5" customHeight="1" x14ac:dyDescent="0.35">
      <c r="A481" s="16" t="s">
        <v>2377</v>
      </c>
      <c r="B481" s="16" t="s">
        <v>1009</v>
      </c>
      <c r="C481" s="32">
        <v>7.4166666666666696</v>
      </c>
      <c r="D481" s="32">
        <v>445</v>
      </c>
      <c r="E481" s="19">
        <v>32</v>
      </c>
      <c r="F481" s="19">
        <v>10</v>
      </c>
      <c r="G481" s="33">
        <v>0.3125</v>
      </c>
      <c r="H481" s="32">
        <v>13.90625</v>
      </c>
      <c r="I481" s="32">
        <v>120</v>
      </c>
      <c r="J481" s="16" t="s">
        <v>4880</v>
      </c>
      <c r="K481" s="16" t="s">
        <v>4881</v>
      </c>
      <c r="L481" s="16" t="s">
        <v>3907</v>
      </c>
    </row>
    <row r="482" spans="1:12" ht="19.5" customHeight="1" x14ac:dyDescent="0.35">
      <c r="A482" s="16" t="s">
        <v>2380</v>
      </c>
      <c r="B482" s="16" t="s">
        <v>929</v>
      </c>
      <c r="C482" s="32">
        <v>7.3333333333333304</v>
      </c>
      <c r="D482" s="32">
        <v>440</v>
      </c>
      <c r="E482" s="19">
        <v>18</v>
      </c>
      <c r="F482" s="19">
        <v>2</v>
      </c>
      <c r="G482" s="33">
        <v>0.11111111111111099</v>
      </c>
      <c r="H482" s="32">
        <v>24.4444444444444</v>
      </c>
      <c r="I482" s="32">
        <v>320</v>
      </c>
      <c r="J482" s="16" t="s">
        <v>4882</v>
      </c>
      <c r="K482" s="16" t="s">
        <v>4883</v>
      </c>
      <c r="L482" s="16" t="s">
        <v>3907</v>
      </c>
    </row>
    <row r="483" spans="1:12" ht="19.5" customHeight="1" x14ac:dyDescent="0.35">
      <c r="A483" s="16" t="s">
        <v>2383</v>
      </c>
      <c r="B483" s="16" t="s">
        <v>989</v>
      </c>
      <c r="C483" s="32">
        <v>7.3333333333333304</v>
      </c>
      <c r="D483" s="32">
        <v>440</v>
      </c>
      <c r="E483" s="19">
        <v>7</v>
      </c>
      <c r="F483" s="19">
        <v>2</v>
      </c>
      <c r="G483" s="33">
        <v>0.28571428571428598</v>
      </c>
      <c r="H483" s="32">
        <v>62.857142857142897</v>
      </c>
      <c r="I483" s="32">
        <v>240</v>
      </c>
      <c r="J483" s="16" t="s">
        <v>4884</v>
      </c>
      <c r="K483" s="16" t="s">
        <v>4885</v>
      </c>
      <c r="L483" s="16" t="s">
        <v>4165</v>
      </c>
    </row>
    <row r="484" spans="1:12" ht="19.5" customHeight="1" x14ac:dyDescent="0.35">
      <c r="A484" s="16" t="s">
        <v>2386</v>
      </c>
      <c r="B484" s="16" t="s">
        <v>1136</v>
      </c>
      <c r="C484" s="32">
        <v>7.1666666666666696</v>
      </c>
      <c r="D484" s="32">
        <v>430</v>
      </c>
      <c r="E484" s="19">
        <v>33</v>
      </c>
      <c r="F484" s="19">
        <v>6</v>
      </c>
      <c r="G484" s="33">
        <v>0.18181818181818199</v>
      </c>
      <c r="H484" s="32">
        <v>13.030303030302999</v>
      </c>
      <c r="I484" s="32">
        <v>180</v>
      </c>
      <c r="J484" s="16" t="s">
        <v>4886</v>
      </c>
      <c r="K484" s="16" t="s">
        <v>4887</v>
      </c>
      <c r="L484" s="16" t="s">
        <v>3907</v>
      </c>
    </row>
    <row r="485" spans="1:12" ht="19.5" customHeight="1" x14ac:dyDescent="0.35">
      <c r="A485" s="16" t="s">
        <v>2389</v>
      </c>
      <c r="B485" s="16" t="s">
        <v>1118</v>
      </c>
      <c r="C485" s="32">
        <v>7.1666666666666696</v>
      </c>
      <c r="D485" s="32">
        <v>430</v>
      </c>
      <c r="E485" s="19">
        <v>4</v>
      </c>
      <c r="F485" s="19">
        <v>1</v>
      </c>
      <c r="G485" s="33">
        <v>0.25</v>
      </c>
      <c r="H485" s="32">
        <v>107.5</v>
      </c>
      <c r="I485" s="32">
        <v>430</v>
      </c>
      <c r="J485" s="16" t="s">
        <v>4888</v>
      </c>
      <c r="K485" s="16" t="s">
        <v>4889</v>
      </c>
      <c r="L485" s="16" t="s">
        <v>4772</v>
      </c>
    </row>
    <row r="486" spans="1:12" ht="19.5" customHeight="1" x14ac:dyDescent="0.35">
      <c r="A486" s="16" t="s">
        <v>2392</v>
      </c>
      <c r="B486" s="16" t="s">
        <v>1136</v>
      </c>
      <c r="C486" s="32">
        <v>7.0833333333333304</v>
      </c>
      <c r="D486" s="32">
        <v>425</v>
      </c>
      <c r="E486" s="19">
        <v>53</v>
      </c>
      <c r="F486" s="19">
        <v>8</v>
      </c>
      <c r="G486" s="33">
        <v>0.15094339622641501</v>
      </c>
      <c r="H486" s="32">
        <v>8.0188679245282994</v>
      </c>
      <c r="I486" s="32">
        <v>120</v>
      </c>
      <c r="J486" s="16" t="s">
        <v>4890</v>
      </c>
      <c r="K486" s="16" t="s">
        <v>4891</v>
      </c>
      <c r="L486" s="16" t="s">
        <v>3907</v>
      </c>
    </row>
    <row r="487" spans="1:12" ht="19.5" customHeight="1" x14ac:dyDescent="0.35">
      <c r="A487" s="16" t="s">
        <v>2395</v>
      </c>
      <c r="B487" s="16" t="s">
        <v>989</v>
      </c>
      <c r="C487" s="32">
        <v>7.05</v>
      </c>
      <c r="D487" s="32">
        <v>423</v>
      </c>
      <c r="E487" s="19">
        <v>6</v>
      </c>
      <c r="F487" s="19">
        <v>2</v>
      </c>
      <c r="G487" s="33">
        <v>0.33333333333333298</v>
      </c>
      <c r="H487" s="32">
        <v>70.5</v>
      </c>
      <c r="I487" s="32">
        <v>303</v>
      </c>
      <c r="J487" s="16" t="s">
        <v>4892</v>
      </c>
      <c r="K487" s="16" t="s">
        <v>4893</v>
      </c>
      <c r="L487" s="16" t="s">
        <v>4253</v>
      </c>
    </row>
    <row r="488" spans="1:12" ht="19.5" customHeight="1" x14ac:dyDescent="0.35">
      <c r="A488" s="16" t="s">
        <v>2398</v>
      </c>
      <c r="B488" s="16" t="s">
        <v>1077</v>
      </c>
      <c r="C488" s="32">
        <v>7</v>
      </c>
      <c r="D488" s="32">
        <v>420</v>
      </c>
      <c r="E488" s="19">
        <v>17</v>
      </c>
      <c r="F488" s="19">
        <v>2</v>
      </c>
      <c r="G488" s="33">
        <v>0.11764705882352899</v>
      </c>
      <c r="H488" s="32">
        <v>24.705882352941199</v>
      </c>
      <c r="I488" s="32">
        <v>240</v>
      </c>
      <c r="J488" s="16" t="s">
        <v>4894</v>
      </c>
      <c r="K488" s="16" t="s">
        <v>4895</v>
      </c>
      <c r="L488" s="16" t="s">
        <v>3941</v>
      </c>
    </row>
    <row r="489" spans="1:12" ht="19.5" customHeight="1" x14ac:dyDescent="0.35">
      <c r="A489" s="16" t="s">
        <v>2401</v>
      </c>
      <c r="B489" s="16" t="s">
        <v>921</v>
      </c>
      <c r="C489" s="32">
        <v>6.9833333333333298</v>
      </c>
      <c r="D489" s="32">
        <v>419</v>
      </c>
      <c r="E489" s="19">
        <v>6</v>
      </c>
      <c r="F489" s="19">
        <v>4</v>
      </c>
      <c r="G489" s="33">
        <v>0.66666666666666696</v>
      </c>
      <c r="H489" s="32">
        <v>69.8333333333333</v>
      </c>
      <c r="I489" s="32">
        <v>240</v>
      </c>
      <c r="J489" s="16" t="s">
        <v>4896</v>
      </c>
      <c r="K489" s="16" t="s">
        <v>4897</v>
      </c>
      <c r="L489" s="16" t="s">
        <v>4165</v>
      </c>
    </row>
    <row r="490" spans="1:12" ht="19.5" customHeight="1" x14ac:dyDescent="0.35">
      <c r="A490" s="16" t="s">
        <v>2403</v>
      </c>
      <c r="B490" s="16" t="s">
        <v>1817</v>
      </c>
      <c r="C490" s="32">
        <v>6.7833333333333297</v>
      </c>
      <c r="D490" s="32">
        <v>407</v>
      </c>
      <c r="E490" s="19">
        <v>20</v>
      </c>
      <c r="F490" s="19">
        <v>5</v>
      </c>
      <c r="G490" s="33">
        <v>0.25</v>
      </c>
      <c r="H490" s="32">
        <v>20.350000000000001</v>
      </c>
      <c r="I490" s="32">
        <v>207</v>
      </c>
      <c r="J490" s="16" t="s">
        <v>4898</v>
      </c>
      <c r="K490" s="16" t="s">
        <v>4899</v>
      </c>
      <c r="L490" s="16" t="s">
        <v>3907</v>
      </c>
    </row>
    <row r="491" spans="1:12" ht="19.5" customHeight="1" x14ac:dyDescent="0.35">
      <c r="A491" s="16" t="s">
        <v>2406</v>
      </c>
      <c r="B491" s="16" t="s">
        <v>1118</v>
      </c>
      <c r="C491" s="32">
        <v>6.7666666666666702</v>
      </c>
      <c r="D491" s="32">
        <v>406</v>
      </c>
      <c r="E491" s="19">
        <v>20</v>
      </c>
      <c r="F491" s="19">
        <v>4</v>
      </c>
      <c r="G491" s="33">
        <v>0.2</v>
      </c>
      <c r="H491" s="32">
        <v>20.3</v>
      </c>
      <c r="I491" s="32">
        <v>345</v>
      </c>
      <c r="J491" s="16" t="s">
        <v>4900</v>
      </c>
      <c r="K491" s="16" t="s">
        <v>4901</v>
      </c>
      <c r="L491" s="16" t="s">
        <v>3907</v>
      </c>
    </row>
    <row r="492" spans="1:12" ht="19.5" customHeight="1" x14ac:dyDescent="0.35">
      <c r="A492" s="16" t="s">
        <v>2408</v>
      </c>
      <c r="B492" s="16" t="s">
        <v>921</v>
      </c>
      <c r="C492" s="32">
        <v>6.75</v>
      </c>
      <c r="D492" s="32">
        <v>405</v>
      </c>
      <c r="E492" s="19">
        <v>13</v>
      </c>
      <c r="F492" s="19">
        <v>4</v>
      </c>
      <c r="G492" s="33">
        <v>0.30769230769230799</v>
      </c>
      <c r="H492" s="32">
        <v>31.153846153846199</v>
      </c>
      <c r="I492" s="32">
        <v>240</v>
      </c>
      <c r="J492" s="16" t="s">
        <v>4902</v>
      </c>
      <c r="K492" s="16" t="s">
        <v>4903</v>
      </c>
      <c r="L492" s="16" t="s">
        <v>4673</v>
      </c>
    </row>
    <row r="493" spans="1:12" ht="19.5" customHeight="1" x14ac:dyDescent="0.35">
      <c r="A493" s="16" t="s">
        <v>2411</v>
      </c>
      <c r="B493" s="16" t="s">
        <v>1070</v>
      </c>
      <c r="C493" s="32">
        <v>6.68333333333333</v>
      </c>
      <c r="D493" s="32">
        <v>401</v>
      </c>
      <c r="E493" s="19">
        <v>6</v>
      </c>
      <c r="F493" s="19">
        <v>4</v>
      </c>
      <c r="G493" s="33">
        <v>0.66666666666666696</v>
      </c>
      <c r="H493" s="32">
        <v>66.8333333333333</v>
      </c>
      <c r="I493" s="32">
        <v>240</v>
      </c>
      <c r="J493" s="16" t="s">
        <v>4892</v>
      </c>
      <c r="K493" s="16" t="s">
        <v>4904</v>
      </c>
      <c r="L493" s="16" t="s">
        <v>4905</v>
      </c>
    </row>
    <row r="494" spans="1:12" ht="19.5" customHeight="1" x14ac:dyDescent="0.35">
      <c r="A494" s="16" t="s">
        <v>2413</v>
      </c>
      <c r="B494" s="16" t="s">
        <v>1077</v>
      </c>
      <c r="C494" s="32">
        <v>6.6666666666666696</v>
      </c>
      <c r="D494" s="32">
        <v>400</v>
      </c>
      <c r="E494" s="19">
        <v>29</v>
      </c>
      <c r="F494" s="19">
        <v>4</v>
      </c>
      <c r="G494" s="33">
        <v>0.13793103448275901</v>
      </c>
      <c r="H494" s="32">
        <v>13.7931034482759</v>
      </c>
      <c r="I494" s="32">
        <v>240</v>
      </c>
      <c r="J494" s="16" t="s">
        <v>4906</v>
      </c>
      <c r="K494" s="16" t="s">
        <v>4907</v>
      </c>
      <c r="L494" s="16" t="s">
        <v>3941</v>
      </c>
    </row>
    <row r="495" spans="1:12" ht="19.5" customHeight="1" x14ac:dyDescent="0.35">
      <c r="A495" s="16" t="s">
        <v>2416</v>
      </c>
      <c r="B495" s="16" t="s">
        <v>1690</v>
      </c>
      <c r="C495" s="32">
        <v>6.6666666666666696</v>
      </c>
      <c r="D495" s="32">
        <v>400</v>
      </c>
      <c r="E495" s="19">
        <v>4</v>
      </c>
      <c r="F495" s="19">
        <v>2</v>
      </c>
      <c r="G495" s="33">
        <v>0.5</v>
      </c>
      <c r="H495" s="32">
        <v>100</v>
      </c>
      <c r="I495" s="32">
        <v>360</v>
      </c>
      <c r="J495" s="16" t="s">
        <v>4908</v>
      </c>
      <c r="K495" s="16" t="s">
        <v>4909</v>
      </c>
      <c r="L495" s="16" t="s">
        <v>4910</v>
      </c>
    </row>
    <row r="496" spans="1:12" ht="19.5" customHeight="1" x14ac:dyDescent="0.35">
      <c r="A496" s="16" t="s">
        <v>2419</v>
      </c>
      <c r="B496" s="16" t="s">
        <v>1077</v>
      </c>
      <c r="C496" s="32">
        <v>6.5</v>
      </c>
      <c r="D496" s="32">
        <v>390</v>
      </c>
      <c r="E496" s="19">
        <v>11</v>
      </c>
      <c r="F496" s="19">
        <v>2</v>
      </c>
      <c r="G496" s="33">
        <v>0.18181818181818199</v>
      </c>
      <c r="H496" s="32">
        <v>35.454545454545503</v>
      </c>
      <c r="I496" s="32">
        <v>270</v>
      </c>
      <c r="J496" s="16" t="s">
        <v>4911</v>
      </c>
      <c r="K496" s="16" t="s">
        <v>4912</v>
      </c>
      <c r="L496" s="16" t="s">
        <v>3941</v>
      </c>
    </row>
    <row r="497" spans="1:12" ht="19.5" customHeight="1" x14ac:dyDescent="0.35">
      <c r="A497" s="16" t="s">
        <v>2422</v>
      </c>
      <c r="B497" s="16" t="s">
        <v>898</v>
      </c>
      <c r="C497" s="32">
        <v>6.4666666666666703</v>
      </c>
      <c r="D497" s="32">
        <v>388</v>
      </c>
      <c r="E497" s="19">
        <v>7</v>
      </c>
      <c r="F497" s="19">
        <v>3</v>
      </c>
      <c r="G497" s="33">
        <v>0.42857142857142899</v>
      </c>
      <c r="H497" s="32">
        <v>55.428571428571402</v>
      </c>
      <c r="I497" s="32">
        <v>268</v>
      </c>
      <c r="J497" s="16" t="s">
        <v>4913</v>
      </c>
      <c r="K497" s="16" t="s">
        <v>4914</v>
      </c>
      <c r="L497" s="16" t="s">
        <v>3907</v>
      </c>
    </row>
    <row r="498" spans="1:12" ht="19.5" customHeight="1" x14ac:dyDescent="0.35">
      <c r="A498" s="16" t="s">
        <v>2425</v>
      </c>
      <c r="B498" s="16" t="s">
        <v>1659</v>
      </c>
      <c r="C498" s="32">
        <v>6.45</v>
      </c>
      <c r="D498" s="32">
        <v>387</v>
      </c>
      <c r="E498" s="19">
        <v>9</v>
      </c>
      <c r="F498" s="19">
        <v>3</v>
      </c>
      <c r="G498" s="33">
        <v>0.33333333333333298</v>
      </c>
      <c r="H498" s="32">
        <v>43</v>
      </c>
      <c r="I498" s="32">
        <v>200</v>
      </c>
      <c r="J498" s="16" t="s">
        <v>4915</v>
      </c>
      <c r="K498" s="16" t="s">
        <v>4916</v>
      </c>
      <c r="L498" s="16" t="s">
        <v>4253</v>
      </c>
    </row>
    <row r="499" spans="1:12" ht="19.5" customHeight="1" x14ac:dyDescent="0.35">
      <c r="A499" s="16" t="s">
        <v>2428</v>
      </c>
      <c r="B499" s="16" t="s">
        <v>1101</v>
      </c>
      <c r="C499" s="32">
        <v>6.3333333333333304</v>
      </c>
      <c r="D499" s="32">
        <v>380</v>
      </c>
      <c r="E499" s="19">
        <v>20</v>
      </c>
      <c r="F499" s="19">
        <v>4</v>
      </c>
      <c r="G499" s="33">
        <v>0.2</v>
      </c>
      <c r="H499" s="32">
        <v>19</v>
      </c>
      <c r="I499" s="32">
        <v>120</v>
      </c>
      <c r="J499" s="16" t="s">
        <v>4917</v>
      </c>
      <c r="K499" s="16" t="s">
        <v>4918</v>
      </c>
      <c r="L499" s="16" t="s">
        <v>3907</v>
      </c>
    </row>
    <row r="500" spans="1:12" ht="19.5" customHeight="1" x14ac:dyDescent="0.35">
      <c r="A500" s="16" t="s">
        <v>2431</v>
      </c>
      <c r="B500" s="16" t="s">
        <v>1157</v>
      </c>
      <c r="C500" s="32">
        <v>6.3333333333333304</v>
      </c>
      <c r="D500" s="32">
        <v>380</v>
      </c>
      <c r="E500" s="19">
        <v>16</v>
      </c>
      <c r="F500" s="19">
        <v>6</v>
      </c>
      <c r="G500" s="33">
        <v>0.375</v>
      </c>
      <c r="H500" s="32">
        <v>23.75</v>
      </c>
      <c r="I500" s="32">
        <v>150</v>
      </c>
      <c r="J500" s="16" t="s">
        <v>4919</v>
      </c>
      <c r="K500" s="16" t="s">
        <v>4920</v>
      </c>
      <c r="L500" s="16" t="s">
        <v>4165</v>
      </c>
    </row>
    <row r="501" spans="1:12" ht="19.5" customHeight="1" x14ac:dyDescent="0.35">
      <c r="A501" s="16" t="s">
        <v>2434</v>
      </c>
      <c r="B501" s="16" t="s">
        <v>1077</v>
      </c>
      <c r="C501" s="32">
        <v>6.3333333333333304</v>
      </c>
      <c r="D501" s="32">
        <v>380</v>
      </c>
      <c r="E501" s="19">
        <v>14</v>
      </c>
      <c r="F501" s="19">
        <v>2</v>
      </c>
      <c r="G501" s="33">
        <v>0.14285714285714299</v>
      </c>
      <c r="H501" s="32">
        <v>27.1428571428571</v>
      </c>
      <c r="I501" s="32">
        <v>300</v>
      </c>
      <c r="J501" s="16" t="s">
        <v>4921</v>
      </c>
      <c r="K501" s="16" t="s">
        <v>4922</v>
      </c>
      <c r="L501" s="16" t="s">
        <v>3941</v>
      </c>
    </row>
    <row r="502" spans="1:12" ht="19.5" customHeight="1" x14ac:dyDescent="0.35">
      <c r="A502" s="16" t="s">
        <v>2437</v>
      </c>
      <c r="B502" s="16" t="s">
        <v>913</v>
      </c>
      <c r="C502" s="32">
        <v>6.3333333333333304</v>
      </c>
      <c r="D502" s="32">
        <v>380</v>
      </c>
      <c r="E502" s="19">
        <v>4</v>
      </c>
      <c r="F502" s="19">
        <v>3</v>
      </c>
      <c r="G502" s="33">
        <v>0.75</v>
      </c>
      <c r="H502" s="32">
        <v>95</v>
      </c>
      <c r="I502" s="32">
        <v>200</v>
      </c>
      <c r="J502" s="16" t="s">
        <v>4923</v>
      </c>
      <c r="K502" s="16" t="s">
        <v>4924</v>
      </c>
      <c r="L502" s="16" t="s">
        <v>4925</v>
      </c>
    </row>
    <row r="503" spans="1:12" ht="19.5" customHeight="1" x14ac:dyDescent="0.35">
      <c r="A503" s="16" t="s">
        <v>2440</v>
      </c>
      <c r="B503" s="16" t="s">
        <v>909</v>
      </c>
      <c r="C503" s="32">
        <v>6.2833333333333297</v>
      </c>
      <c r="D503" s="32">
        <v>377</v>
      </c>
      <c r="E503" s="19">
        <v>1</v>
      </c>
      <c r="F503" s="19">
        <v>1</v>
      </c>
      <c r="G503" s="33">
        <v>1</v>
      </c>
      <c r="H503" s="32">
        <v>377</v>
      </c>
      <c r="I503" s="32">
        <v>377</v>
      </c>
      <c r="J503" s="16" t="s">
        <v>4770</v>
      </c>
      <c r="K503" s="16" t="s">
        <v>4926</v>
      </c>
      <c r="L503" s="16" t="s">
        <v>4772</v>
      </c>
    </row>
    <row r="504" spans="1:12" ht="19.5" customHeight="1" x14ac:dyDescent="0.35">
      <c r="A504" s="16" t="s">
        <v>2442</v>
      </c>
      <c r="B504" s="16" t="s">
        <v>989</v>
      </c>
      <c r="C504" s="32">
        <v>6.2666666666666702</v>
      </c>
      <c r="D504" s="32">
        <v>376</v>
      </c>
      <c r="E504" s="19">
        <v>1</v>
      </c>
      <c r="F504" s="19">
        <v>1</v>
      </c>
      <c r="G504" s="33">
        <v>1</v>
      </c>
      <c r="H504" s="32">
        <v>376</v>
      </c>
      <c r="I504" s="32">
        <v>376</v>
      </c>
      <c r="J504" s="16" t="s">
        <v>4927</v>
      </c>
      <c r="K504" s="16" t="s">
        <v>4928</v>
      </c>
      <c r="L504" s="16" t="s">
        <v>4686</v>
      </c>
    </row>
    <row r="505" spans="1:12" ht="19.5" customHeight="1" x14ac:dyDescent="0.35">
      <c r="A505" s="16" t="s">
        <v>2444</v>
      </c>
      <c r="B505" s="16" t="s">
        <v>1077</v>
      </c>
      <c r="C505" s="32">
        <v>6.25</v>
      </c>
      <c r="D505" s="32">
        <v>375</v>
      </c>
      <c r="E505" s="19">
        <v>16</v>
      </c>
      <c r="F505" s="19">
        <v>2</v>
      </c>
      <c r="G505" s="33">
        <v>0.125</v>
      </c>
      <c r="H505" s="32">
        <v>23.4375</v>
      </c>
      <c r="I505" s="32">
        <v>360</v>
      </c>
      <c r="J505" s="16" t="s">
        <v>4929</v>
      </c>
      <c r="K505" s="16" t="s">
        <v>4930</v>
      </c>
      <c r="L505" s="16" t="s">
        <v>3941</v>
      </c>
    </row>
    <row r="506" spans="1:12" ht="19.5" customHeight="1" x14ac:dyDescent="0.35">
      <c r="A506" s="16" t="s">
        <v>2447</v>
      </c>
      <c r="B506" s="16" t="s">
        <v>1118</v>
      </c>
      <c r="C506" s="32">
        <v>6.15</v>
      </c>
      <c r="D506" s="32">
        <v>369</v>
      </c>
      <c r="E506" s="19">
        <v>3</v>
      </c>
      <c r="F506" s="19">
        <v>2</v>
      </c>
      <c r="G506" s="33">
        <v>0.66666666666666696</v>
      </c>
      <c r="H506" s="32">
        <v>123</v>
      </c>
      <c r="I506" s="32">
        <v>330</v>
      </c>
      <c r="J506" s="16" t="s">
        <v>4931</v>
      </c>
      <c r="K506" s="16" t="s">
        <v>4932</v>
      </c>
      <c r="L506" s="16" t="s">
        <v>4604</v>
      </c>
    </row>
    <row r="507" spans="1:12" ht="19.5" customHeight="1" x14ac:dyDescent="0.35">
      <c r="A507" s="16" t="s">
        <v>2450</v>
      </c>
      <c r="B507" s="16" t="s">
        <v>1582</v>
      </c>
      <c r="C507" s="32">
        <v>6.1</v>
      </c>
      <c r="D507" s="32">
        <v>366</v>
      </c>
      <c r="E507" s="19">
        <v>7</v>
      </c>
      <c r="F507" s="19">
        <v>6</v>
      </c>
      <c r="G507" s="33">
        <v>0.85714285714285698</v>
      </c>
      <c r="H507" s="32">
        <v>52.285714285714299</v>
      </c>
      <c r="I507" s="32">
        <v>266</v>
      </c>
      <c r="J507" s="16" t="s">
        <v>4933</v>
      </c>
      <c r="K507" s="16" t="s">
        <v>4934</v>
      </c>
      <c r="L507" s="16" t="s">
        <v>4673</v>
      </c>
    </row>
    <row r="508" spans="1:12" ht="19.5" customHeight="1" x14ac:dyDescent="0.35">
      <c r="A508" s="16" t="s">
        <v>2453</v>
      </c>
      <c r="B508" s="16" t="s">
        <v>1122</v>
      </c>
      <c r="C508" s="32">
        <v>6.05</v>
      </c>
      <c r="D508" s="32">
        <v>363</v>
      </c>
      <c r="E508" s="19">
        <v>31</v>
      </c>
      <c r="F508" s="19">
        <v>7</v>
      </c>
      <c r="G508" s="33">
        <v>0.225806451612903</v>
      </c>
      <c r="H508" s="32">
        <v>11.709677419354801</v>
      </c>
      <c r="I508" s="32">
        <v>120</v>
      </c>
      <c r="J508" s="16" t="s">
        <v>4935</v>
      </c>
      <c r="K508" s="16" t="s">
        <v>4936</v>
      </c>
      <c r="L508" s="16" t="s">
        <v>3907</v>
      </c>
    </row>
    <row r="509" spans="1:12" ht="19.5" customHeight="1" x14ac:dyDescent="0.35">
      <c r="A509" s="16" t="s">
        <v>2456</v>
      </c>
      <c r="B509" s="16" t="s">
        <v>1077</v>
      </c>
      <c r="C509" s="32">
        <v>6.05</v>
      </c>
      <c r="D509" s="32">
        <v>363</v>
      </c>
      <c r="E509" s="19">
        <v>21</v>
      </c>
      <c r="F509" s="19">
        <v>3</v>
      </c>
      <c r="G509" s="33">
        <v>0.14285714285714299</v>
      </c>
      <c r="H509" s="32">
        <v>17.285714285714299</v>
      </c>
      <c r="I509" s="32">
        <v>183</v>
      </c>
      <c r="J509" s="16" t="s">
        <v>4937</v>
      </c>
      <c r="K509" s="16" t="s">
        <v>4938</v>
      </c>
      <c r="L509" s="16" t="s">
        <v>4360</v>
      </c>
    </row>
    <row r="510" spans="1:12" ht="19.5" customHeight="1" x14ac:dyDescent="0.35">
      <c r="A510" s="16" t="s">
        <v>2459</v>
      </c>
      <c r="B510" s="16" t="s">
        <v>921</v>
      </c>
      <c r="C510" s="32">
        <v>6</v>
      </c>
      <c r="D510" s="32">
        <v>360</v>
      </c>
      <c r="E510" s="19">
        <v>13</v>
      </c>
      <c r="F510" s="19">
        <v>3</v>
      </c>
      <c r="G510" s="33">
        <v>0.230769230769231</v>
      </c>
      <c r="H510" s="32">
        <v>27.692307692307701</v>
      </c>
      <c r="I510" s="32">
        <v>240</v>
      </c>
      <c r="J510" s="16" t="s">
        <v>4939</v>
      </c>
      <c r="K510" s="16" t="s">
        <v>4940</v>
      </c>
      <c r="L510" s="16" t="s">
        <v>3924</v>
      </c>
    </row>
    <row r="511" spans="1:12" ht="19.5" customHeight="1" x14ac:dyDescent="0.35">
      <c r="A511" s="16" t="s">
        <v>2462</v>
      </c>
      <c r="B511" s="16" t="s">
        <v>996</v>
      </c>
      <c r="C511" s="32">
        <v>6</v>
      </c>
      <c r="D511" s="32">
        <v>360</v>
      </c>
      <c r="E511" s="19">
        <v>10</v>
      </c>
      <c r="F511" s="19">
        <v>3</v>
      </c>
      <c r="G511" s="33">
        <v>0.3</v>
      </c>
      <c r="H511" s="32">
        <v>36</v>
      </c>
      <c r="I511" s="32">
        <v>180</v>
      </c>
      <c r="J511" s="16" t="s">
        <v>4941</v>
      </c>
      <c r="K511" s="16" t="s">
        <v>4942</v>
      </c>
      <c r="L511" s="16" t="s">
        <v>3941</v>
      </c>
    </row>
    <row r="512" spans="1:12" ht="19.5" customHeight="1" x14ac:dyDescent="0.35">
      <c r="A512" s="16" t="s">
        <v>2465</v>
      </c>
      <c r="B512" s="16" t="s">
        <v>921</v>
      </c>
      <c r="C512" s="32">
        <v>6</v>
      </c>
      <c r="D512" s="32">
        <v>360</v>
      </c>
      <c r="E512" s="19">
        <v>5</v>
      </c>
      <c r="F512" s="19">
        <v>2</v>
      </c>
      <c r="G512" s="33">
        <v>0.4</v>
      </c>
      <c r="H512" s="32">
        <v>72</v>
      </c>
      <c r="I512" s="32">
        <v>180</v>
      </c>
      <c r="J512" s="16" t="s">
        <v>4943</v>
      </c>
      <c r="K512" s="16" t="s">
        <v>4944</v>
      </c>
      <c r="L512" s="16" t="s">
        <v>4604</v>
      </c>
    </row>
    <row r="513" spans="1:12" ht="19.5" customHeight="1" x14ac:dyDescent="0.35">
      <c r="A513" s="16" t="s">
        <v>2468</v>
      </c>
      <c r="B513" s="16" t="s">
        <v>989</v>
      </c>
      <c r="C513" s="32">
        <v>6</v>
      </c>
      <c r="D513" s="32">
        <v>360</v>
      </c>
      <c r="E513" s="19">
        <v>5</v>
      </c>
      <c r="F513" s="19">
        <v>2</v>
      </c>
      <c r="G513" s="33">
        <v>0.4</v>
      </c>
      <c r="H513" s="32">
        <v>72</v>
      </c>
      <c r="I513" s="32">
        <v>240</v>
      </c>
      <c r="J513" s="16" t="s">
        <v>4945</v>
      </c>
      <c r="K513" s="16" t="s">
        <v>4946</v>
      </c>
      <c r="L513" s="16" t="s">
        <v>3924</v>
      </c>
    </row>
    <row r="514" spans="1:12" ht="19.5" customHeight="1" x14ac:dyDescent="0.35">
      <c r="A514" s="16" t="s">
        <v>2470</v>
      </c>
      <c r="B514" s="16" t="s">
        <v>921</v>
      </c>
      <c r="C514" s="32">
        <v>6</v>
      </c>
      <c r="D514" s="32">
        <v>360</v>
      </c>
      <c r="E514" s="19">
        <v>4</v>
      </c>
      <c r="F514" s="19">
        <v>2</v>
      </c>
      <c r="G514" s="33">
        <v>0.5</v>
      </c>
      <c r="H514" s="32">
        <v>90</v>
      </c>
      <c r="I514" s="32">
        <v>300</v>
      </c>
      <c r="J514" s="16" t="s">
        <v>4947</v>
      </c>
      <c r="K514" s="16" t="s">
        <v>4948</v>
      </c>
      <c r="L514" s="16" t="s">
        <v>4604</v>
      </c>
    </row>
    <row r="515" spans="1:12" ht="19.5" customHeight="1" x14ac:dyDescent="0.35">
      <c r="A515" s="16" t="s">
        <v>2473</v>
      </c>
      <c r="B515" s="16" t="s">
        <v>1659</v>
      </c>
      <c r="C515" s="32">
        <v>5.93333333333333</v>
      </c>
      <c r="D515" s="32">
        <v>356</v>
      </c>
      <c r="E515" s="19">
        <v>11</v>
      </c>
      <c r="F515" s="19">
        <v>2</v>
      </c>
      <c r="G515" s="33">
        <v>0.18181818181818199</v>
      </c>
      <c r="H515" s="32">
        <v>32.363636363636402</v>
      </c>
      <c r="I515" s="32">
        <v>300</v>
      </c>
      <c r="J515" s="16" t="s">
        <v>4949</v>
      </c>
      <c r="K515" s="16" t="s">
        <v>4950</v>
      </c>
      <c r="L515" s="16" t="s">
        <v>4253</v>
      </c>
    </row>
    <row r="516" spans="1:12" ht="19.5" customHeight="1" x14ac:dyDescent="0.35">
      <c r="A516" s="16" t="s">
        <v>2476</v>
      </c>
      <c r="B516" s="16" t="s">
        <v>929</v>
      </c>
      <c r="C516" s="32">
        <v>5.7833333333333297</v>
      </c>
      <c r="D516" s="32">
        <v>347</v>
      </c>
      <c r="E516" s="19">
        <v>26</v>
      </c>
      <c r="F516" s="19">
        <v>3</v>
      </c>
      <c r="G516" s="33">
        <v>0.115384615384615</v>
      </c>
      <c r="H516" s="32">
        <v>13.3461538461539</v>
      </c>
      <c r="I516" s="32">
        <v>137</v>
      </c>
      <c r="J516" s="16" t="s">
        <v>4951</v>
      </c>
      <c r="K516" s="16" t="s">
        <v>4952</v>
      </c>
      <c r="L516" s="16" t="s">
        <v>3907</v>
      </c>
    </row>
    <row r="517" spans="1:12" ht="19.5" customHeight="1" x14ac:dyDescent="0.35">
      <c r="A517" s="16" t="s">
        <v>2479</v>
      </c>
      <c r="B517" s="16" t="s">
        <v>905</v>
      </c>
      <c r="C517" s="32">
        <v>5.75</v>
      </c>
      <c r="D517" s="32">
        <v>345</v>
      </c>
      <c r="E517" s="19">
        <v>27</v>
      </c>
      <c r="F517" s="19">
        <v>6</v>
      </c>
      <c r="G517" s="33">
        <v>0.22222222222222199</v>
      </c>
      <c r="H517" s="32">
        <v>12.7777777777778</v>
      </c>
      <c r="I517" s="32">
        <v>90</v>
      </c>
      <c r="J517" s="16" t="s">
        <v>4953</v>
      </c>
      <c r="K517" s="16" t="s">
        <v>4954</v>
      </c>
      <c r="L517" s="16" t="s">
        <v>3924</v>
      </c>
    </row>
    <row r="518" spans="1:12" ht="19.5" customHeight="1" x14ac:dyDescent="0.35">
      <c r="A518" s="16" t="s">
        <v>2482</v>
      </c>
      <c r="B518" s="16" t="s">
        <v>929</v>
      </c>
      <c r="C518" s="32">
        <v>5.65</v>
      </c>
      <c r="D518" s="32">
        <v>339</v>
      </c>
      <c r="E518" s="19">
        <v>6</v>
      </c>
      <c r="F518" s="19">
        <v>4</v>
      </c>
      <c r="G518" s="33">
        <v>0.66666666666666696</v>
      </c>
      <c r="H518" s="32">
        <v>56.5</v>
      </c>
      <c r="I518" s="32">
        <v>220</v>
      </c>
      <c r="J518" s="16" t="s">
        <v>4892</v>
      </c>
      <c r="K518" s="16" t="s">
        <v>4955</v>
      </c>
      <c r="L518" s="16" t="s">
        <v>4165</v>
      </c>
    </row>
    <row r="519" spans="1:12" ht="19.5" customHeight="1" x14ac:dyDescent="0.35">
      <c r="A519" s="16" t="s">
        <v>2484</v>
      </c>
      <c r="B519" s="16" t="s">
        <v>1009</v>
      </c>
      <c r="C519" s="32">
        <v>5.5166666666666702</v>
      </c>
      <c r="D519" s="32">
        <v>331</v>
      </c>
      <c r="E519" s="19">
        <v>15</v>
      </c>
      <c r="F519" s="19">
        <v>7</v>
      </c>
      <c r="G519" s="33">
        <v>0.46666666666666701</v>
      </c>
      <c r="H519" s="32">
        <v>22.066666666666698</v>
      </c>
      <c r="I519" s="32">
        <v>90</v>
      </c>
      <c r="J519" s="16" t="s">
        <v>4956</v>
      </c>
      <c r="K519" s="16" t="s">
        <v>4957</v>
      </c>
      <c r="L519" s="16" t="s">
        <v>3907</v>
      </c>
    </row>
    <row r="520" spans="1:12" ht="19.5" customHeight="1" x14ac:dyDescent="0.35">
      <c r="A520" s="16" t="s">
        <v>2487</v>
      </c>
      <c r="B520" s="16" t="s">
        <v>921</v>
      </c>
      <c r="C520" s="32">
        <v>5.5</v>
      </c>
      <c r="D520" s="32">
        <v>330</v>
      </c>
      <c r="E520" s="19">
        <v>24</v>
      </c>
      <c r="F520" s="19">
        <v>7</v>
      </c>
      <c r="G520" s="33">
        <v>0.29166666666666702</v>
      </c>
      <c r="H520" s="32">
        <v>13.75</v>
      </c>
      <c r="I520" s="32">
        <v>120</v>
      </c>
      <c r="J520" s="16" t="s">
        <v>4958</v>
      </c>
      <c r="K520" s="16" t="s">
        <v>4959</v>
      </c>
      <c r="L520" s="16" t="s">
        <v>3907</v>
      </c>
    </row>
    <row r="521" spans="1:12" ht="19.5" customHeight="1" x14ac:dyDescent="0.35">
      <c r="A521" s="16" t="s">
        <v>2490</v>
      </c>
      <c r="B521" s="16" t="s">
        <v>921</v>
      </c>
      <c r="C521" s="32">
        <v>5.5</v>
      </c>
      <c r="D521" s="32">
        <v>330</v>
      </c>
      <c r="E521" s="19">
        <v>18</v>
      </c>
      <c r="F521" s="19">
        <v>4</v>
      </c>
      <c r="G521" s="33">
        <v>0.22222222222222199</v>
      </c>
      <c r="H521" s="32">
        <v>18.3333333333333</v>
      </c>
      <c r="I521" s="32">
        <v>180</v>
      </c>
      <c r="J521" s="16" t="s">
        <v>4960</v>
      </c>
      <c r="K521" s="16" t="s">
        <v>4961</v>
      </c>
      <c r="L521" s="16" t="s">
        <v>3907</v>
      </c>
    </row>
    <row r="522" spans="1:12" ht="19.5" customHeight="1" x14ac:dyDescent="0.35">
      <c r="A522" s="16" t="s">
        <v>2493</v>
      </c>
      <c r="B522" s="16" t="s">
        <v>942</v>
      </c>
      <c r="C522" s="32">
        <v>5.5</v>
      </c>
      <c r="D522" s="32">
        <v>330</v>
      </c>
      <c r="E522" s="19">
        <v>17</v>
      </c>
      <c r="F522" s="19">
        <v>5</v>
      </c>
      <c r="G522" s="33">
        <v>0.29411764705882398</v>
      </c>
      <c r="H522" s="32">
        <v>19.411764705882401</v>
      </c>
      <c r="I522" s="32">
        <v>120</v>
      </c>
      <c r="J522" s="16" t="s">
        <v>4962</v>
      </c>
      <c r="K522" s="16" t="s">
        <v>4963</v>
      </c>
      <c r="L522" s="16" t="s">
        <v>4165</v>
      </c>
    </row>
    <row r="523" spans="1:12" ht="19.5" customHeight="1" x14ac:dyDescent="0.35">
      <c r="A523" s="16" t="s">
        <v>2496</v>
      </c>
      <c r="B523" s="16" t="s">
        <v>963</v>
      </c>
      <c r="C523" s="32">
        <v>5.5</v>
      </c>
      <c r="D523" s="32">
        <v>330</v>
      </c>
      <c r="E523" s="19">
        <v>12</v>
      </c>
      <c r="F523" s="19">
        <v>2</v>
      </c>
      <c r="G523" s="33">
        <v>0.16666666666666699</v>
      </c>
      <c r="H523" s="32">
        <v>27.5</v>
      </c>
      <c r="I523" s="32">
        <v>240</v>
      </c>
      <c r="J523" s="16" t="s">
        <v>4768</v>
      </c>
      <c r="K523" s="16" t="s">
        <v>4964</v>
      </c>
      <c r="L523" s="16" t="s">
        <v>3907</v>
      </c>
    </row>
    <row r="524" spans="1:12" ht="19.5" customHeight="1" x14ac:dyDescent="0.35">
      <c r="A524" s="16" t="s">
        <v>2498</v>
      </c>
      <c r="B524" s="16" t="s">
        <v>1118</v>
      </c>
      <c r="C524" s="32">
        <v>5.5</v>
      </c>
      <c r="D524" s="32">
        <v>330</v>
      </c>
      <c r="E524" s="19">
        <v>4</v>
      </c>
      <c r="F524" s="19">
        <v>1</v>
      </c>
      <c r="G524" s="33">
        <v>0.25</v>
      </c>
      <c r="H524" s="32">
        <v>82.5</v>
      </c>
      <c r="I524" s="32">
        <v>330</v>
      </c>
      <c r="J524" s="16" t="s">
        <v>4965</v>
      </c>
      <c r="K524" s="16" t="s">
        <v>4966</v>
      </c>
      <c r="L524" s="16" t="s">
        <v>4772</v>
      </c>
    </row>
    <row r="525" spans="1:12" ht="19.5" customHeight="1" x14ac:dyDescent="0.35">
      <c r="A525" s="16" t="s">
        <v>2501</v>
      </c>
      <c r="B525" s="16" t="s">
        <v>1009</v>
      </c>
      <c r="C525" s="32">
        <v>5.4666666666666703</v>
      </c>
      <c r="D525" s="32">
        <v>328</v>
      </c>
      <c r="E525" s="19">
        <v>10</v>
      </c>
      <c r="F525" s="19">
        <v>7</v>
      </c>
      <c r="G525" s="33">
        <v>0.7</v>
      </c>
      <c r="H525" s="32">
        <v>32.799999999999997</v>
      </c>
      <c r="I525" s="32">
        <v>120</v>
      </c>
      <c r="J525" s="16" t="s">
        <v>4967</v>
      </c>
      <c r="K525" s="16" t="s">
        <v>4968</v>
      </c>
      <c r="L525" s="16" t="s">
        <v>3924</v>
      </c>
    </row>
    <row r="526" spans="1:12" ht="19.5" customHeight="1" x14ac:dyDescent="0.35">
      <c r="A526" s="16" t="s">
        <v>2504</v>
      </c>
      <c r="B526" s="16" t="s">
        <v>1136</v>
      </c>
      <c r="C526" s="32">
        <v>5.3333333333333304</v>
      </c>
      <c r="D526" s="32">
        <v>320</v>
      </c>
      <c r="E526" s="19">
        <v>3</v>
      </c>
      <c r="F526" s="19">
        <v>1</v>
      </c>
      <c r="G526" s="33">
        <v>0.33333333333333298</v>
      </c>
      <c r="H526" s="32">
        <v>106.666666666667</v>
      </c>
      <c r="I526" s="32">
        <v>320</v>
      </c>
      <c r="J526" s="16" t="s">
        <v>4969</v>
      </c>
      <c r="K526" s="16" t="s">
        <v>4970</v>
      </c>
      <c r="L526" s="16" t="s">
        <v>4604</v>
      </c>
    </row>
    <row r="527" spans="1:12" ht="19.5" customHeight="1" x14ac:dyDescent="0.35">
      <c r="A527" s="16" t="s">
        <v>2507</v>
      </c>
      <c r="B527" s="16" t="s">
        <v>1122</v>
      </c>
      <c r="C527" s="32">
        <v>5.2666666666666702</v>
      </c>
      <c r="D527" s="32">
        <v>316</v>
      </c>
      <c r="E527" s="19">
        <v>14</v>
      </c>
      <c r="F527" s="19">
        <v>2</v>
      </c>
      <c r="G527" s="33">
        <v>0.14285714285714299</v>
      </c>
      <c r="H527" s="32">
        <v>22.571428571428601</v>
      </c>
      <c r="I527" s="32">
        <v>240</v>
      </c>
      <c r="J527" s="16" t="s">
        <v>4971</v>
      </c>
      <c r="K527" s="16" t="s">
        <v>4972</v>
      </c>
      <c r="L527" s="16" t="s">
        <v>3907</v>
      </c>
    </row>
    <row r="528" spans="1:12" ht="19.5" customHeight="1" x14ac:dyDescent="0.35">
      <c r="A528" s="16" t="s">
        <v>2510</v>
      </c>
      <c r="B528" s="16" t="s">
        <v>996</v>
      </c>
      <c r="C528" s="32">
        <v>5.25</v>
      </c>
      <c r="D528" s="32">
        <v>315</v>
      </c>
      <c r="E528" s="19">
        <v>2</v>
      </c>
      <c r="F528" s="19">
        <v>2</v>
      </c>
      <c r="G528" s="33">
        <v>1</v>
      </c>
      <c r="H528" s="32">
        <v>157.5</v>
      </c>
      <c r="I528" s="32">
        <v>300</v>
      </c>
      <c r="J528" s="16" t="s">
        <v>4973</v>
      </c>
      <c r="K528" s="16" t="s">
        <v>4974</v>
      </c>
      <c r="L528" s="16" t="s">
        <v>4214</v>
      </c>
    </row>
    <row r="529" spans="1:12" ht="19.5" customHeight="1" x14ac:dyDescent="0.35">
      <c r="A529" s="16" t="s">
        <v>2513</v>
      </c>
      <c r="B529" s="16" t="s">
        <v>1690</v>
      </c>
      <c r="C529" s="32">
        <v>5.1666666666666696</v>
      </c>
      <c r="D529" s="32">
        <v>310</v>
      </c>
      <c r="E529" s="19">
        <v>6</v>
      </c>
      <c r="F529" s="19">
        <v>1</v>
      </c>
      <c r="G529" s="33">
        <v>0.16666666666666699</v>
      </c>
      <c r="H529" s="32">
        <v>51.6666666666667</v>
      </c>
      <c r="I529" s="32">
        <v>310</v>
      </c>
      <c r="J529" s="16" t="s">
        <v>4975</v>
      </c>
      <c r="K529" s="16" t="s">
        <v>4976</v>
      </c>
      <c r="L529" s="16" t="s">
        <v>3924</v>
      </c>
    </row>
    <row r="530" spans="1:12" ht="19.5" customHeight="1" x14ac:dyDescent="0.35">
      <c r="A530" s="16" t="s">
        <v>2516</v>
      </c>
      <c r="B530" s="16" t="s">
        <v>1077</v>
      </c>
      <c r="C530" s="32">
        <v>5.0833333333333304</v>
      </c>
      <c r="D530" s="32">
        <v>305</v>
      </c>
      <c r="E530" s="19">
        <v>26</v>
      </c>
      <c r="F530" s="19">
        <v>3</v>
      </c>
      <c r="G530" s="33">
        <v>0.115384615384615</v>
      </c>
      <c r="H530" s="32">
        <v>11.7307692307692</v>
      </c>
      <c r="I530" s="32">
        <v>180</v>
      </c>
      <c r="J530" s="16" t="s">
        <v>4977</v>
      </c>
      <c r="K530" s="16" t="s">
        <v>4978</v>
      </c>
      <c r="L530" s="16" t="s">
        <v>3924</v>
      </c>
    </row>
    <row r="531" spans="1:12" ht="19.5" customHeight="1" x14ac:dyDescent="0.35">
      <c r="A531" s="16" t="s">
        <v>2519</v>
      </c>
      <c r="B531" s="16" t="s">
        <v>1070</v>
      </c>
      <c r="C531" s="32">
        <v>5</v>
      </c>
      <c r="D531" s="32">
        <v>300</v>
      </c>
      <c r="E531" s="19">
        <v>11</v>
      </c>
      <c r="F531" s="19">
        <v>4</v>
      </c>
      <c r="G531" s="33">
        <v>0.36363636363636398</v>
      </c>
      <c r="H531" s="32">
        <v>27.272727272727298</v>
      </c>
      <c r="I531" s="32">
        <v>120</v>
      </c>
      <c r="J531" s="16" t="s">
        <v>4979</v>
      </c>
      <c r="K531" s="16" t="s">
        <v>4980</v>
      </c>
      <c r="L531" s="16" t="s">
        <v>4571</v>
      </c>
    </row>
    <row r="532" spans="1:12" ht="19.5" customHeight="1" x14ac:dyDescent="0.35">
      <c r="A532" s="16" t="s">
        <v>2522</v>
      </c>
      <c r="B532" s="16" t="s">
        <v>1070</v>
      </c>
      <c r="C532" s="32">
        <v>5</v>
      </c>
      <c r="D532" s="32">
        <v>300</v>
      </c>
      <c r="E532" s="19">
        <v>9</v>
      </c>
      <c r="F532" s="19">
        <v>3</v>
      </c>
      <c r="G532" s="33">
        <v>0.33333333333333298</v>
      </c>
      <c r="H532" s="32">
        <v>33.3333333333333</v>
      </c>
      <c r="I532" s="32">
        <v>120</v>
      </c>
      <c r="J532" s="16" t="s">
        <v>4761</v>
      </c>
      <c r="K532" s="16" t="s">
        <v>4981</v>
      </c>
      <c r="L532" s="16" t="s">
        <v>4571</v>
      </c>
    </row>
    <row r="533" spans="1:12" ht="19.5" customHeight="1" x14ac:dyDescent="0.35">
      <c r="A533" s="16" t="s">
        <v>2524</v>
      </c>
      <c r="B533" s="16" t="s">
        <v>1731</v>
      </c>
      <c r="C533" s="32">
        <v>5</v>
      </c>
      <c r="D533" s="32">
        <v>300</v>
      </c>
      <c r="E533" s="19">
        <v>5</v>
      </c>
      <c r="F533" s="19">
        <v>3</v>
      </c>
      <c r="G533" s="33">
        <v>0.6</v>
      </c>
      <c r="H533" s="32">
        <v>60</v>
      </c>
      <c r="I533" s="32">
        <v>240</v>
      </c>
      <c r="J533" s="16" t="s">
        <v>4982</v>
      </c>
      <c r="K533" s="16" t="s">
        <v>4983</v>
      </c>
      <c r="L533" s="16" t="s">
        <v>4534</v>
      </c>
    </row>
    <row r="534" spans="1:12" ht="19.5" customHeight="1" x14ac:dyDescent="0.35">
      <c r="A534" s="16" t="s">
        <v>2527</v>
      </c>
      <c r="B534" s="16" t="s">
        <v>913</v>
      </c>
      <c r="C534" s="32">
        <v>5</v>
      </c>
      <c r="D534" s="32">
        <v>300</v>
      </c>
      <c r="E534" s="19">
        <v>3</v>
      </c>
      <c r="F534" s="19">
        <v>1</v>
      </c>
      <c r="G534" s="33">
        <v>0.33333333333333298</v>
      </c>
      <c r="H534" s="32">
        <v>100</v>
      </c>
      <c r="I534" s="32">
        <v>300</v>
      </c>
      <c r="J534" s="16" t="s">
        <v>4984</v>
      </c>
      <c r="K534" s="16" t="s">
        <v>4985</v>
      </c>
      <c r="L534" s="16" t="s">
        <v>4604</v>
      </c>
    </row>
    <row r="535" spans="1:12" ht="19.5" customHeight="1" x14ac:dyDescent="0.35">
      <c r="A535" s="16" t="s">
        <v>2530</v>
      </c>
      <c r="B535" s="16" t="s">
        <v>913</v>
      </c>
      <c r="C535" s="32">
        <v>5</v>
      </c>
      <c r="D535" s="32">
        <v>300</v>
      </c>
      <c r="E535" s="19">
        <v>2</v>
      </c>
      <c r="F535" s="19">
        <v>1</v>
      </c>
      <c r="G535" s="33">
        <v>0.5</v>
      </c>
      <c r="H535" s="32">
        <v>150</v>
      </c>
      <c r="I535" s="32">
        <v>300</v>
      </c>
      <c r="J535" s="16" t="s">
        <v>4986</v>
      </c>
      <c r="K535" s="16" t="s">
        <v>4987</v>
      </c>
      <c r="L535" s="16" t="s">
        <v>4253</v>
      </c>
    </row>
    <row r="536" spans="1:12" ht="19.5" customHeight="1" x14ac:dyDescent="0.35">
      <c r="A536" s="16" t="s">
        <v>2533</v>
      </c>
      <c r="B536" s="16" t="s">
        <v>921</v>
      </c>
      <c r="C536" s="32">
        <v>4.9166666666666696</v>
      </c>
      <c r="D536" s="32">
        <v>295</v>
      </c>
      <c r="E536" s="19">
        <v>9</v>
      </c>
      <c r="F536" s="19">
        <v>5</v>
      </c>
      <c r="G536" s="33">
        <v>0.55555555555555602</v>
      </c>
      <c r="H536" s="32">
        <v>32.7777777777778</v>
      </c>
      <c r="I536" s="32">
        <v>100</v>
      </c>
      <c r="J536" s="16" t="s">
        <v>4988</v>
      </c>
      <c r="K536" s="16" t="s">
        <v>4989</v>
      </c>
      <c r="L536" s="16" t="s">
        <v>3907</v>
      </c>
    </row>
    <row r="537" spans="1:12" ht="19.5" customHeight="1" x14ac:dyDescent="0.35">
      <c r="A537" s="16" t="s">
        <v>2536</v>
      </c>
      <c r="B537" s="16" t="s">
        <v>1646</v>
      </c>
      <c r="C537" s="32">
        <v>4.9166666666666696</v>
      </c>
      <c r="D537" s="32">
        <v>295</v>
      </c>
      <c r="E537" s="19">
        <v>1</v>
      </c>
      <c r="F537" s="19">
        <v>1</v>
      </c>
      <c r="G537" s="33">
        <v>1</v>
      </c>
      <c r="H537" s="32">
        <v>295</v>
      </c>
      <c r="I537" s="32">
        <v>295</v>
      </c>
      <c r="J537" s="16" t="s">
        <v>4770</v>
      </c>
      <c r="K537" s="16" t="s">
        <v>4990</v>
      </c>
      <c r="L537" s="16" t="s">
        <v>4686</v>
      </c>
    </row>
    <row r="538" spans="1:12" ht="19.5" customHeight="1" x14ac:dyDescent="0.35">
      <c r="A538" s="16" t="s">
        <v>2538</v>
      </c>
      <c r="B538" s="16" t="s">
        <v>1646</v>
      </c>
      <c r="C538" s="32">
        <v>4.8666666666666698</v>
      </c>
      <c r="D538" s="32">
        <v>292</v>
      </c>
      <c r="E538" s="19">
        <v>14</v>
      </c>
      <c r="F538" s="19">
        <v>4</v>
      </c>
      <c r="G538" s="33">
        <v>0.28571428571428598</v>
      </c>
      <c r="H538" s="32">
        <v>20.8571428571429</v>
      </c>
      <c r="I538" s="32">
        <v>120</v>
      </c>
      <c r="J538" s="16" t="s">
        <v>4991</v>
      </c>
      <c r="K538" s="16" t="s">
        <v>4992</v>
      </c>
      <c r="L538" s="16" t="s">
        <v>4253</v>
      </c>
    </row>
    <row r="539" spans="1:12" ht="19.5" customHeight="1" x14ac:dyDescent="0.35">
      <c r="A539" s="16" t="s">
        <v>2541</v>
      </c>
      <c r="B539" s="16" t="s">
        <v>989</v>
      </c>
      <c r="C539" s="32">
        <v>4.8499999999999996</v>
      </c>
      <c r="D539" s="32">
        <v>291</v>
      </c>
      <c r="E539" s="19">
        <v>19</v>
      </c>
      <c r="F539" s="19">
        <v>2</v>
      </c>
      <c r="G539" s="33">
        <v>0.105263157894737</v>
      </c>
      <c r="H539" s="32">
        <v>15.3157894736842</v>
      </c>
      <c r="I539" s="32">
        <v>291</v>
      </c>
      <c r="J539" s="16" t="s">
        <v>4993</v>
      </c>
      <c r="K539" s="16" t="s">
        <v>4994</v>
      </c>
      <c r="L539" s="16" t="s">
        <v>3924</v>
      </c>
    </row>
    <row r="540" spans="1:12" ht="19.5" customHeight="1" x14ac:dyDescent="0.35">
      <c r="A540" s="16" t="s">
        <v>2544</v>
      </c>
      <c r="B540" s="16" t="s">
        <v>1009</v>
      </c>
      <c r="C540" s="32">
        <v>4.75</v>
      </c>
      <c r="D540" s="32">
        <v>285</v>
      </c>
      <c r="E540" s="19">
        <v>31</v>
      </c>
      <c r="F540" s="19">
        <v>9</v>
      </c>
      <c r="G540" s="33">
        <v>0.29032258064516098</v>
      </c>
      <c r="H540" s="32">
        <v>9.1935483870967705</v>
      </c>
      <c r="I540" s="32">
        <v>120</v>
      </c>
      <c r="J540" s="16" t="s">
        <v>4995</v>
      </c>
      <c r="K540" s="16" t="s">
        <v>4996</v>
      </c>
      <c r="L540" s="16" t="s">
        <v>3907</v>
      </c>
    </row>
    <row r="541" spans="1:12" ht="19.5" customHeight="1" x14ac:dyDescent="0.35">
      <c r="A541" s="16" t="s">
        <v>2547</v>
      </c>
      <c r="B541" s="16" t="s">
        <v>1101</v>
      </c>
      <c r="C541" s="32">
        <v>4.5</v>
      </c>
      <c r="D541" s="32">
        <v>270</v>
      </c>
      <c r="E541" s="19">
        <v>14</v>
      </c>
      <c r="F541" s="19">
        <v>4</v>
      </c>
      <c r="G541" s="33">
        <v>0.28571428571428598</v>
      </c>
      <c r="H541" s="32">
        <v>19.285714285714299</v>
      </c>
      <c r="I541" s="32">
        <v>120</v>
      </c>
      <c r="J541" s="16" t="s">
        <v>4997</v>
      </c>
      <c r="K541" s="16" t="s">
        <v>4998</v>
      </c>
      <c r="L541" s="16" t="s">
        <v>3907</v>
      </c>
    </row>
    <row r="542" spans="1:12" ht="19.5" customHeight="1" x14ac:dyDescent="0.35">
      <c r="A542" s="16" t="s">
        <v>2550</v>
      </c>
      <c r="B542" s="16" t="s">
        <v>996</v>
      </c>
      <c r="C542" s="32">
        <v>4.5</v>
      </c>
      <c r="D542" s="32">
        <v>270</v>
      </c>
      <c r="E542" s="19">
        <v>11</v>
      </c>
      <c r="F542" s="19">
        <v>3</v>
      </c>
      <c r="G542" s="33">
        <v>0.27272727272727298</v>
      </c>
      <c r="H542" s="32">
        <v>24.5454545454546</v>
      </c>
      <c r="I542" s="32">
        <v>120</v>
      </c>
      <c r="J542" s="16" t="s">
        <v>4999</v>
      </c>
      <c r="K542" s="16" t="s">
        <v>5000</v>
      </c>
      <c r="L542" s="16" t="s">
        <v>4256</v>
      </c>
    </row>
    <row r="543" spans="1:12" ht="19.5" customHeight="1" x14ac:dyDescent="0.35">
      <c r="A543" s="16" t="s">
        <v>2553</v>
      </c>
      <c r="B543" s="16" t="s">
        <v>929</v>
      </c>
      <c r="C543" s="32">
        <v>4.5</v>
      </c>
      <c r="D543" s="32">
        <v>270</v>
      </c>
      <c r="E543" s="19">
        <v>7</v>
      </c>
      <c r="F543" s="19">
        <v>3</v>
      </c>
      <c r="G543" s="33">
        <v>0.42857142857142899</v>
      </c>
      <c r="H543" s="32">
        <v>38.571428571428598</v>
      </c>
      <c r="I543" s="32">
        <v>180</v>
      </c>
      <c r="J543" s="16" t="s">
        <v>5001</v>
      </c>
      <c r="K543" s="16" t="s">
        <v>5002</v>
      </c>
      <c r="L543" s="16" t="s">
        <v>4256</v>
      </c>
    </row>
    <row r="544" spans="1:12" ht="19.5" customHeight="1" x14ac:dyDescent="0.35">
      <c r="A544" s="16" t="s">
        <v>2556</v>
      </c>
      <c r="B544" s="16" t="s">
        <v>1240</v>
      </c>
      <c r="C544" s="32">
        <v>4.5</v>
      </c>
      <c r="D544" s="32">
        <v>270</v>
      </c>
      <c r="E544" s="19">
        <v>5</v>
      </c>
      <c r="F544" s="19">
        <v>4</v>
      </c>
      <c r="G544" s="33">
        <v>0.8</v>
      </c>
      <c r="H544" s="32">
        <v>54</v>
      </c>
      <c r="I544" s="32">
        <v>90</v>
      </c>
      <c r="J544" s="16" t="s">
        <v>4733</v>
      </c>
      <c r="K544" s="16" t="s">
        <v>5003</v>
      </c>
      <c r="L544" s="16" t="s">
        <v>4052</v>
      </c>
    </row>
    <row r="545" spans="1:12" ht="19.5" customHeight="1" x14ac:dyDescent="0.35">
      <c r="A545" s="16" t="s">
        <v>2558</v>
      </c>
      <c r="B545" s="16" t="s">
        <v>1817</v>
      </c>
      <c r="C545" s="32">
        <v>4.3333333333333304</v>
      </c>
      <c r="D545" s="32">
        <v>260</v>
      </c>
      <c r="E545" s="19">
        <v>5</v>
      </c>
      <c r="F545" s="19">
        <v>2</v>
      </c>
      <c r="G545" s="33">
        <v>0.4</v>
      </c>
      <c r="H545" s="32">
        <v>52</v>
      </c>
      <c r="I545" s="32">
        <v>140</v>
      </c>
      <c r="J545" s="16" t="s">
        <v>5004</v>
      </c>
      <c r="K545" s="16" t="s">
        <v>5005</v>
      </c>
      <c r="L545" s="16" t="s">
        <v>4214</v>
      </c>
    </row>
    <row r="546" spans="1:12" ht="19.5" customHeight="1" x14ac:dyDescent="0.35">
      <c r="A546" s="16" t="s">
        <v>2561</v>
      </c>
      <c r="B546" s="16" t="s">
        <v>1299</v>
      </c>
      <c r="C546" s="32">
        <v>4.3</v>
      </c>
      <c r="D546" s="32">
        <v>258</v>
      </c>
      <c r="E546" s="19">
        <v>21</v>
      </c>
      <c r="F546" s="19">
        <v>1</v>
      </c>
      <c r="G546" s="33">
        <v>4.7619047619047603E-2</v>
      </c>
      <c r="H546" s="32">
        <v>12.285714285714301</v>
      </c>
      <c r="I546" s="32">
        <v>258</v>
      </c>
      <c r="J546" s="16" t="s">
        <v>5006</v>
      </c>
      <c r="K546" s="16" t="s">
        <v>5007</v>
      </c>
      <c r="L546" s="16" t="s">
        <v>3941</v>
      </c>
    </row>
    <row r="547" spans="1:12" ht="19.5" customHeight="1" x14ac:dyDescent="0.35">
      <c r="A547" s="16" t="s">
        <v>2564</v>
      </c>
      <c r="B547" s="16" t="s">
        <v>909</v>
      </c>
      <c r="C547" s="32">
        <v>4.3</v>
      </c>
      <c r="D547" s="32">
        <v>258</v>
      </c>
      <c r="E547" s="19">
        <v>4</v>
      </c>
      <c r="F547" s="19">
        <v>2</v>
      </c>
      <c r="G547" s="33">
        <v>0.5</v>
      </c>
      <c r="H547" s="32">
        <v>64.5</v>
      </c>
      <c r="I547" s="32">
        <v>258</v>
      </c>
      <c r="J547" s="16" t="s">
        <v>5008</v>
      </c>
      <c r="K547" s="16" t="s">
        <v>5009</v>
      </c>
      <c r="L547" s="16" t="s">
        <v>4772</v>
      </c>
    </row>
    <row r="548" spans="1:12" ht="19.5" customHeight="1" x14ac:dyDescent="0.35">
      <c r="A548" s="16" t="s">
        <v>2567</v>
      </c>
      <c r="B548" s="16" t="s">
        <v>1084</v>
      </c>
      <c r="C548" s="32">
        <v>4.25</v>
      </c>
      <c r="D548" s="32">
        <v>255</v>
      </c>
      <c r="E548" s="19">
        <v>7</v>
      </c>
      <c r="F548" s="19">
        <v>2</v>
      </c>
      <c r="G548" s="33">
        <v>0.28571428571428598</v>
      </c>
      <c r="H548" s="32">
        <v>36.428571428571402</v>
      </c>
      <c r="I548" s="32">
        <v>240</v>
      </c>
      <c r="J548" s="16" t="s">
        <v>5010</v>
      </c>
      <c r="K548" s="16" t="s">
        <v>5011</v>
      </c>
      <c r="L548" s="16" t="s">
        <v>4253</v>
      </c>
    </row>
    <row r="549" spans="1:12" ht="19.5" customHeight="1" x14ac:dyDescent="0.35">
      <c r="A549" s="16" t="s">
        <v>2570</v>
      </c>
      <c r="B549" s="16" t="s">
        <v>913</v>
      </c>
      <c r="C549" s="32">
        <v>4.18333333333333</v>
      </c>
      <c r="D549" s="32">
        <v>251</v>
      </c>
      <c r="E549" s="19">
        <v>4</v>
      </c>
      <c r="F549" s="19">
        <v>2</v>
      </c>
      <c r="G549" s="33">
        <v>0.5</v>
      </c>
      <c r="H549" s="32">
        <v>62.75</v>
      </c>
      <c r="I549" s="32">
        <v>131</v>
      </c>
      <c r="J549" s="16" t="s">
        <v>5012</v>
      </c>
      <c r="K549" s="16" t="s">
        <v>5013</v>
      </c>
      <c r="L549" s="16" t="s">
        <v>5014</v>
      </c>
    </row>
    <row r="550" spans="1:12" ht="19.5" customHeight="1" x14ac:dyDescent="0.35">
      <c r="A550" s="16" t="s">
        <v>2573</v>
      </c>
      <c r="B550" s="16" t="s">
        <v>921</v>
      </c>
      <c r="C550" s="32">
        <v>4.1500000000000004</v>
      </c>
      <c r="D550" s="32">
        <v>249</v>
      </c>
      <c r="E550" s="19">
        <v>7</v>
      </c>
      <c r="F550" s="19">
        <v>3</v>
      </c>
      <c r="G550" s="33">
        <v>0.42857142857142899</v>
      </c>
      <c r="H550" s="32">
        <v>35.571428571428598</v>
      </c>
      <c r="I550" s="32">
        <v>100</v>
      </c>
      <c r="J550" s="16" t="s">
        <v>5015</v>
      </c>
      <c r="K550" s="16" t="s">
        <v>5016</v>
      </c>
      <c r="L550" s="16" t="s">
        <v>5017</v>
      </c>
    </row>
    <row r="551" spans="1:12" ht="19.5" customHeight="1" x14ac:dyDescent="0.35">
      <c r="A551" s="16" t="s">
        <v>2575</v>
      </c>
      <c r="B551" s="16" t="s">
        <v>1077</v>
      </c>
      <c r="C551" s="32">
        <v>4.06666666666667</v>
      </c>
      <c r="D551" s="32">
        <v>244</v>
      </c>
      <c r="E551" s="19">
        <v>37</v>
      </c>
      <c r="F551" s="19">
        <v>3</v>
      </c>
      <c r="G551" s="33">
        <v>8.1081081081081099E-2</v>
      </c>
      <c r="H551" s="32">
        <v>6.5945945945946001</v>
      </c>
      <c r="I551" s="32">
        <v>120</v>
      </c>
      <c r="J551" s="16" t="s">
        <v>5018</v>
      </c>
      <c r="K551" s="16" t="s">
        <v>5019</v>
      </c>
      <c r="L551" s="16" t="s">
        <v>3941</v>
      </c>
    </row>
    <row r="552" spans="1:12" ht="19.5" customHeight="1" x14ac:dyDescent="0.35">
      <c r="A552" s="16" t="s">
        <v>2578</v>
      </c>
      <c r="B552" s="16" t="s">
        <v>1118</v>
      </c>
      <c r="C552" s="32">
        <v>4.06666666666667</v>
      </c>
      <c r="D552" s="32">
        <v>244</v>
      </c>
      <c r="E552" s="19">
        <v>5</v>
      </c>
      <c r="F552" s="19">
        <v>2</v>
      </c>
      <c r="G552" s="33">
        <v>0.4</v>
      </c>
      <c r="H552" s="32">
        <v>48.8</v>
      </c>
      <c r="I552" s="32">
        <v>244</v>
      </c>
      <c r="J552" s="16" t="s">
        <v>5020</v>
      </c>
      <c r="K552" s="16" t="s">
        <v>5021</v>
      </c>
      <c r="L552" s="16" t="s">
        <v>4052</v>
      </c>
    </row>
    <row r="553" spans="1:12" ht="19.5" customHeight="1" x14ac:dyDescent="0.35">
      <c r="A553" s="16" t="s">
        <v>2581</v>
      </c>
      <c r="B553" s="16" t="s">
        <v>1077</v>
      </c>
      <c r="C553" s="32">
        <v>4</v>
      </c>
      <c r="D553" s="32">
        <v>240</v>
      </c>
      <c r="E553" s="19">
        <v>34</v>
      </c>
      <c r="F553" s="19">
        <v>2</v>
      </c>
      <c r="G553" s="33">
        <v>5.8823529411764698E-2</v>
      </c>
      <c r="H553" s="32">
        <v>7.0588235294117601</v>
      </c>
      <c r="I553" s="32">
        <v>180</v>
      </c>
      <c r="J553" s="16" t="s">
        <v>5022</v>
      </c>
      <c r="K553" s="16" t="s">
        <v>5023</v>
      </c>
      <c r="L553" s="16" t="s">
        <v>3941</v>
      </c>
    </row>
    <row r="554" spans="1:12" ht="19.5" customHeight="1" x14ac:dyDescent="0.35">
      <c r="A554" s="16" t="s">
        <v>2584</v>
      </c>
      <c r="B554" s="16" t="s">
        <v>921</v>
      </c>
      <c r="C554" s="32">
        <v>4</v>
      </c>
      <c r="D554" s="32">
        <v>240</v>
      </c>
      <c r="E554" s="19">
        <v>11</v>
      </c>
      <c r="F554" s="19">
        <v>2</v>
      </c>
      <c r="G554" s="33">
        <v>0.18181818181818199</v>
      </c>
      <c r="H554" s="32">
        <v>21.818181818181799</v>
      </c>
      <c r="I554" s="32">
        <v>120</v>
      </c>
      <c r="J554" s="16" t="s">
        <v>5024</v>
      </c>
      <c r="K554" s="16" t="s">
        <v>5025</v>
      </c>
      <c r="L554" s="16" t="s">
        <v>4256</v>
      </c>
    </row>
    <row r="555" spans="1:12" ht="19.5" customHeight="1" x14ac:dyDescent="0.35">
      <c r="A555" s="16" t="s">
        <v>2587</v>
      </c>
      <c r="B555" s="16" t="s">
        <v>921</v>
      </c>
      <c r="C555" s="32">
        <v>4</v>
      </c>
      <c r="D555" s="32">
        <v>240</v>
      </c>
      <c r="E555" s="19">
        <v>7</v>
      </c>
      <c r="F555" s="19">
        <v>3</v>
      </c>
      <c r="G555" s="33">
        <v>0.42857142857142899</v>
      </c>
      <c r="H555" s="32">
        <v>34.285714285714299</v>
      </c>
      <c r="I555" s="32">
        <v>90</v>
      </c>
      <c r="J555" s="16" t="s">
        <v>4281</v>
      </c>
      <c r="K555" s="16" t="s">
        <v>5026</v>
      </c>
      <c r="L555" s="16" t="s">
        <v>3941</v>
      </c>
    </row>
    <row r="556" spans="1:12" ht="19.5" customHeight="1" x14ac:dyDescent="0.35">
      <c r="A556" s="16" t="s">
        <v>2589</v>
      </c>
      <c r="B556" s="16" t="s">
        <v>1646</v>
      </c>
      <c r="C556" s="32">
        <v>4</v>
      </c>
      <c r="D556" s="32">
        <v>240</v>
      </c>
      <c r="E556" s="19">
        <v>4</v>
      </c>
      <c r="F556" s="19">
        <v>2</v>
      </c>
      <c r="G556" s="33">
        <v>0.5</v>
      </c>
      <c r="H556" s="32">
        <v>60</v>
      </c>
      <c r="I556" s="32">
        <v>210</v>
      </c>
      <c r="J556" s="16" t="s">
        <v>5027</v>
      </c>
      <c r="K556" s="16" t="s">
        <v>5028</v>
      </c>
      <c r="L556" s="16" t="s">
        <v>4253</v>
      </c>
    </row>
    <row r="557" spans="1:12" ht="19.5" customHeight="1" x14ac:dyDescent="0.35">
      <c r="A557" s="16" t="s">
        <v>2592</v>
      </c>
      <c r="B557" s="16" t="s">
        <v>1697</v>
      </c>
      <c r="C557" s="32">
        <v>4</v>
      </c>
      <c r="D557" s="32">
        <v>240</v>
      </c>
      <c r="E557" s="19">
        <v>4</v>
      </c>
      <c r="F557" s="19">
        <v>2</v>
      </c>
      <c r="G557" s="33">
        <v>0.5</v>
      </c>
      <c r="H557" s="32">
        <v>60</v>
      </c>
      <c r="I557" s="32">
        <v>240</v>
      </c>
      <c r="J557" s="16" t="s">
        <v>5029</v>
      </c>
      <c r="K557" s="16" t="s">
        <v>5030</v>
      </c>
      <c r="L557" s="16" t="s">
        <v>5031</v>
      </c>
    </row>
    <row r="558" spans="1:12" ht="19.5" customHeight="1" x14ac:dyDescent="0.35">
      <c r="A558" s="16" t="s">
        <v>2594</v>
      </c>
      <c r="B558" s="16" t="s">
        <v>1690</v>
      </c>
      <c r="C558" s="32">
        <v>4</v>
      </c>
      <c r="D558" s="32">
        <v>240</v>
      </c>
      <c r="E558" s="19">
        <v>3</v>
      </c>
      <c r="F558" s="19">
        <v>1</v>
      </c>
      <c r="G558" s="33">
        <v>0.33333333333333298</v>
      </c>
      <c r="H558" s="32">
        <v>80</v>
      </c>
      <c r="I558" s="32">
        <v>240</v>
      </c>
      <c r="J558" s="16" t="s">
        <v>5032</v>
      </c>
      <c r="K558" s="16" t="s">
        <v>5033</v>
      </c>
      <c r="L558" s="16" t="s">
        <v>4360</v>
      </c>
    </row>
    <row r="559" spans="1:12" ht="19.5" customHeight="1" x14ac:dyDescent="0.35">
      <c r="A559" s="16" t="s">
        <v>2597</v>
      </c>
      <c r="B559" s="16" t="s">
        <v>2598</v>
      </c>
      <c r="C559" s="32">
        <v>4</v>
      </c>
      <c r="D559" s="32">
        <v>240</v>
      </c>
      <c r="E559" s="19">
        <v>2</v>
      </c>
      <c r="F559" s="19">
        <v>1</v>
      </c>
      <c r="G559" s="33">
        <v>0.5</v>
      </c>
      <c r="H559" s="32">
        <v>120</v>
      </c>
      <c r="I559" s="32">
        <v>240</v>
      </c>
      <c r="J559" s="16" t="s">
        <v>5034</v>
      </c>
      <c r="K559" s="16" t="s">
        <v>5035</v>
      </c>
      <c r="L559" s="16" t="s">
        <v>4673</v>
      </c>
    </row>
    <row r="560" spans="1:12" ht="19.5" customHeight="1" x14ac:dyDescent="0.35">
      <c r="A560" s="16" t="s">
        <v>2601</v>
      </c>
      <c r="B560" s="16" t="s">
        <v>2602</v>
      </c>
      <c r="C560" s="32">
        <v>4</v>
      </c>
      <c r="D560" s="32">
        <v>240</v>
      </c>
      <c r="E560" s="19">
        <v>1</v>
      </c>
      <c r="F560" s="19">
        <v>1</v>
      </c>
      <c r="G560" s="33">
        <v>1</v>
      </c>
      <c r="H560" s="32">
        <v>240</v>
      </c>
      <c r="I560" s="32">
        <v>240</v>
      </c>
      <c r="J560" s="16" t="s">
        <v>4770</v>
      </c>
      <c r="K560" s="16" t="s">
        <v>5036</v>
      </c>
      <c r="L560" s="16" t="s">
        <v>4686</v>
      </c>
    </row>
    <row r="561" spans="1:12" ht="19.5" customHeight="1" x14ac:dyDescent="0.35">
      <c r="A561" s="16" t="s">
        <v>2604</v>
      </c>
      <c r="B561" s="16" t="s">
        <v>1077</v>
      </c>
      <c r="C561" s="32">
        <v>4</v>
      </c>
      <c r="D561" s="32">
        <v>240</v>
      </c>
      <c r="E561" s="19">
        <v>1</v>
      </c>
      <c r="F561" s="19">
        <v>1</v>
      </c>
      <c r="G561" s="33">
        <v>1</v>
      </c>
      <c r="H561" s="32">
        <v>240</v>
      </c>
      <c r="I561" s="32">
        <v>240</v>
      </c>
      <c r="J561" s="16" t="s">
        <v>4770</v>
      </c>
      <c r="K561" s="16" t="s">
        <v>5037</v>
      </c>
      <c r="L561" s="16" t="s">
        <v>4871</v>
      </c>
    </row>
    <row r="562" spans="1:12" ht="19.5" customHeight="1" x14ac:dyDescent="0.35">
      <c r="A562" s="16" t="s">
        <v>2605</v>
      </c>
      <c r="B562" s="16" t="s">
        <v>1070</v>
      </c>
      <c r="C562" s="32">
        <v>3.8333333333333299</v>
      </c>
      <c r="D562" s="32">
        <v>230</v>
      </c>
      <c r="E562" s="19">
        <v>22</v>
      </c>
      <c r="F562" s="19">
        <v>4</v>
      </c>
      <c r="G562" s="33">
        <v>0.18181818181818199</v>
      </c>
      <c r="H562" s="32">
        <v>10.454545454545499</v>
      </c>
      <c r="I562" s="32">
        <v>80</v>
      </c>
      <c r="J562" s="16" t="s">
        <v>5038</v>
      </c>
      <c r="K562" s="16" t="s">
        <v>5039</v>
      </c>
      <c r="L562" s="16" t="s">
        <v>3907</v>
      </c>
    </row>
    <row r="563" spans="1:12" ht="19.5" customHeight="1" x14ac:dyDescent="0.35">
      <c r="A563" s="16" t="s">
        <v>2608</v>
      </c>
      <c r="B563" s="16" t="s">
        <v>963</v>
      </c>
      <c r="C563" s="32">
        <v>3.8333333333333299</v>
      </c>
      <c r="D563" s="32">
        <v>230</v>
      </c>
      <c r="E563" s="19">
        <v>7</v>
      </c>
      <c r="F563" s="19">
        <v>3</v>
      </c>
      <c r="G563" s="33">
        <v>0.42857142857142899</v>
      </c>
      <c r="H563" s="32">
        <v>32.857142857142897</v>
      </c>
      <c r="I563" s="32">
        <v>150</v>
      </c>
      <c r="J563" s="16" t="s">
        <v>4549</v>
      </c>
      <c r="K563" s="16" t="s">
        <v>5040</v>
      </c>
      <c r="L563" s="16" t="s">
        <v>3924</v>
      </c>
    </row>
    <row r="564" spans="1:12" ht="19.5" customHeight="1" x14ac:dyDescent="0.35">
      <c r="A564" s="16" t="s">
        <v>2610</v>
      </c>
      <c r="B564" s="16" t="s">
        <v>1143</v>
      </c>
      <c r="C564" s="32">
        <v>3.6666666666666701</v>
      </c>
      <c r="D564" s="32">
        <v>220</v>
      </c>
      <c r="E564" s="19">
        <v>14</v>
      </c>
      <c r="F564" s="19">
        <v>1</v>
      </c>
      <c r="G564" s="33">
        <v>7.1428571428571397E-2</v>
      </c>
      <c r="H564" s="32">
        <v>15.714285714285699</v>
      </c>
      <c r="I564" s="32">
        <v>220</v>
      </c>
      <c r="J564" s="16" t="s">
        <v>5041</v>
      </c>
      <c r="K564" s="16" t="s">
        <v>5042</v>
      </c>
      <c r="L564" s="16" t="s">
        <v>4253</v>
      </c>
    </row>
    <row r="565" spans="1:12" ht="19.5" customHeight="1" x14ac:dyDescent="0.35">
      <c r="A565" s="16" t="s">
        <v>2613</v>
      </c>
      <c r="B565" s="16" t="s">
        <v>921</v>
      </c>
      <c r="C565" s="32">
        <v>3.6666666666666701</v>
      </c>
      <c r="D565" s="32">
        <v>220</v>
      </c>
      <c r="E565" s="19">
        <v>13</v>
      </c>
      <c r="F565" s="19">
        <v>3</v>
      </c>
      <c r="G565" s="33">
        <v>0.230769230769231</v>
      </c>
      <c r="H565" s="32">
        <v>16.923076923076898</v>
      </c>
      <c r="I565" s="32">
        <v>100</v>
      </c>
      <c r="J565" s="16" t="s">
        <v>5043</v>
      </c>
      <c r="K565" s="16" t="s">
        <v>5044</v>
      </c>
      <c r="L565" s="16" t="s">
        <v>4571</v>
      </c>
    </row>
    <row r="566" spans="1:12" ht="19.5" customHeight="1" x14ac:dyDescent="0.35">
      <c r="A566" s="16" t="s">
        <v>2616</v>
      </c>
      <c r="B566" s="16" t="s">
        <v>1659</v>
      </c>
      <c r="C566" s="32">
        <v>3.6666666666666701</v>
      </c>
      <c r="D566" s="32">
        <v>220</v>
      </c>
      <c r="E566" s="19">
        <v>7</v>
      </c>
      <c r="F566" s="19">
        <v>4</v>
      </c>
      <c r="G566" s="33">
        <v>0.57142857142857095</v>
      </c>
      <c r="H566" s="32">
        <v>31.428571428571399</v>
      </c>
      <c r="I566" s="32">
        <v>90</v>
      </c>
      <c r="J566" s="16" t="s">
        <v>5045</v>
      </c>
      <c r="K566" s="16" t="s">
        <v>5046</v>
      </c>
      <c r="L566" s="16" t="s">
        <v>4253</v>
      </c>
    </row>
    <row r="567" spans="1:12" ht="19.5" customHeight="1" x14ac:dyDescent="0.35">
      <c r="A567" s="16" t="s">
        <v>2619</v>
      </c>
      <c r="B567" s="16" t="s">
        <v>1077</v>
      </c>
      <c r="C567" s="32">
        <v>3.6</v>
      </c>
      <c r="D567" s="32">
        <v>216</v>
      </c>
      <c r="E567" s="19">
        <v>2</v>
      </c>
      <c r="F567" s="19">
        <v>1</v>
      </c>
      <c r="G567" s="33">
        <v>0.5</v>
      </c>
      <c r="H567" s="32">
        <v>108</v>
      </c>
      <c r="I567" s="32">
        <v>216</v>
      </c>
      <c r="J567" s="16" t="s">
        <v>5047</v>
      </c>
      <c r="K567" s="16" t="s">
        <v>5048</v>
      </c>
      <c r="L567" s="16" t="s">
        <v>4214</v>
      </c>
    </row>
    <row r="568" spans="1:12" ht="19.5" customHeight="1" x14ac:dyDescent="0.35">
      <c r="A568" s="16" t="s">
        <v>2622</v>
      </c>
      <c r="B568" s="16" t="s">
        <v>1077</v>
      </c>
      <c r="C568" s="32">
        <v>3.5833333333333299</v>
      </c>
      <c r="D568" s="32">
        <v>215</v>
      </c>
      <c r="E568" s="19">
        <v>29</v>
      </c>
      <c r="F568" s="19">
        <v>3</v>
      </c>
      <c r="G568" s="33">
        <v>0.10344827586206901</v>
      </c>
      <c r="H568" s="32">
        <v>7.4137931034482802</v>
      </c>
      <c r="I568" s="32">
        <v>140</v>
      </c>
      <c r="J568" s="16" t="s">
        <v>5049</v>
      </c>
      <c r="K568" s="16" t="s">
        <v>5050</v>
      </c>
      <c r="L568" s="16" t="s">
        <v>3941</v>
      </c>
    </row>
    <row r="569" spans="1:12" ht="19.5" customHeight="1" x14ac:dyDescent="0.35">
      <c r="A569" s="16" t="s">
        <v>2625</v>
      </c>
      <c r="B569" s="16" t="s">
        <v>921</v>
      </c>
      <c r="C569" s="32">
        <v>3.5</v>
      </c>
      <c r="D569" s="32">
        <v>210</v>
      </c>
      <c r="E569" s="19">
        <v>8</v>
      </c>
      <c r="F569" s="19">
        <v>3</v>
      </c>
      <c r="G569" s="33">
        <v>0.375</v>
      </c>
      <c r="H569" s="32">
        <v>26.25</v>
      </c>
      <c r="I569" s="32">
        <v>90</v>
      </c>
      <c r="J569" s="16" t="s">
        <v>5051</v>
      </c>
      <c r="K569" s="16" t="s">
        <v>5052</v>
      </c>
      <c r="L569" s="16" t="s">
        <v>3907</v>
      </c>
    </row>
    <row r="570" spans="1:12" ht="19.5" customHeight="1" x14ac:dyDescent="0.35">
      <c r="A570" s="16" t="s">
        <v>2628</v>
      </c>
      <c r="B570" s="16" t="s">
        <v>1118</v>
      </c>
      <c r="C570" s="32">
        <v>3.5</v>
      </c>
      <c r="D570" s="32">
        <v>210</v>
      </c>
      <c r="E570" s="19">
        <v>4</v>
      </c>
      <c r="F570" s="19">
        <v>2</v>
      </c>
      <c r="G570" s="33">
        <v>0.5</v>
      </c>
      <c r="H570" s="32">
        <v>52.5</v>
      </c>
      <c r="I570" s="32">
        <v>120</v>
      </c>
      <c r="J570" s="16" t="s">
        <v>5053</v>
      </c>
      <c r="K570" s="16" t="s">
        <v>5054</v>
      </c>
      <c r="L570" s="16" t="s">
        <v>4214</v>
      </c>
    </row>
    <row r="571" spans="1:12" ht="19.5" customHeight="1" x14ac:dyDescent="0.35">
      <c r="A571" s="16" t="s">
        <v>2631</v>
      </c>
      <c r="B571" s="16" t="s">
        <v>989</v>
      </c>
      <c r="C571" s="32">
        <v>3.3333333333333299</v>
      </c>
      <c r="D571" s="32">
        <v>200</v>
      </c>
      <c r="E571" s="19">
        <v>27</v>
      </c>
      <c r="F571" s="19">
        <v>4</v>
      </c>
      <c r="G571" s="33">
        <v>0.148148148148148</v>
      </c>
      <c r="H571" s="32">
        <v>7.4074074074074101</v>
      </c>
      <c r="I571" s="32">
        <v>120</v>
      </c>
      <c r="J571" s="16" t="s">
        <v>5055</v>
      </c>
      <c r="K571" s="16" t="s">
        <v>5056</v>
      </c>
      <c r="L571" s="16" t="s">
        <v>3907</v>
      </c>
    </row>
    <row r="572" spans="1:12" ht="19.5" customHeight="1" x14ac:dyDescent="0.35">
      <c r="A572" s="16" t="s">
        <v>2634</v>
      </c>
      <c r="B572" s="16" t="s">
        <v>1768</v>
      </c>
      <c r="C572" s="32">
        <v>3.3333333333333299</v>
      </c>
      <c r="D572" s="32">
        <v>200</v>
      </c>
      <c r="E572" s="19">
        <v>5</v>
      </c>
      <c r="F572" s="19">
        <v>1</v>
      </c>
      <c r="G572" s="33">
        <v>0.2</v>
      </c>
      <c r="H572" s="32">
        <v>40</v>
      </c>
      <c r="I572" s="32">
        <v>200</v>
      </c>
      <c r="J572" s="16" t="s">
        <v>5057</v>
      </c>
      <c r="K572" s="16" t="s">
        <v>5058</v>
      </c>
      <c r="L572" s="16" t="s">
        <v>4763</v>
      </c>
    </row>
    <row r="573" spans="1:12" ht="19.5" customHeight="1" x14ac:dyDescent="0.35">
      <c r="A573" s="16" t="s">
        <v>2637</v>
      </c>
      <c r="B573" s="16" t="s">
        <v>1077</v>
      </c>
      <c r="C573" s="32">
        <v>3.3333333333333299</v>
      </c>
      <c r="D573" s="32">
        <v>200</v>
      </c>
      <c r="E573" s="19">
        <v>5</v>
      </c>
      <c r="F573" s="19">
        <v>1</v>
      </c>
      <c r="G573" s="33">
        <v>0.2</v>
      </c>
      <c r="H573" s="32">
        <v>40</v>
      </c>
      <c r="I573" s="32">
        <v>200</v>
      </c>
      <c r="J573" s="16" t="s">
        <v>5059</v>
      </c>
      <c r="K573" s="16" t="s">
        <v>5060</v>
      </c>
      <c r="L573" s="16" t="s">
        <v>4360</v>
      </c>
    </row>
    <row r="574" spans="1:12" ht="19.5" customHeight="1" x14ac:dyDescent="0.35">
      <c r="A574" s="16" t="s">
        <v>2639</v>
      </c>
      <c r="B574" s="16" t="s">
        <v>929</v>
      </c>
      <c r="C574" s="32">
        <v>3.3333333333333299</v>
      </c>
      <c r="D574" s="32">
        <v>200</v>
      </c>
      <c r="E574" s="19">
        <v>4</v>
      </c>
      <c r="F574" s="19">
        <v>2</v>
      </c>
      <c r="G574" s="33">
        <v>0.5</v>
      </c>
      <c r="H574" s="32">
        <v>50</v>
      </c>
      <c r="I574" s="32">
        <v>200</v>
      </c>
      <c r="J574" s="16" t="s">
        <v>5061</v>
      </c>
      <c r="K574" s="16" t="s">
        <v>5062</v>
      </c>
      <c r="L574" s="16" t="s">
        <v>3941</v>
      </c>
    </row>
    <row r="575" spans="1:12" ht="19.5" customHeight="1" x14ac:dyDescent="0.35">
      <c r="A575" s="16" t="s">
        <v>2642</v>
      </c>
      <c r="B575" s="16" t="s">
        <v>1817</v>
      </c>
      <c r="C575" s="32">
        <v>3.3333333333333299</v>
      </c>
      <c r="D575" s="32">
        <v>200</v>
      </c>
      <c r="E575" s="19">
        <v>3</v>
      </c>
      <c r="F575" s="19">
        <v>1</v>
      </c>
      <c r="G575" s="33">
        <v>0.33333333333333298</v>
      </c>
      <c r="H575" s="32">
        <v>66.6666666666667</v>
      </c>
      <c r="I575" s="32">
        <v>200</v>
      </c>
      <c r="J575" s="16" t="s">
        <v>4869</v>
      </c>
      <c r="K575" s="16" t="s">
        <v>5063</v>
      </c>
      <c r="L575" s="16" t="s">
        <v>4214</v>
      </c>
    </row>
    <row r="576" spans="1:12" ht="19.5" customHeight="1" x14ac:dyDescent="0.35">
      <c r="A576" s="16" t="s">
        <v>2644</v>
      </c>
      <c r="B576" s="16" t="s">
        <v>905</v>
      </c>
      <c r="C576" s="32">
        <v>3.3333333333333299</v>
      </c>
      <c r="D576" s="32">
        <v>200</v>
      </c>
      <c r="E576" s="19">
        <v>3</v>
      </c>
      <c r="F576" s="19">
        <v>2</v>
      </c>
      <c r="G576" s="33">
        <v>0.66666666666666696</v>
      </c>
      <c r="H576" s="32">
        <v>66.6666666666667</v>
      </c>
      <c r="I576" s="32">
        <v>180</v>
      </c>
      <c r="J576" s="16" t="s">
        <v>5064</v>
      </c>
      <c r="K576" s="16" t="s">
        <v>5065</v>
      </c>
      <c r="L576" s="16" t="s">
        <v>4772</v>
      </c>
    </row>
    <row r="577" spans="1:12" ht="19.5" customHeight="1" x14ac:dyDescent="0.35">
      <c r="A577" s="16" t="s">
        <v>2646</v>
      </c>
      <c r="B577" s="16" t="s">
        <v>1817</v>
      </c>
      <c r="C577" s="32">
        <v>3.3333333333333299</v>
      </c>
      <c r="D577" s="32">
        <v>200</v>
      </c>
      <c r="E577" s="19">
        <v>1</v>
      </c>
      <c r="F577" s="19">
        <v>1</v>
      </c>
      <c r="G577" s="33">
        <v>1</v>
      </c>
      <c r="H577" s="32">
        <v>200</v>
      </c>
      <c r="I577" s="32">
        <v>200</v>
      </c>
      <c r="J577" s="16" t="s">
        <v>4927</v>
      </c>
      <c r="K577" s="16" t="s">
        <v>5066</v>
      </c>
      <c r="L577" s="16" t="s">
        <v>4360</v>
      </c>
    </row>
    <row r="578" spans="1:12" ht="19.5" customHeight="1" x14ac:dyDescent="0.35">
      <c r="A578" s="16" t="s">
        <v>2648</v>
      </c>
      <c r="B578" s="16" t="s">
        <v>1212</v>
      </c>
      <c r="C578" s="32">
        <v>3.3333333333333299</v>
      </c>
      <c r="D578" s="32">
        <v>200</v>
      </c>
      <c r="E578" s="19">
        <v>1</v>
      </c>
      <c r="F578" s="19">
        <v>1</v>
      </c>
      <c r="G578" s="33">
        <v>1</v>
      </c>
      <c r="H578" s="32">
        <v>200</v>
      </c>
      <c r="I578" s="32">
        <v>200</v>
      </c>
      <c r="J578" s="16" t="s">
        <v>5067</v>
      </c>
      <c r="K578" s="16" t="s">
        <v>5068</v>
      </c>
      <c r="L578" s="16" t="s">
        <v>4673</v>
      </c>
    </row>
    <row r="579" spans="1:12" ht="19.5" customHeight="1" x14ac:dyDescent="0.35">
      <c r="A579" s="16" t="s">
        <v>2650</v>
      </c>
      <c r="B579" s="16" t="s">
        <v>989</v>
      </c>
      <c r="C579" s="32">
        <v>3.0833333333333299</v>
      </c>
      <c r="D579" s="32">
        <v>185</v>
      </c>
      <c r="E579" s="19">
        <v>17</v>
      </c>
      <c r="F579" s="19">
        <v>3</v>
      </c>
      <c r="G579" s="33">
        <v>0.17647058823529399</v>
      </c>
      <c r="H579" s="32">
        <v>10.882352941176499</v>
      </c>
      <c r="I579" s="32">
        <v>120</v>
      </c>
      <c r="J579" s="16" t="s">
        <v>5069</v>
      </c>
      <c r="K579" s="16" t="s">
        <v>5070</v>
      </c>
      <c r="L579" s="16" t="s">
        <v>3907</v>
      </c>
    </row>
    <row r="580" spans="1:12" ht="19.5" customHeight="1" x14ac:dyDescent="0.35">
      <c r="A580" s="16" t="s">
        <v>2653</v>
      </c>
      <c r="B580" s="16" t="s">
        <v>1050</v>
      </c>
      <c r="C580" s="32">
        <v>3.0333333333333301</v>
      </c>
      <c r="D580" s="32">
        <v>182</v>
      </c>
      <c r="E580" s="19">
        <v>9</v>
      </c>
      <c r="F580" s="19">
        <v>4</v>
      </c>
      <c r="G580" s="33">
        <v>0.44444444444444398</v>
      </c>
      <c r="H580" s="32">
        <v>20.2222222222222</v>
      </c>
      <c r="I580" s="32">
        <v>60</v>
      </c>
      <c r="J580" s="16" t="s">
        <v>5071</v>
      </c>
      <c r="K580" s="16" t="s">
        <v>5072</v>
      </c>
      <c r="L580" s="16" t="s">
        <v>4256</v>
      </c>
    </row>
    <row r="581" spans="1:12" ht="19.5" customHeight="1" x14ac:dyDescent="0.35">
      <c r="A581" s="16" t="s">
        <v>2656</v>
      </c>
      <c r="B581" s="16" t="s">
        <v>913</v>
      </c>
      <c r="C581" s="32">
        <v>3.0166666666666702</v>
      </c>
      <c r="D581" s="32">
        <v>181</v>
      </c>
      <c r="E581" s="19">
        <v>10</v>
      </c>
      <c r="F581" s="19">
        <v>4</v>
      </c>
      <c r="G581" s="33">
        <v>0.4</v>
      </c>
      <c r="H581" s="32">
        <v>18.100000000000001</v>
      </c>
      <c r="I581" s="32">
        <v>60</v>
      </c>
      <c r="J581" s="16" t="s">
        <v>5073</v>
      </c>
      <c r="K581" s="16" t="s">
        <v>5074</v>
      </c>
      <c r="L581" s="16" t="s">
        <v>3907</v>
      </c>
    </row>
    <row r="582" spans="1:12" ht="19.5" customHeight="1" x14ac:dyDescent="0.35">
      <c r="A582" s="16" t="s">
        <v>2659</v>
      </c>
      <c r="B582" s="16" t="s">
        <v>1077</v>
      </c>
      <c r="C582" s="32">
        <v>3</v>
      </c>
      <c r="D582" s="32">
        <v>180</v>
      </c>
      <c r="E582" s="19">
        <v>33</v>
      </c>
      <c r="F582" s="19">
        <v>1</v>
      </c>
      <c r="G582" s="33">
        <v>3.03030303030303E-2</v>
      </c>
      <c r="H582" s="32">
        <v>5.4545454545454497</v>
      </c>
      <c r="I582" s="32">
        <v>180</v>
      </c>
      <c r="J582" s="16" t="s">
        <v>5075</v>
      </c>
      <c r="K582" s="16" t="s">
        <v>5076</v>
      </c>
      <c r="L582" s="16" t="s">
        <v>3924</v>
      </c>
    </row>
    <row r="583" spans="1:12" ht="19.5" customHeight="1" x14ac:dyDescent="0.35">
      <c r="A583" s="16" t="s">
        <v>2662</v>
      </c>
      <c r="B583" s="16" t="s">
        <v>959</v>
      </c>
      <c r="C583" s="32">
        <v>3</v>
      </c>
      <c r="D583" s="32">
        <v>180</v>
      </c>
      <c r="E583" s="19">
        <v>27</v>
      </c>
      <c r="F583" s="19">
        <v>1</v>
      </c>
      <c r="G583" s="33">
        <v>3.7037037037037E-2</v>
      </c>
      <c r="H583" s="32">
        <v>6.6666666666666696</v>
      </c>
      <c r="I583" s="32">
        <v>180</v>
      </c>
      <c r="J583" s="16" t="s">
        <v>5077</v>
      </c>
      <c r="K583" s="16" t="s">
        <v>5078</v>
      </c>
      <c r="L583" s="16" t="s">
        <v>3941</v>
      </c>
    </row>
    <row r="584" spans="1:12" ht="19.5" customHeight="1" x14ac:dyDescent="0.35">
      <c r="A584" s="16" t="s">
        <v>2665</v>
      </c>
      <c r="B584" s="16" t="s">
        <v>1118</v>
      </c>
      <c r="C584" s="32">
        <v>3</v>
      </c>
      <c r="D584" s="32">
        <v>180</v>
      </c>
      <c r="E584" s="19">
        <v>12</v>
      </c>
      <c r="F584" s="19">
        <v>2</v>
      </c>
      <c r="G584" s="33">
        <v>0.16666666666666699</v>
      </c>
      <c r="H584" s="32">
        <v>15</v>
      </c>
      <c r="I584" s="32">
        <v>120</v>
      </c>
      <c r="J584" s="16" t="s">
        <v>5079</v>
      </c>
      <c r="K584" s="16" t="s">
        <v>5080</v>
      </c>
      <c r="L584" s="16" t="s">
        <v>3941</v>
      </c>
    </row>
    <row r="585" spans="1:12" ht="19.5" customHeight="1" x14ac:dyDescent="0.35">
      <c r="A585" s="16" t="s">
        <v>2668</v>
      </c>
      <c r="B585" s="16" t="s">
        <v>1122</v>
      </c>
      <c r="C585" s="32">
        <v>3</v>
      </c>
      <c r="D585" s="32">
        <v>180</v>
      </c>
      <c r="E585" s="19">
        <v>8</v>
      </c>
      <c r="F585" s="19">
        <v>2</v>
      </c>
      <c r="G585" s="33">
        <v>0.25</v>
      </c>
      <c r="H585" s="32">
        <v>22.5</v>
      </c>
      <c r="I585" s="32">
        <v>120</v>
      </c>
      <c r="J585" s="16" t="s">
        <v>5081</v>
      </c>
      <c r="K585" s="16" t="s">
        <v>5082</v>
      </c>
      <c r="L585" s="16" t="s">
        <v>3907</v>
      </c>
    </row>
    <row r="586" spans="1:12" ht="19.5" customHeight="1" x14ac:dyDescent="0.35">
      <c r="A586" s="16" t="s">
        <v>2671</v>
      </c>
      <c r="B586" s="16" t="s">
        <v>1077</v>
      </c>
      <c r="C586" s="32">
        <v>3</v>
      </c>
      <c r="D586" s="32">
        <v>180</v>
      </c>
      <c r="E586" s="19">
        <v>8</v>
      </c>
      <c r="F586" s="19">
        <v>1</v>
      </c>
      <c r="G586" s="33">
        <v>0.125</v>
      </c>
      <c r="H586" s="32">
        <v>22.5</v>
      </c>
      <c r="I586" s="32">
        <v>180</v>
      </c>
      <c r="J586" s="16" t="s">
        <v>4719</v>
      </c>
      <c r="K586" s="16" t="s">
        <v>5083</v>
      </c>
      <c r="L586" s="16" t="s">
        <v>4604</v>
      </c>
    </row>
    <row r="587" spans="1:12" ht="19.5" customHeight="1" x14ac:dyDescent="0.35">
      <c r="A587" s="16" t="s">
        <v>2672</v>
      </c>
      <c r="B587" s="16" t="s">
        <v>921</v>
      </c>
      <c r="C587" s="32">
        <v>3</v>
      </c>
      <c r="D587" s="32">
        <v>180</v>
      </c>
      <c r="E587" s="19">
        <v>7</v>
      </c>
      <c r="F587" s="19">
        <v>1</v>
      </c>
      <c r="G587" s="33">
        <v>0.14285714285714299</v>
      </c>
      <c r="H587" s="32">
        <v>25.714285714285701</v>
      </c>
      <c r="I587" s="32">
        <v>180</v>
      </c>
      <c r="J587" s="16" t="s">
        <v>5084</v>
      </c>
      <c r="K587" s="16" t="s">
        <v>5085</v>
      </c>
      <c r="L587" s="16" t="s">
        <v>3924</v>
      </c>
    </row>
    <row r="588" spans="1:12" ht="19.5" customHeight="1" x14ac:dyDescent="0.35">
      <c r="A588" s="16" t="s">
        <v>2675</v>
      </c>
      <c r="B588" s="16" t="s">
        <v>1070</v>
      </c>
      <c r="C588" s="32">
        <v>3</v>
      </c>
      <c r="D588" s="32">
        <v>180</v>
      </c>
      <c r="E588" s="19">
        <v>7</v>
      </c>
      <c r="F588" s="19">
        <v>2</v>
      </c>
      <c r="G588" s="33">
        <v>0.28571428571428598</v>
      </c>
      <c r="H588" s="32">
        <v>25.714285714285701</v>
      </c>
      <c r="I588" s="32">
        <v>90</v>
      </c>
      <c r="J588" s="16" t="s">
        <v>5086</v>
      </c>
      <c r="K588" s="16" t="s">
        <v>5087</v>
      </c>
      <c r="L588" s="16" t="s">
        <v>5088</v>
      </c>
    </row>
    <row r="589" spans="1:12" ht="19.5" customHeight="1" x14ac:dyDescent="0.35">
      <c r="A589" s="16" t="s">
        <v>2677</v>
      </c>
      <c r="B589" s="16" t="s">
        <v>2598</v>
      </c>
      <c r="C589" s="32">
        <v>3</v>
      </c>
      <c r="D589" s="32">
        <v>180</v>
      </c>
      <c r="E589" s="19">
        <v>6</v>
      </c>
      <c r="F589" s="19">
        <v>4</v>
      </c>
      <c r="G589" s="33">
        <v>0.66666666666666696</v>
      </c>
      <c r="H589" s="32">
        <v>30</v>
      </c>
      <c r="I589" s="32">
        <v>180</v>
      </c>
      <c r="J589" s="16" t="s">
        <v>5089</v>
      </c>
      <c r="K589" s="16" t="s">
        <v>5090</v>
      </c>
      <c r="L589" s="16" t="s">
        <v>3924</v>
      </c>
    </row>
    <row r="590" spans="1:12" ht="19.5" customHeight="1" x14ac:dyDescent="0.35">
      <c r="A590" s="16" t="s">
        <v>2680</v>
      </c>
      <c r="B590" s="16" t="s">
        <v>921</v>
      </c>
      <c r="C590" s="32">
        <v>3</v>
      </c>
      <c r="D590" s="32">
        <v>180</v>
      </c>
      <c r="E590" s="19">
        <v>6</v>
      </c>
      <c r="F590" s="19">
        <v>3</v>
      </c>
      <c r="G590" s="33">
        <v>0.5</v>
      </c>
      <c r="H590" s="32">
        <v>30</v>
      </c>
      <c r="I590" s="32">
        <v>60</v>
      </c>
      <c r="J590" s="16" t="s">
        <v>5091</v>
      </c>
      <c r="K590" s="16" t="s">
        <v>5092</v>
      </c>
      <c r="L590" s="16" t="s">
        <v>3924</v>
      </c>
    </row>
    <row r="591" spans="1:12" ht="19.5" customHeight="1" x14ac:dyDescent="0.35">
      <c r="A591" s="16" t="s">
        <v>2682</v>
      </c>
      <c r="B591" s="16" t="s">
        <v>1490</v>
      </c>
      <c r="C591" s="32">
        <v>3</v>
      </c>
      <c r="D591" s="32">
        <v>180</v>
      </c>
      <c r="E591" s="19">
        <v>5</v>
      </c>
      <c r="F591" s="19">
        <v>1</v>
      </c>
      <c r="G591" s="33">
        <v>0.2</v>
      </c>
      <c r="H591" s="32">
        <v>36</v>
      </c>
      <c r="I591" s="32">
        <v>180</v>
      </c>
      <c r="J591" s="16" t="s">
        <v>5020</v>
      </c>
      <c r="K591" s="16" t="s">
        <v>5093</v>
      </c>
      <c r="L591" s="16" t="s">
        <v>4052</v>
      </c>
    </row>
    <row r="592" spans="1:12" ht="19.5" customHeight="1" x14ac:dyDescent="0.35">
      <c r="A592" s="16" t="s">
        <v>2684</v>
      </c>
      <c r="B592" s="16" t="s">
        <v>1077</v>
      </c>
      <c r="C592" s="32">
        <v>3</v>
      </c>
      <c r="D592" s="32">
        <v>180</v>
      </c>
      <c r="E592" s="19">
        <v>5</v>
      </c>
      <c r="F592" s="19">
        <v>1</v>
      </c>
      <c r="G592" s="33">
        <v>0.2</v>
      </c>
      <c r="H592" s="32">
        <v>36</v>
      </c>
      <c r="I592" s="32">
        <v>180</v>
      </c>
      <c r="J592" s="16" t="s">
        <v>4982</v>
      </c>
      <c r="K592" s="16" t="s">
        <v>5094</v>
      </c>
      <c r="L592" s="16" t="s">
        <v>4360</v>
      </c>
    </row>
    <row r="593" spans="1:12" ht="19.5" customHeight="1" x14ac:dyDescent="0.35">
      <c r="A593" s="16" t="s">
        <v>2685</v>
      </c>
      <c r="B593" s="16" t="s">
        <v>1212</v>
      </c>
      <c r="C593" s="32">
        <v>3</v>
      </c>
      <c r="D593" s="32">
        <v>180</v>
      </c>
      <c r="E593" s="19">
        <v>5</v>
      </c>
      <c r="F593" s="19">
        <v>3</v>
      </c>
      <c r="G593" s="33">
        <v>0.6</v>
      </c>
      <c r="H593" s="32">
        <v>36</v>
      </c>
      <c r="I593" s="32">
        <v>120</v>
      </c>
      <c r="J593" s="16" t="s">
        <v>5095</v>
      </c>
      <c r="K593" s="16" t="s">
        <v>5096</v>
      </c>
      <c r="L593" s="16" t="s">
        <v>4673</v>
      </c>
    </row>
    <row r="594" spans="1:12" ht="19.5" customHeight="1" x14ac:dyDescent="0.35">
      <c r="A594" s="16" t="s">
        <v>2687</v>
      </c>
      <c r="B594" s="16" t="s">
        <v>989</v>
      </c>
      <c r="C594" s="32">
        <v>3</v>
      </c>
      <c r="D594" s="32">
        <v>180</v>
      </c>
      <c r="E594" s="19">
        <v>3</v>
      </c>
      <c r="F594" s="19">
        <v>2</v>
      </c>
      <c r="G594" s="33">
        <v>0.66666666666666696</v>
      </c>
      <c r="H594" s="32">
        <v>60</v>
      </c>
      <c r="I594" s="32">
        <v>120</v>
      </c>
      <c r="J594" s="16" t="s">
        <v>5097</v>
      </c>
      <c r="K594" s="16" t="s">
        <v>5098</v>
      </c>
      <c r="L594" s="16" t="s">
        <v>4253</v>
      </c>
    </row>
    <row r="595" spans="1:12" ht="19.5" customHeight="1" x14ac:dyDescent="0.35">
      <c r="A595" s="16" t="s">
        <v>2690</v>
      </c>
      <c r="B595" s="16" t="s">
        <v>913</v>
      </c>
      <c r="C595" s="32">
        <v>3</v>
      </c>
      <c r="D595" s="32">
        <v>180</v>
      </c>
      <c r="E595" s="19">
        <v>1</v>
      </c>
      <c r="F595" s="19">
        <v>1</v>
      </c>
      <c r="G595" s="33">
        <v>1</v>
      </c>
      <c r="H595" s="32">
        <v>180</v>
      </c>
      <c r="I595" s="32">
        <v>180</v>
      </c>
      <c r="J595" s="16" t="s">
        <v>5099</v>
      </c>
      <c r="K595" s="16" t="s">
        <v>5100</v>
      </c>
      <c r="L595" s="16" t="s">
        <v>4360</v>
      </c>
    </row>
    <row r="596" spans="1:12" ht="19.5" customHeight="1" x14ac:dyDescent="0.35">
      <c r="A596" s="16" t="s">
        <v>2693</v>
      </c>
      <c r="B596" s="16" t="s">
        <v>1111</v>
      </c>
      <c r="C596" s="32">
        <v>2.75</v>
      </c>
      <c r="D596" s="32">
        <v>165</v>
      </c>
      <c r="E596" s="19">
        <v>14</v>
      </c>
      <c r="F596" s="19">
        <v>2</v>
      </c>
      <c r="G596" s="33">
        <v>0.14285714285714299</v>
      </c>
      <c r="H596" s="32">
        <v>11.785714285714301</v>
      </c>
      <c r="I596" s="32">
        <v>120</v>
      </c>
      <c r="J596" s="16" t="s">
        <v>5101</v>
      </c>
      <c r="K596" s="16" t="s">
        <v>5102</v>
      </c>
      <c r="L596" s="16" t="s">
        <v>3907</v>
      </c>
    </row>
    <row r="597" spans="1:12" ht="19.5" customHeight="1" x14ac:dyDescent="0.35">
      <c r="A597" s="16" t="s">
        <v>2696</v>
      </c>
      <c r="B597" s="16" t="s">
        <v>1731</v>
      </c>
      <c r="C597" s="32">
        <v>2.75</v>
      </c>
      <c r="D597" s="32">
        <v>165</v>
      </c>
      <c r="E597" s="19">
        <v>8</v>
      </c>
      <c r="F597" s="19">
        <v>2</v>
      </c>
      <c r="G597" s="33">
        <v>0.25</v>
      </c>
      <c r="H597" s="32">
        <v>20.625</v>
      </c>
      <c r="I597" s="32">
        <v>90</v>
      </c>
      <c r="J597" s="16" t="s">
        <v>5103</v>
      </c>
      <c r="K597" s="16" t="s">
        <v>5104</v>
      </c>
      <c r="L597" s="16" t="s">
        <v>5088</v>
      </c>
    </row>
    <row r="598" spans="1:12" ht="19.5" customHeight="1" x14ac:dyDescent="0.35">
      <c r="A598" s="16" t="s">
        <v>2699</v>
      </c>
      <c r="B598" s="16" t="s">
        <v>1136</v>
      </c>
      <c r="C598" s="32">
        <v>2.75</v>
      </c>
      <c r="D598" s="32">
        <v>165</v>
      </c>
      <c r="E598" s="19">
        <v>6</v>
      </c>
      <c r="F598" s="19">
        <v>2</v>
      </c>
      <c r="G598" s="33">
        <v>0.33333333333333298</v>
      </c>
      <c r="H598" s="32">
        <v>27.5</v>
      </c>
      <c r="I598" s="32">
        <v>120</v>
      </c>
      <c r="J598" s="16" t="s">
        <v>5105</v>
      </c>
      <c r="K598" s="16" t="s">
        <v>5106</v>
      </c>
      <c r="L598" s="16" t="s">
        <v>4763</v>
      </c>
    </row>
    <row r="599" spans="1:12" ht="19.5" customHeight="1" x14ac:dyDescent="0.35">
      <c r="A599" s="16" t="s">
        <v>2702</v>
      </c>
      <c r="B599" s="16" t="s">
        <v>913</v>
      </c>
      <c r="C599" s="32">
        <v>2.75</v>
      </c>
      <c r="D599" s="32">
        <v>165</v>
      </c>
      <c r="E599" s="19">
        <v>5</v>
      </c>
      <c r="F599" s="19">
        <v>3</v>
      </c>
      <c r="G599" s="33">
        <v>0.6</v>
      </c>
      <c r="H599" s="32">
        <v>33</v>
      </c>
      <c r="I599" s="32">
        <v>90</v>
      </c>
      <c r="J599" s="16" t="s">
        <v>5107</v>
      </c>
      <c r="K599" s="16" t="s">
        <v>5108</v>
      </c>
      <c r="L599" s="16" t="s">
        <v>4052</v>
      </c>
    </row>
    <row r="600" spans="1:12" ht="19.5" customHeight="1" x14ac:dyDescent="0.35">
      <c r="A600" s="16" t="s">
        <v>2705</v>
      </c>
      <c r="B600" s="16" t="s">
        <v>1077</v>
      </c>
      <c r="C600" s="32">
        <v>2.7166666666666699</v>
      </c>
      <c r="D600" s="32">
        <v>163</v>
      </c>
      <c r="E600" s="19">
        <v>13</v>
      </c>
      <c r="F600" s="19">
        <v>1</v>
      </c>
      <c r="G600" s="33">
        <v>7.69230769230769E-2</v>
      </c>
      <c r="H600" s="32">
        <v>12.538461538461499</v>
      </c>
      <c r="I600" s="32">
        <v>163</v>
      </c>
      <c r="J600" s="16" t="s">
        <v>5109</v>
      </c>
      <c r="K600" s="16" t="s">
        <v>5110</v>
      </c>
      <c r="L600" s="16" t="s">
        <v>4360</v>
      </c>
    </row>
    <row r="601" spans="1:12" ht="19.5" customHeight="1" x14ac:dyDescent="0.35">
      <c r="A601" s="16" t="s">
        <v>2708</v>
      </c>
      <c r="B601" s="16" t="s">
        <v>1009</v>
      </c>
      <c r="C601" s="32">
        <v>2.5833333333333299</v>
      </c>
      <c r="D601" s="32">
        <v>155</v>
      </c>
      <c r="E601" s="19">
        <v>27</v>
      </c>
      <c r="F601" s="19">
        <v>5</v>
      </c>
      <c r="G601" s="33">
        <v>0.18518518518518501</v>
      </c>
      <c r="H601" s="32">
        <v>5.7407407407407396</v>
      </c>
      <c r="I601" s="32">
        <v>120</v>
      </c>
      <c r="J601" s="16" t="s">
        <v>5111</v>
      </c>
      <c r="K601" s="16" t="s">
        <v>5112</v>
      </c>
      <c r="L601" s="16" t="s">
        <v>3907</v>
      </c>
    </row>
    <row r="602" spans="1:12" ht="19.5" customHeight="1" x14ac:dyDescent="0.35">
      <c r="A602" s="16" t="s">
        <v>2711</v>
      </c>
      <c r="B602" s="16" t="s">
        <v>959</v>
      </c>
      <c r="C602" s="32">
        <v>2.5</v>
      </c>
      <c r="D602" s="32">
        <v>150</v>
      </c>
      <c r="E602" s="19">
        <v>12</v>
      </c>
      <c r="F602" s="19">
        <v>1</v>
      </c>
      <c r="G602" s="33">
        <v>8.3333333333333301E-2</v>
      </c>
      <c r="H602" s="32">
        <v>12.5</v>
      </c>
      <c r="I602" s="32">
        <v>150</v>
      </c>
      <c r="J602" s="16" t="s">
        <v>5113</v>
      </c>
      <c r="K602" s="16" t="s">
        <v>5114</v>
      </c>
      <c r="L602" s="16" t="s">
        <v>3941</v>
      </c>
    </row>
    <row r="603" spans="1:12" ht="19.5" customHeight="1" x14ac:dyDescent="0.35">
      <c r="A603" s="16" t="s">
        <v>2714</v>
      </c>
      <c r="B603" s="16" t="s">
        <v>1136</v>
      </c>
      <c r="C603" s="32">
        <v>2.5</v>
      </c>
      <c r="D603" s="32">
        <v>150</v>
      </c>
      <c r="E603" s="19">
        <v>6</v>
      </c>
      <c r="F603" s="19">
        <v>3</v>
      </c>
      <c r="G603" s="33">
        <v>0.5</v>
      </c>
      <c r="H603" s="32">
        <v>25</v>
      </c>
      <c r="I603" s="32">
        <v>120</v>
      </c>
      <c r="J603" s="16" t="s">
        <v>5105</v>
      </c>
      <c r="K603" s="16" t="s">
        <v>5115</v>
      </c>
      <c r="L603" s="16" t="s">
        <v>3941</v>
      </c>
    </row>
    <row r="604" spans="1:12" ht="19.5" customHeight="1" x14ac:dyDescent="0.35">
      <c r="A604" s="16" t="s">
        <v>2716</v>
      </c>
      <c r="B604" s="16" t="s">
        <v>921</v>
      </c>
      <c r="C604" s="32">
        <v>2.5</v>
      </c>
      <c r="D604" s="32">
        <v>150</v>
      </c>
      <c r="E604" s="19">
        <v>5</v>
      </c>
      <c r="F604" s="19">
        <v>1</v>
      </c>
      <c r="G604" s="33">
        <v>0.2</v>
      </c>
      <c r="H604" s="32">
        <v>30</v>
      </c>
      <c r="I604" s="32">
        <v>150</v>
      </c>
      <c r="J604" s="16" t="s">
        <v>5057</v>
      </c>
      <c r="K604" s="16" t="s">
        <v>5116</v>
      </c>
      <c r="L604" s="16" t="s">
        <v>4165</v>
      </c>
    </row>
    <row r="605" spans="1:12" ht="19.5" customHeight="1" x14ac:dyDescent="0.35">
      <c r="A605" s="16" t="s">
        <v>2718</v>
      </c>
      <c r="B605" s="16" t="s">
        <v>921</v>
      </c>
      <c r="C605" s="32">
        <v>2.5</v>
      </c>
      <c r="D605" s="32">
        <v>150</v>
      </c>
      <c r="E605" s="19">
        <v>3</v>
      </c>
      <c r="F605" s="19">
        <v>2</v>
      </c>
      <c r="G605" s="33">
        <v>0.66666666666666696</v>
      </c>
      <c r="H605" s="32">
        <v>50</v>
      </c>
      <c r="I605" s="32">
        <v>90</v>
      </c>
      <c r="J605" s="16" t="s">
        <v>5117</v>
      </c>
      <c r="K605" s="16" t="s">
        <v>5118</v>
      </c>
      <c r="L605" s="16" t="s">
        <v>4772</v>
      </c>
    </row>
    <row r="606" spans="1:12" ht="19.5" customHeight="1" x14ac:dyDescent="0.35">
      <c r="A606" s="16" t="s">
        <v>2721</v>
      </c>
      <c r="B606" s="16" t="s">
        <v>1084</v>
      </c>
      <c r="C606" s="32">
        <v>2.5</v>
      </c>
      <c r="D606" s="32">
        <v>150</v>
      </c>
      <c r="E606" s="19">
        <v>3</v>
      </c>
      <c r="F606" s="19">
        <v>1</v>
      </c>
      <c r="G606" s="33">
        <v>0.33333333333333298</v>
      </c>
      <c r="H606" s="32">
        <v>50</v>
      </c>
      <c r="I606" s="32">
        <v>150</v>
      </c>
      <c r="J606" s="16" t="s">
        <v>5119</v>
      </c>
      <c r="K606" s="16" t="s">
        <v>5120</v>
      </c>
      <c r="L606" s="16" t="s">
        <v>4604</v>
      </c>
    </row>
    <row r="607" spans="1:12" ht="19.5" customHeight="1" x14ac:dyDescent="0.35">
      <c r="A607" s="16" t="s">
        <v>2723</v>
      </c>
      <c r="B607" s="16" t="s">
        <v>1659</v>
      </c>
      <c r="C607" s="32">
        <v>2.5</v>
      </c>
      <c r="D607" s="32">
        <v>150</v>
      </c>
      <c r="E607" s="19">
        <v>2</v>
      </c>
      <c r="F607" s="19">
        <v>1</v>
      </c>
      <c r="G607" s="33">
        <v>0.5</v>
      </c>
      <c r="H607" s="32">
        <v>75</v>
      </c>
      <c r="I607" s="32">
        <v>150</v>
      </c>
      <c r="J607" s="16" t="s">
        <v>5121</v>
      </c>
      <c r="K607" s="16" t="s">
        <v>5122</v>
      </c>
      <c r="L607" s="16" t="s">
        <v>4253</v>
      </c>
    </row>
    <row r="608" spans="1:12" ht="19.5" customHeight="1" x14ac:dyDescent="0.35">
      <c r="A608" s="16" t="s">
        <v>2726</v>
      </c>
      <c r="B608" s="16" t="s">
        <v>921</v>
      </c>
      <c r="C608" s="32">
        <v>2.43333333333333</v>
      </c>
      <c r="D608" s="32">
        <v>146</v>
      </c>
      <c r="E608" s="19">
        <v>2</v>
      </c>
      <c r="F608" s="19">
        <v>1</v>
      </c>
      <c r="G608" s="33">
        <v>0.5</v>
      </c>
      <c r="H608" s="32">
        <v>73</v>
      </c>
      <c r="I608" s="32">
        <v>146</v>
      </c>
      <c r="J608" s="16" t="s">
        <v>5123</v>
      </c>
      <c r="K608" s="16" t="s">
        <v>5124</v>
      </c>
      <c r="L608" s="16" t="s">
        <v>4686</v>
      </c>
    </row>
    <row r="609" spans="1:12" ht="19.5" customHeight="1" x14ac:dyDescent="0.35">
      <c r="A609" s="16" t="s">
        <v>2729</v>
      </c>
      <c r="B609" s="16" t="s">
        <v>1490</v>
      </c>
      <c r="C609" s="32">
        <v>2.3333333333333299</v>
      </c>
      <c r="D609" s="32">
        <v>140</v>
      </c>
      <c r="E609" s="19">
        <v>7</v>
      </c>
      <c r="F609" s="19">
        <v>1</v>
      </c>
      <c r="G609" s="33">
        <v>0.14285714285714299</v>
      </c>
      <c r="H609" s="32">
        <v>20</v>
      </c>
      <c r="I609" s="32">
        <v>140</v>
      </c>
      <c r="J609" s="16" t="s">
        <v>5125</v>
      </c>
      <c r="K609" s="16" t="s">
        <v>5126</v>
      </c>
      <c r="L609" s="16" t="s">
        <v>4491</v>
      </c>
    </row>
    <row r="610" spans="1:12" ht="19.5" customHeight="1" x14ac:dyDescent="0.35">
      <c r="A610" s="16" t="s">
        <v>2732</v>
      </c>
      <c r="B610" s="16" t="s">
        <v>989</v>
      </c>
      <c r="C610" s="32">
        <v>2.25</v>
      </c>
      <c r="D610" s="32">
        <v>135</v>
      </c>
      <c r="E610" s="19">
        <v>2</v>
      </c>
      <c r="F610" s="19">
        <v>2</v>
      </c>
      <c r="G610" s="33">
        <v>1</v>
      </c>
      <c r="H610" s="32">
        <v>67.5</v>
      </c>
      <c r="I610" s="32">
        <v>120</v>
      </c>
      <c r="J610" s="16" t="s">
        <v>5127</v>
      </c>
      <c r="K610" s="16" t="s">
        <v>5128</v>
      </c>
      <c r="L610" s="16" t="s">
        <v>4491</v>
      </c>
    </row>
    <row r="611" spans="1:12" ht="19.5" customHeight="1" x14ac:dyDescent="0.35">
      <c r="A611" s="16" t="s">
        <v>2735</v>
      </c>
      <c r="B611" s="16" t="s">
        <v>929</v>
      </c>
      <c r="C611" s="32">
        <v>2.2000000000000002</v>
      </c>
      <c r="D611" s="32">
        <v>132</v>
      </c>
      <c r="E611" s="19">
        <v>1</v>
      </c>
      <c r="F611" s="19">
        <v>1</v>
      </c>
      <c r="G611" s="33">
        <v>1</v>
      </c>
      <c r="H611" s="32">
        <v>132</v>
      </c>
      <c r="I611" s="32">
        <v>132</v>
      </c>
      <c r="J611" s="16" t="s">
        <v>4770</v>
      </c>
      <c r="K611" s="16" t="s">
        <v>5129</v>
      </c>
      <c r="L611" s="16" t="s">
        <v>4772</v>
      </c>
    </row>
    <row r="612" spans="1:12" ht="19.5" customHeight="1" x14ac:dyDescent="0.35">
      <c r="A612" s="16" t="s">
        <v>2737</v>
      </c>
      <c r="B612" s="16" t="s">
        <v>1136</v>
      </c>
      <c r="C612" s="32">
        <v>2.1666666666666701</v>
      </c>
      <c r="D612" s="32">
        <v>130</v>
      </c>
      <c r="E612" s="19">
        <v>8</v>
      </c>
      <c r="F612" s="19">
        <v>3</v>
      </c>
      <c r="G612" s="33">
        <v>0.375</v>
      </c>
      <c r="H612" s="32">
        <v>16.25</v>
      </c>
      <c r="I612" s="32">
        <v>130</v>
      </c>
      <c r="J612" s="16" t="s">
        <v>4719</v>
      </c>
      <c r="K612" s="16" t="s">
        <v>5130</v>
      </c>
      <c r="L612" s="16" t="s">
        <v>4349</v>
      </c>
    </row>
    <row r="613" spans="1:12" ht="19.5" customHeight="1" x14ac:dyDescent="0.35">
      <c r="A613" s="16" t="s">
        <v>2739</v>
      </c>
      <c r="B613" s="16" t="s">
        <v>913</v>
      </c>
      <c r="C613" s="32">
        <v>2.1666666666666701</v>
      </c>
      <c r="D613" s="32">
        <v>130</v>
      </c>
      <c r="E613" s="19">
        <v>4</v>
      </c>
      <c r="F613" s="19">
        <v>1</v>
      </c>
      <c r="G613" s="33">
        <v>0.25</v>
      </c>
      <c r="H613" s="32">
        <v>32.5</v>
      </c>
      <c r="I613" s="32">
        <v>130</v>
      </c>
      <c r="J613" s="16" t="s">
        <v>5131</v>
      </c>
      <c r="K613" s="16" t="s">
        <v>5132</v>
      </c>
      <c r="L613" s="16" t="s">
        <v>4253</v>
      </c>
    </row>
    <row r="614" spans="1:12" ht="19.5" customHeight="1" x14ac:dyDescent="0.35">
      <c r="A614" s="16" t="s">
        <v>2742</v>
      </c>
      <c r="B614" s="16" t="s">
        <v>1050</v>
      </c>
      <c r="C614" s="32">
        <v>2.1333333333333302</v>
      </c>
      <c r="D614" s="32">
        <v>128</v>
      </c>
      <c r="E614" s="19">
        <v>2</v>
      </c>
      <c r="F614" s="19">
        <v>2</v>
      </c>
      <c r="G614" s="33">
        <v>1</v>
      </c>
      <c r="H614" s="32">
        <v>64</v>
      </c>
      <c r="I614" s="32">
        <v>90</v>
      </c>
      <c r="J614" s="16" t="s">
        <v>5127</v>
      </c>
      <c r="K614" s="16" t="s">
        <v>5133</v>
      </c>
      <c r="L614" s="16" t="s">
        <v>4253</v>
      </c>
    </row>
    <row r="615" spans="1:12" ht="19.5" customHeight="1" x14ac:dyDescent="0.35">
      <c r="A615" s="16" t="s">
        <v>2744</v>
      </c>
      <c r="B615" s="16" t="s">
        <v>1646</v>
      </c>
      <c r="C615" s="32">
        <v>2.0333333333333301</v>
      </c>
      <c r="D615" s="32">
        <v>122</v>
      </c>
      <c r="E615" s="19">
        <v>6</v>
      </c>
      <c r="F615" s="19">
        <v>1</v>
      </c>
      <c r="G615" s="33">
        <v>0.16666666666666699</v>
      </c>
      <c r="H615" s="32">
        <v>20.3333333333333</v>
      </c>
      <c r="I615" s="32">
        <v>122</v>
      </c>
      <c r="J615" s="16" t="s">
        <v>5134</v>
      </c>
      <c r="K615" s="16" t="s">
        <v>5135</v>
      </c>
      <c r="L615" s="16" t="s">
        <v>4253</v>
      </c>
    </row>
    <row r="616" spans="1:12" ht="19.5" customHeight="1" x14ac:dyDescent="0.35">
      <c r="A616" s="16" t="s">
        <v>2747</v>
      </c>
      <c r="B616" s="16" t="s">
        <v>1136</v>
      </c>
      <c r="C616" s="32">
        <v>2.0166666666666702</v>
      </c>
      <c r="D616" s="32">
        <v>121</v>
      </c>
      <c r="E616" s="19">
        <v>11</v>
      </c>
      <c r="F616" s="19">
        <v>3</v>
      </c>
      <c r="G616" s="33">
        <v>0.27272727272727298</v>
      </c>
      <c r="H616" s="32">
        <v>11</v>
      </c>
      <c r="I616" s="32">
        <v>120</v>
      </c>
      <c r="J616" s="16" t="s">
        <v>4979</v>
      </c>
      <c r="K616" s="16" t="s">
        <v>5136</v>
      </c>
      <c r="L616" s="16" t="s">
        <v>4214</v>
      </c>
    </row>
    <row r="617" spans="1:12" ht="19.5" customHeight="1" x14ac:dyDescent="0.35">
      <c r="A617" s="16" t="s">
        <v>2749</v>
      </c>
      <c r="B617" s="16" t="s">
        <v>1009</v>
      </c>
      <c r="C617" s="32">
        <v>2</v>
      </c>
      <c r="D617" s="32">
        <v>120</v>
      </c>
      <c r="E617" s="19">
        <v>28</v>
      </c>
      <c r="F617" s="19">
        <v>9</v>
      </c>
      <c r="G617" s="33">
        <v>0.32142857142857201</v>
      </c>
      <c r="H617" s="32">
        <v>4.28571428571429</v>
      </c>
      <c r="I617" s="32">
        <v>120</v>
      </c>
      <c r="J617" s="16" t="s">
        <v>5137</v>
      </c>
      <c r="K617" s="16" t="s">
        <v>5138</v>
      </c>
      <c r="L617" s="16" t="s">
        <v>3907</v>
      </c>
    </row>
    <row r="618" spans="1:12" ht="19.5" customHeight="1" x14ac:dyDescent="0.35">
      <c r="A618" s="16" t="s">
        <v>2752</v>
      </c>
      <c r="B618" s="16" t="s">
        <v>1077</v>
      </c>
      <c r="C618" s="32">
        <v>2</v>
      </c>
      <c r="D618" s="32">
        <v>120</v>
      </c>
      <c r="E618" s="19">
        <v>24</v>
      </c>
      <c r="F618" s="19">
        <v>1</v>
      </c>
      <c r="G618" s="33">
        <v>4.1666666666666699E-2</v>
      </c>
      <c r="H618" s="32">
        <v>5</v>
      </c>
      <c r="I618" s="32">
        <v>120</v>
      </c>
      <c r="J618" s="16" t="s">
        <v>5139</v>
      </c>
      <c r="K618" s="16" t="s">
        <v>5140</v>
      </c>
      <c r="L618" s="16" t="s">
        <v>4360</v>
      </c>
    </row>
    <row r="619" spans="1:12" ht="19.5" customHeight="1" x14ac:dyDescent="0.35">
      <c r="A619" s="16" t="s">
        <v>2755</v>
      </c>
      <c r="B619" s="16" t="s">
        <v>1077</v>
      </c>
      <c r="C619" s="32">
        <v>2</v>
      </c>
      <c r="D619" s="32">
        <v>120</v>
      </c>
      <c r="E619" s="19">
        <v>18</v>
      </c>
      <c r="F619" s="19">
        <v>1</v>
      </c>
      <c r="G619" s="33">
        <v>5.5555555555555601E-2</v>
      </c>
      <c r="H619" s="32">
        <v>6.6666666666666696</v>
      </c>
      <c r="I619" s="32">
        <v>120</v>
      </c>
      <c r="J619" s="16" t="s">
        <v>5141</v>
      </c>
      <c r="K619" s="16" t="s">
        <v>5142</v>
      </c>
      <c r="L619" s="16" t="s">
        <v>4360</v>
      </c>
    </row>
    <row r="620" spans="1:12" ht="19.5" customHeight="1" x14ac:dyDescent="0.35">
      <c r="A620" s="16" t="s">
        <v>2758</v>
      </c>
      <c r="B620" s="16" t="s">
        <v>917</v>
      </c>
      <c r="C620" s="32">
        <v>2</v>
      </c>
      <c r="D620" s="32">
        <v>120</v>
      </c>
      <c r="E620" s="19">
        <v>16</v>
      </c>
      <c r="F620" s="19">
        <v>1</v>
      </c>
      <c r="G620" s="33">
        <v>6.25E-2</v>
      </c>
      <c r="H620" s="32">
        <v>7.5</v>
      </c>
      <c r="I620" s="32">
        <v>120</v>
      </c>
      <c r="J620" s="16" t="s">
        <v>5143</v>
      </c>
      <c r="K620" s="16" t="s">
        <v>5144</v>
      </c>
      <c r="L620" s="16" t="s">
        <v>3907</v>
      </c>
    </row>
    <row r="621" spans="1:12" ht="19.5" customHeight="1" x14ac:dyDescent="0.35">
      <c r="A621" s="16" t="s">
        <v>2761</v>
      </c>
      <c r="B621" s="16" t="s">
        <v>946</v>
      </c>
      <c r="C621" s="32">
        <v>2</v>
      </c>
      <c r="D621" s="32">
        <v>120</v>
      </c>
      <c r="E621" s="19">
        <v>15</v>
      </c>
      <c r="F621" s="19">
        <v>3</v>
      </c>
      <c r="G621" s="33">
        <v>0.2</v>
      </c>
      <c r="H621" s="32">
        <v>8</v>
      </c>
      <c r="I621" s="32">
        <v>120</v>
      </c>
      <c r="J621" s="16" t="s">
        <v>5145</v>
      </c>
      <c r="K621" s="16" t="s">
        <v>5146</v>
      </c>
      <c r="L621" s="16" t="s">
        <v>3907</v>
      </c>
    </row>
    <row r="622" spans="1:12" ht="19.5" customHeight="1" x14ac:dyDescent="0.35">
      <c r="A622" s="16" t="s">
        <v>2764</v>
      </c>
      <c r="B622" s="16" t="s">
        <v>1077</v>
      </c>
      <c r="C622" s="32">
        <v>2</v>
      </c>
      <c r="D622" s="32">
        <v>120</v>
      </c>
      <c r="E622" s="19">
        <v>11</v>
      </c>
      <c r="F622" s="19">
        <v>1</v>
      </c>
      <c r="G622" s="33">
        <v>9.0909090909090898E-2</v>
      </c>
      <c r="H622" s="32">
        <v>10.909090909090899</v>
      </c>
      <c r="I622" s="32">
        <v>120</v>
      </c>
      <c r="J622" s="16" t="s">
        <v>5147</v>
      </c>
      <c r="K622" s="16" t="s">
        <v>5148</v>
      </c>
      <c r="L622" s="16" t="s">
        <v>3941</v>
      </c>
    </row>
    <row r="623" spans="1:12" ht="19.5" customHeight="1" x14ac:dyDescent="0.35">
      <c r="A623" s="16" t="s">
        <v>2766</v>
      </c>
      <c r="B623" s="16" t="s">
        <v>1077</v>
      </c>
      <c r="C623" s="32">
        <v>2</v>
      </c>
      <c r="D623" s="32">
        <v>120</v>
      </c>
      <c r="E623" s="19">
        <v>8</v>
      </c>
      <c r="F623" s="19">
        <v>1</v>
      </c>
      <c r="G623" s="33">
        <v>0.125</v>
      </c>
      <c r="H623" s="32">
        <v>15</v>
      </c>
      <c r="I623" s="32">
        <v>120</v>
      </c>
      <c r="J623" s="16" t="s">
        <v>5149</v>
      </c>
      <c r="K623" s="16" t="s">
        <v>5150</v>
      </c>
      <c r="L623" s="16" t="s">
        <v>3924</v>
      </c>
    </row>
    <row r="624" spans="1:12" ht="19.5" customHeight="1" x14ac:dyDescent="0.35">
      <c r="A624" s="16" t="s">
        <v>2769</v>
      </c>
      <c r="B624" s="16" t="s">
        <v>1122</v>
      </c>
      <c r="C624" s="32">
        <v>2</v>
      </c>
      <c r="D624" s="32">
        <v>120</v>
      </c>
      <c r="E624" s="19">
        <v>6</v>
      </c>
      <c r="F624" s="19">
        <v>1</v>
      </c>
      <c r="G624" s="33">
        <v>0.16666666666666699</v>
      </c>
      <c r="H624" s="32">
        <v>20</v>
      </c>
      <c r="I624" s="32">
        <v>120</v>
      </c>
      <c r="J624" s="16" t="s">
        <v>5151</v>
      </c>
      <c r="K624" s="16" t="s">
        <v>5152</v>
      </c>
      <c r="L624" s="16" t="s">
        <v>4256</v>
      </c>
    </row>
    <row r="625" spans="1:12" ht="19.5" customHeight="1" x14ac:dyDescent="0.35">
      <c r="A625" s="16" t="s">
        <v>2771</v>
      </c>
      <c r="B625" s="16" t="s">
        <v>1143</v>
      </c>
      <c r="C625" s="32">
        <v>2</v>
      </c>
      <c r="D625" s="32">
        <v>120</v>
      </c>
      <c r="E625" s="19">
        <v>5</v>
      </c>
      <c r="F625" s="19">
        <v>4</v>
      </c>
      <c r="G625" s="33">
        <v>0.8</v>
      </c>
      <c r="H625" s="32">
        <v>24</v>
      </c>
      <c r="I625" s="32">
        <v>120</v>
      </c>
      <c r="J625" s="16" t="s">
        <v>5153</v>
      </c>
      <c r="K625" s="16" t="s">
        <v>5154</v>
      </c>
      <c r="L625" s="16" t="s">
        <v>4349</v>
      </c>
    </row>
    <row r="626" spans="1:12" ht="19.5" customHeight="1" x14ac:dyDescent="0.35">
      <c r="A626" s="16" t="s">
        <v>2774</v>
      </c>
      <c r="B626" s="16" t="s">
        <v>1009</v>
      </c>
      <c r="C626" s="32">
        <v>2</v>
      </c>
      <c r="D626" s="32">
        <v>120</v>
      </c>
      <c r="E626" s="19">
        <v>5</v>
      </c>
      <c r="F626" s="19">
        <v>2</v>
      </c>
      <c r="G626" s="33">
        <v>0.4</v>
      </c>
      <c r="H626" s="32">
        <v>24</v>
      </c>
      <c r="I626" s="32">
        <v>120</v>
      </c>
      <c r="J626" s="16" t="s">
        <v>5004</v>
      </c>
      <c r="K626" s="16" t="s">
        <v>5155</v>
      </c>
      <c r="L626" s="16" t="s">
        <v>4534</v>
      </c>
    </row>
    <row r="627" spans="1:12" ht="19.5" customHeight="1" x14ac:dyDescent="0.35">
      <c r="A627" s="16" t="s">
        <v>2775</v>
      </c>
      <c r="B627" s="16" t="s">
        <v>1077</v>
      </c>
      <c r="C627" s="32">
        <v>2</v>
      </c>
      <c r="D627" s="32">
        <v>120</v>
      </c>
      <c r="E627" s="19">
        <v>5</v>
      </c>
      <c r="F627" s="19">
        <v>1</v>
      </c>
      <c r="G627" s="33">
        <v>0.2</v>
      </c>
      <c r="H627" s="32">
        <v>24</v>
      </c>
      <c r="I627" s="32">
        <v>120</v>
      </c>
      <c r="J627" s="16" t="s">
        <v>5156</v>
      </c>
      <c r="K627" s="16" t="s">
        <v>5157</v>
      </c>
      <c r="L627" s="16" t="s">
        <v>4360</v>
      </c>
    </row>
    <row r="628" spans="1:12" ht="19.5" customHeight="1" x14ac:dyDescent="0.35">
      <c r="A628" s="16" t="s">
        <v>2777</v>
      </c>
      <c r="B628" s="16" t="s">
        <v>1659</v>
      </c>
      <c r="C628" s="32">
        <v>2</v>
      </c>
      <c r="D628" s="32">
        <v>120</v>
      </c>
      <c r="E628" s="19">
        <v>4</v>
      </c>
      <c r="F628" s="19">
        <v>2</v>
      </c>
      <c r="G628" s="33">
        <v>0.5</v>
      </c>
      <c r="H628" s="32">
        <v>30</v>
      </c>
      <c r="I628" s="32">
        <v>90</v>
      </c>
      <c r="J628" s="16" t="s">
        <v>5158</v>
      </c>
      <c r="K628" s="16" t="s">
        <v>5159</v>
      </c>
      <c r="L628" s="16" t="s">
        <v>4253</v>
      </c>
    </row>
    <row r="629" spans="1:12" ht="19.5" customHeight="1" x14ac:dyDescent="0.35">
      <c r="A629" s="16" t="s">
        <v>2780</v>
      </c>
      <c r="B629" s="16" t="s">
        <v>1490</v>
      </c>
      <c r="C629" s="32">
        <v>2</v>
      </c>
      <c r="D629" s="32">
        <v>120</v>
      </c>
      <c r="E629" s="19">
        <v>4</v>
      </c>
      <c r="F629" s="19">
        <v>1</v>
      </c>
      <c r="G629" s="33">
        <v>0.25</v>
      </c>
      <c r="H629" s="32">
        <v>30</v>
      </c>
      <c r="I629" s="32">
        <v>120</v>
      </c>
      <c r="J629" s="16" t="s">
        <v>5160</v>
      </c>
      <c r="K629" s="16" t="s">
        <v>5161</v>
      </c>
      <c r="L629" s="16" t="s">
        <v>4491</v>
      </c>
    </row>
    <row r="630" spans="1:12" ht="19.5" customHeight="1" x14ac:dyDescent="0.35">
      <c r="A630" s="16" t="s">
        <v>2782</v>
      </c>
      <c r="B630" s="16" t="s">
        <v>1582</v>
      </c>
      <c r="C630" s="32">
        <v>2</v>
      </c>
      <c r="D630" s="32">
        <v>120</v>
      </c>
      <c r="E630" s="19">
        <v>4</v>
      </c>
      <c r="F630" s="19">
        <v>2</v>
      </c>
      <c r="G630" s="33">
        <v>0.5</v>
      </c>
      <c r="H630" s="32">
        <v>30</v>
      </c>
      <c r="I630" s="32">
        <v>60</v>
      </c>
      <c r="J630" s="16" t="s">
        <v>4923</v>
      </c>
      <c r="K630" s="16" t="s">
        <v>5162</v>
      </c>
      <c r="L630" s="16" t="s">
        <v>4491</v>
      </c>
    </row>
    <row r="631" spans="1:12" ht="19.5" customHeight="1" x14ac:dyDescent="0.35">
      <c r="A631" s="16" t="s">
        <v>2783</v>
      </c>
      <c r="B631" s="16" t="s">
        <v>1136</v>
      </c>
      <c r="C631" s="32">
        <v>2</v>
      </c>
      <c r="D631" s="32">
        <v>120</v>
      </c>
      <c r="E631" s="19">
        <v>3</v>
      </c>
      <c r="F631" s="19">
        <v>1</v>
      </c>
      <c r="G631" s="33">
        <v>0.33333333333333298</v>
      </c>
      <c r="H631" s="32">
        <v>40</v>
      </c>
      <c r="I631" s="32">
        <v>120</v>
      </c>
      <c r="J631" s="16" t="s">
        <v>5163</v>
      </c>
      <c r="K631" s="16" t="s">
        <v>5164</v>
      </c>
      <c r="L631" s="16" t="s">
        <v>4604</v>
      </c>
    </row>
    <row r="632" spans="1:12" ht="19.5" customHeight="1" x14ac:dyDescent="0.35">
      <c r="A632" s="16" t="s">
        <v>2786</v>
      </c>
      <c r="B632" s="16" t="s">
        <v>1009</v>
      </c>
      <c r="C632" s="32">
        <v>2</v>
      </c>
      <c r="D632" s="32">
        <v>120</v>
      </c>
      <c r="E632" s="19">
        <v>3</v>
      </c>
      <c r="F632" s="19">
        <v>1</v>
      </c>
      <c r="G632" s="33">
        <v>0.33333333333333298</v>
      </c>
      <c r="H632" s="32">
        <v>40</v>
      </c>
      <c r="I632" s="32">
        <v>120</v>
      </c>
      <c r="J632" s="16" t="s">
        <v>5165</v>
      </c>
      <c r="K632" s="16" t="s">
        <v>5166</v>
      </c>
      <c r="L632" s="16" t="s">
        <v>4604</v>
      </c>
    </row>
    <row r="633" spans="1:12" ht="19.5" customHeight="1" x14ac:dyDescent="0.35">
      <c r="A633" s="16" t="s">
        <v>2788</v>
      </c>
      <c r="B633" s="16" t="s">
        <v>1490</v>
      </c>
      <c r="C633" s="32">
        <v>2</v>
      </c>
      <c r="D633" s="32">
        <v>120</v>
      </c>
      <c r="E633" s="19">
        <v>3</v>
      </c>
      <c r="F633" s="19">
        <v>1</v>
      </c>
      <c r="G633" s="33">
        <v>0.33333333333333298</v>
      </c>
      <c r="H633" s="32">
        <v>40</v>
      </c>
      <c r="I633" s="32">
        <v>120</v>
      </c>
      <c r="J633" s="16" t="s">
        <v>5117</v>
      </c>
      <c r="K633" s="16" t="s">
        <v>5167</v>
      </c>
      <c r="L633" s="16" t="s">
        <v>4871</v>
      </c>
    </row>
    <row r="634" spans="1:12" ht="19.5" customHeight="1" x14ac:dyDescent="0.35">
      <c r="A634" s="16" t="s">
        <v>2789</v>
      </c>
      <c r="B634" s="16" t="s">
        <v>921</v>
      </c>
      <c r="C634" s="32">
        <v>2</v>
      </c>
      <c r="D634" s="32">
        <v>120</v>
      </c>
      <c r="E634" s="19">
        <v>3</v>
      </c>
      <c r="F634" s="19">
        <v>2</v>
      </c>
      <c r="G634" s="33">
        <v>0.66666666666666696</v>
      </c>
      <c r="H634" s="32">
        <v>40</v>
      </c>
      <c r="I634" s="32">
        <v>60</v>
      </c>
      <c r="J634" s="16" t="s">
        <v>5168</v>
      </c>
      <c r="K634" s="16" t="s">
        <v>5169</v>
      </c>
      <c r="L634" s="16" t="s">
        <v>4534</v>
      </c>
    </row>
    <row r="635" spans="1:12" ht="19.5" customHeight="1" x14ac:dyDescent="0.35">
      <c r="A635" s="16" t="s">
        <v>2791</v>
      </c>
      <c r="B635" s="16" t="s">
        <v>2792</v>
      </c>
      <c r="C635" s="32">
        <v>2</v>
      </c>
      <c r="D635" s="32">
        <v>120</v>
      </c>
      <c r="E635" s="19">
        <v>2</v>
      </c>
      <c r="F635" s="19">
        <v>2</v>
      </c>
      <c r="G635" s="33">
        <v>1</v>
      </c>
      <c r="H635" s="32">
        <v>60</v>
      </c>
      <c r="I635" s="32">
        <v>120</v>
      </c>
      <c r="J635" s="16" t="s">
        <v>5170</v>
      </c>
      <c r="K635" s="16" t="s">
        <v>5171</v>
      </c>
      <c r="L635" s="16" t="s">
        <v>4772</v>
      </c>
    </row>
    <row r="636" spans="1:12" ht="19.5" customHeight="1" x14ac:dyDescent="0.35">
      <c r="A636" s="16" t="s">
        <v>2795</v>
      </c>
      <c r="B636" s="16" t="s">
        <v>1050</v>
      </c>
      <c r="C636" s="32">
        <v>2</v>
      </c>
      <c r="D636" s="32">
        <v>120</v>
      </c>
      <c r="E636" s="19">
        <v>2</v>
      </c>
      <c r="F636" s="19">
        <v>1</v>
      </c>
      <c r="G636" s="33">
        <v>0.5</v>
      </c>
      <c r="H636" s="32">
        <v>60</v>
      </c>
      <c r="I636" s="32">
        <v>120</v>
      </c>
      <c r="J636" s="16" t="s">
        <v>5127</v>
      </c>
      <c r="K636" s="16" t="s">
        <v>5172</v>
      </c>
      <c r="L636" s="16" t="s">
        <v>4253</v>
      </c>
    </row>
    <row r="637" spans="1:12" ht="19.5" customHeight="1" x14ac:dyDescent="0.35">
      <c r="A637" s="16" t="s">
        <v>2796</v>
      </c>
      <c r="B637" s="16" t="s">
        <v>1077</v>
      </c>
      <c r="C637" s="32">
        <v>2</v>
      </c>
      <c r="D637" s="32">
        <v>120</v>
      </c>
      <c r="E637" s="19">
        <v>2</v>
      </c>
      <c r="F637" s="19">
        <v>1</v>
      </c>
      <c r="G637" s="33">
        <v>0.5</v>
      </c>
      <c r="H637" s="32">
        <v>60</v>
      </c>
      <c r="I637" s="32">
        <v>120</v>
      </c>
      <c r="J637" s="16" t="s">
        <v>5047</v>
      </c>
      <c r="K637" s="16" t="s">
        <v>5173</v>
      </c>
      <c r="L637" s="16" t="s">
        <v>4214</v>
      </c>
    </row>
    <row r="638" spans="1:12" ht="19.5" customHeight="1" x14ac:dyDescent="0.35">
      <c r="A638" s="16" t="s">
        <v>2797</v>
      </c>
      <c r="B638" s="16" t="s">
        <v>1077</v>
      </c>
      <c r="C638" s="32">
        <v>2</v>
      </c>
      <c r="D638" s="32">
        <v>120</v>
      </c>
      <c r="E638" s="19">
        <v>2</v>
      </c>
      <c r="F638" s="19">
        <v>1</v>
      </c>
      <c r="G638" s="33">
        <v>0.5</v>
      </c>
      <c r="H638" s="32">
        <v>60</v>
      </c>
      <c r="I638" s="32">
        <v>120</v>
      </c>
      <c r="J638" s="16" t="s">
        <v>5174</v>
      </c>
      <c r="K638" s="16" t="s">
        <v>5175</v>
      </c>
      <c r="L638" s="16" t="s">
        <v>4360</v>
      </c>
    </row>
    <row r="639" spans="1:12" ht="19.5" customHeight="1" x14ac:dyDescent="0.35">
      <c r="A639" s="16" t="s">
        <v>2799</v>
      </c>
      <c r="B639" s="16" t="s">
        <v>1768</v>
      </c>
      <c r="C639" s="32">
        <v>2</v>
      </c>
      <c r="D639" s="32">
        <v>120</v>
      </c>
      <c r="E639" s="19">
        <v>2</v>
      </c>
      <c r="F639" s="19">
        <v>1</v>
      </c>
      <c r="G639" s="33">
        <v>0.5</v>
      </c>
      <c r="H639" s="32">
        <v>60</v>
      </c>
      <c r="I639" s="32">
        <v>120</v>
      </c>
      <c r="J639" s="16" t="s">
        <v>5176</v>
      </c>
      <c r="K639" s="16" t="s">
        <v>5177</v>
      </c>
      <c r="L639" s="16" t="s">
        <v>4491</v>
      </c>
    </row>
    <row r="640" spans="1:12" ht="19.5" customHeight="1" x14ac:dyDescent="0.35">
      <c r="A640" s="16" t="s">
        <v>2801</v>
      </c>
      <c r="B640" s="16" t="s">
        <v>963</v>
      </c>
      <c r="C640" s="32">
        <v>2</v>
      </c>
      <c r="D640" s="32">
        <v>120</v>
      </c>
      <c r="E640" s="19">
        <v>1</v>
      </c>
      <c r="F640" s="19">
        <v>1</v>
      </c>
      <c r="G640" s="33">
        <v>1</v>
      </c>
      <c r="H640" s="32">
        <v>120</v>
      </c>
      <c r="I640" s="32">
        <v>120</v>
      </c>
      <c r="J640" s="16" t="s">
        <v>5178</v>
      </c>
      <c r="K640" s="16" t="s">
        <v>5179</v>
      </c>
      <c r="L640" s="16" t="s">
        <v>4686</v>
      </c>
    </row>
    <row r="641" spans="1:12" ht="19.5" customHeight="1" x14ac:dyDescent="0.35">
      <c r="A641" s="16" t="s">
        <v>2804</v>
      </c>
      <c r="B641" s="16" t="s">
        <v>1143</v>
      </c>
      <c r="C641" s="32">
        <v>2</v>
      </c>
      <c r="D641" s="32">
        <v>120</v>
      </c>
      <c r="E641" s="19">
        <v>1</v>
      </c>
      <c r="F641" s="19">
        <v>1</v>
      </c>
      <c r="G641" s="33">
        <v>1</v>
      </c>
      <c r="H641" s="32">
        <v>120</v>
      </c>
      <c r="I641" s="32">
        <v>120</v>
      </c>
      <c r="J641" s="16" t="s">
        <v>4770</v>
      </c>
      <c r="K641" s="16" t="s">
        <v>5180</v>
      </c>
      <c r="L641" s="16" t="s">
        <v>4686</v>
      </c>
    </row>
    <row r="642" spans="1:12" ht="19.5" customHeight="1" x14ac:dyDescent="0.35">
      <c r="A642" s="16" t="s">
        <v>2805</v>
      </c>
      <c r="B642" s="16" t="s">
        <v>963</v>
      </c>
      <c r="C642" s="32">
        <v>1.88333333333333</v>
      </c>
      <c r="D642" s="32">
        <v>113</v>
      </c>
      <c r="E642" s="19">
        <v>7</v>
      </c>
      <c r="F642" s="19">
        <v>1</v>
      </c>
      <c r="G642" s="33">
        <v>0.14285714285714299</v>
      </c>
      <c r="H642" s="32">
        <v>16.1428571428571</v>
      </c>
      <c r="I642" s="32">
        <v>113</v>
      </c>
      <c r="J642" s="16" t="s">
        <v>4549</v>
      </c>
      <c r="K642" s="16" t="s">
        <v>5181</v>
      </c>
      <c r="L642" s="16" t="s">
        <v>4571</v>
      </c>
    </row>
    <row r="643" spans="1:12" ht="19.5" customHeight="1" x14ac:dyDescent="0.35">
      <c r="A643" s="16" t="s">
        <v>2807</v>
      </c>
      <c r="B643" s="16" t="s">
        <v>1050</v>
      </c>
      <c r="C643" s="32">
        <v>1.86666666666667</v>
      </c>
      <c r="D643" s="32">
        <v>112</v>
      </c>
      <c r="E643" s="19">
        <v>7</v>
      </c>
      <c r="F643" s="19">
        <v>2</v>
      </c>
      <c r="G643" s="33">
        <v>0.28571428571428598</v>
      </c>
      <c r="H643" s="32">
        <v>16</v>
      </c>
      <c r="I643" s="32">
        <v>100</v>
      </c>
      <c r="J643" s="16" t="s">
        <v>5182</v>
      </c>
      <c r="K643" s="16" t="s">
        <v>5183</v>
      </c>
      <c r="L643" s="16" t="s">
        <v>3941</v>
      </c>
    </row>
    <row r="644" spans="1:12" ht="19.5" customHeight="1" x14ac:dyDescent="0.35">
      <c r="A644" s="16" t="s">
        <v>2809</v>
      </c>
      <c r="B644" s="16" t="s">
        <v>1659</v>
      </c>
      <c r="C644" s="32">
        <v>1.8333333333333299</v>
      </c>
      <c r="D644" s="32">
        <v>110</v>
      </c>
      <c r="E644" s="19">
        <v>13</v>
      </c>
      <c r="F644" s="19">
        <v>2</v>
      </c>
      <c r="G644" s="33">
        <v>0.15384615384615399</v>
      </c>
      <c r="H644" s="32">
        <v>8.4615384615384599</v>
      </c>
      <c r="I644" s="32">
        <v>70</v>
      </c>
      <c r="J644" s="16" t="s">
        <v>5184</v>
      </c>
      <c r="K644" s="16" t="s">
        <v>5185</v>
      </c>
      <c r="L644" s="16" t="s">
        <v>4253</v>
      </c>
    </row>
    <row r="645" spans="1:12" ht="19.5" customHeight="1" x14ac:dyDescent="0.35">
      <c r="A645" s="16" t="s">
        <v>2812</v>
      </c>
      <c r="B645" s="16" t="s">
        <v>989</v>
      </c>
      <c r="C645" s="32">
        <v>1.75</v>
      </c>
      <c r="D645" s="32">
        <v>105</v>
      </c>
      <c r="E645" s="19">
        <v>4</v>
      </c>
      <c r="F645" s="19">
        <v>2</v>
      </c>
      <c r="G645" s="33">
        <v>0.5</v>
      </c>
      <c r="H645" s="32">
        <v>26.25</v>
      </c>
      <c r="I645" s="32">
        <v>90</v>
      </c>
      <c r="J645" s="16" t="s">
        <v>5186</v>
      </c>
      <c r="K645" s="16" t="s">
        <v>5187</v>
      </c>
      <c r="L645" s="16" t="s">
        <v>4905</v>
      </c>
    </row>
    <row r="646" spans="1:12" ht="19.5" customHeight="1" x14ac:dyDescent="0.35">
      <c r="A646" s="16" t="s">
        <v>2815</v>
      </c>
      <c r="B646" s="16" t="s">
        <v>921</v>
      </c>
      <c r="C646" s="32">
        <v>1.7</v>
      </c>
      <c r="D646" s="32">
        <v>102</v>
      </c>
      <c r="E646" s="19">
        <v>3</v>
      </c>
      <c r="F646" s="19">
        <v>1</v>
      </c>
      <c r="G646" s="33">
        <v>0.33333333333333298</v>
      </c>
      <c r="H646" s="32">
        <v>34</v>
      </c>
      <c r="I646" s="32">
        <v>102</v>
      </c>
      <c r="J646" s="16" t="s">
        <v>5188</v>
      </c>
      <c r="K646" s="16" t="s">
        <v>5189</v>
      </c>
      <c r="L646" s="16" t="s">
        <v>4839</v>
      </c>
    </row>
    <row r="647" spans="1:12" ht="19.5" customHeight="1" x14ac:dyDescent="0.35">
      <c r="A647" s="16" t="s">
        <v>2818</v>
      </c>
      <c r="B647" s="16" t="s">
        <v>1077</v>
      </c>
      <c r="C647" s="32">
        <v>1.6666666666666701</v>
      </c>
      <c r="D647" s="32">
        <v>100</v>
      </c>
      <c r="E647" s="19">
        <v>29</v>
      </c>
      <c r="F647" s="19">
        <v>1</v>
      </c>
      <c r="G647" s="33">
        <v>3.4482758620689703E-2</v>
      </c>
      <c r="H647" s="32">
        <v>3.4482758620689702</v>
      </c>
      <c r="I647" s="32">
        <v>100</v>
      </c>
      <c r="J647" s="16" t="s">
        <v>5190</v>
      </c>
      <c r="K647" s="16" t="s">
        <v>5191</v>
      </c>
      <c r="L647" s="16" t="s">
        <v>3941</v>
      </c>
    </row>
    <row r="648" spans="1:12" ht="19.5" customHeight="1" x14ac:dyDescent="0.35">
      <c r="A648" s="16" t="s">
        <v>2821</v>
      </c>
      <c r="B648" s="16" t="s">
        <v>1768</v>
      </c>
      <c r="C648" s="32">
        <v>1.6666666666666701</v>
      </c>
      <c r="D648" s="32">
        <v>100</v>
      </c>
      <c r="E648" s="19">
        <v>9</v>
      </c>
      <c r="F648" s="19">
        <v>1</v>
      </c>
      <c r="G648" s="33">
        <v>0.11111111111111099</v>
      </c>
      <c r="H648" s="32">
        <v>11.1111111111111</v>
      </c>
      <c r="I648" s="32">
        <v>100</v>
      </c>
      <c r="J648" s="16" t="s">
        <v>5071</v>
      </c>
      <c r="K648" s="16" t="s">
        <v>5192</v>
      </c>
      <c r="L648" s="16" t="s">
        <v>4571</v>
      </c>
    </row>
    <row r="649" spans="1:12" ht="19.5" customHeight="1" x14ac:dyDescent="0.35">
      <c r="A649" s="16" t="s">
        <v>2823</v>
      </c>
      <c r="B649" s="16" t="s">
        <v>1101</v>
      </c>
      <c r="C649" s="32">
        <v>1.6666666666666701</v>
      </c>
      <c r="D649" s="32">
        <v>100</v>
      </c>
      <c r="E649" s="19">
        <v>2</v>
      </c>
      <c r="F649" s="19">
        <v>2</v>
      </c>
      <c r="G649" s="33">
        <v>1</v>
      </c>
      <c r="H649" s="32">
        <v>50</v>
      </c>
      <c r="I649" s="32">
        <v>60</v>
      </c>
      <c r="J649" s="16" t="s">
        <v>5193</v>
      </c>
      <c r="K649" s="16" t="s">
        <v>5194</v>
      </c>
      <c r="L649" s="16" t="s">
        <v>4673</v>
      </c>
    </row>
    <row r="650" spans="1:12" ht="19.5" customHeight="1" x14ac:dyDescent="0.35">
      <c r="A650" s="16" t="s">
        <v>2826</v>
      </c>
      <c r="B650" s="16" t="s">
        <v>989</v>
      </c>
      <c r="C650" s="32">
        <v>1.6666666666666701</v>
      </c>
      <c r="D650" s="32">
        <v>100</v>
      </c>
      <c r="E650" s="19">
        <v>1</v>
      </c>
      <c r="F650" s="19">
        <v>1</v>
      </c>
      <c r="G650" s="33">
        <v>1</v>
      </c>
      <c r="H650" s="32">
        <v>100</v>
      </c>
      <c r="I650" s="32">
        <v>100</v>
      </c>
      <c r="J650" s="16" t="s">
        <v>5099</v>
      </c>
      <c r="K650" s="16" t="s">
        <v>5195</v>
      </c>
      <c r="L650" s="16" t="s">
        <v>4360</v>
      </c>
    </row>
    <row r="651" spans="1:12" ht="19.5" customHeight="1" x14ac:dyDescent="0.35">
      <c r="A651" s="16" t="s">
        <v>2828</v>
      </c>
      <c r="B651" s="16" t="s">
        <v>1731</v>
      </c>
      <c r="C651" s="32">
        <v>1.6666666666666701</v>
      </c>
      <c r="D651" s="32">
        <v>100</v>
      </c>
      <c r="E651" s="19">
        <v>1</v>
      </c>
      <c r="F651" s="19">
        <v>1</v>
      </c>
      <c r="G651" s="33">
        <v>1</v>
      </c>
      <c r="H651" s="32">
        <v>100</v>
      </c>
      <c r="I651" s="32">
        <v>100</v>
      </c>
      <c r="J651" s="16" t="s">
        <v>5196</v>
      </c>
      <c r="K651" s="16" t="s">
        <v>5197</v>
      </c>
      <c r="L651" s="16" t="s">
        <v>4673</v>
      </c>
    </row>
    <row r="652" spans="1:12" ht="19.5" customHeight="1" x14ac:dyDescent="0.35">
      <c r="A652" s="16" t="s">
        <v>2830</v>
      </c>
      <c r="B652" s="16" t="s">
        <v>1136</v>
      </c>
      <c r="C652" s="32">
        <v>1.5166666666666699</v>
      </c>
      <c r="D652" s="32">
        <v>91</v>
      </c>
      <c r="E652" s="19">
        <v>7</v>
      </c>
      <c r="F652" s="19">
        <v>2</v>
      </c>
      <c r="G652" s="33">
        <v>0.28571428571428598</v>
      </c>
      <c r="H652" s="32">
        <v>13</v>
      </c>
      <c r="I652" s="32">
        <v>90</v>
      </c>
      <c r="J652" s="16" t="s">
        <v>4791</v>
      </c>
      <c r="K652" s="16" t="s">
        <v>5198</v>
      </c>
      <c r="L652" s="16" t="s">
        <v>4763</v>
      </c>
    </row>
    <row r="653" spans="1:12" ht="19.5" customHeight="1" x14ac:dyDescent="0.35">
      <c r="A653" s="16" t="s">
        <v>2832</v>
      </c>
      <c r="B653" s="16" t="s">
        <v>1299</v>
      </c>
      <c r="C653" s="32">
        <v>1.5</v>
      </c>
      <c r="D653" s="32">
        <v>90</v>
      </c>
      <c r="E653" s="19">
        <v>20</v>
      </c>
      <c r="F653" s="19">
        <v>2</v>
      </c>
      <c r="G653" s="33">
        <v>0.1</v>
      </c>
      <c r="H653" s="32">
        <v>4.5</v>
      </c>
      <c r="I653" s="32">
        <v>60</v>
      </c>
      <c r="J653" s="16" t="s">
        <v>5199</v>
      </c>
      <c r="K653" s="16" t="s">
        <v>5200</v>
      </c>
      <c r="L653" s="16" t="s">
        <v>4253</v>
      </c>
    </row>
    <row r="654" spans="1:12" ht="19.5" customHeight="1" x14ac:dyDescent="0.35">
      <c r="A654" s="16" t="s">
        <v>2835</v>
      </c>
      <c r="B654" s="16" t="s">
        <v>921</v>
      </c>
      <c r="C654" s="32">
        <v>1.5</v>
      </c>
      <c r="D654" s="32">
        <v>90</v>
      </c>
      <c r="E654" s="19">
        <v>18</v>
      </c>
      <c r="F654" s="19">
        <v>3</v>
      </c>
      <c r="G654" s="33">
        <v>0.16666666666666699</v>
      </c>
      <c r="H654" s="32">
        <v>5</v>
      </c>
      <c r="I654" s="32">
        <v>60</v>
      </c>
      <c r="J654" s="16" t="s">
        <v>5201</v>
      </c>
      <c r="K654" s="16" t="s">
        <v>5202</v>
      </c>
      <c r="L654" s="16" t="s">
        <v>3907</v>
      </c>
    </row>
    <row r="655" spans="1:12" ht="19.5" customHeight="1" x14ac:dyDescent="0.35">
      <c r="A655" s="16" t="s">
        <v>2838</v>
      </c>
      <c r="B655" s="16" t="s">
        <v>909</v>
      </c>
      <c r="C655" s="32">
        <v>1.5</v>
      </c>
      <c r="D655" s="32">
        <v>90</v>
      </c>
      <c r="E655" s="19">
        <v>5</v>
      </c>
      <c r="F655" s="19">
        <v>2</v>
      </c>
      <c r="G655" s="33">
        <v>0.4</v>
      </c>
      <c r="H655" s="32">
        <v>18</v>
      </c>
      <c r="I655" s="32">
        <v>90</v>
      </c>
      <c r="J655" s="16" t="s">
        <v>5203</v>
      </c>
      <c r="K655" s="16" t="s">
        <v>5204</v>
      </c>
      <c r="L655" s="16" t="s">
        <v>4604</v>
      </c>
    </row>
    <row r="656" spans="1:12" ht="19.5" customHeight="1" x14ac:dyDescent="0.35">
      <c r="A656" s="16" t="s">
        <v>2841</v>
      </c>
      <c r="B656" s="16" t="s">
        <v>989</v>
      </c>
      <c r="C656" s="32">
        <v>1.5</v>
      </c>
      <c r="D656" s="32">
        <v>90</v>
      </c>
      <c r="E656" s="19">
        <v>5</v>
      </c>
      <c r="F656" s="19">
        <v>2</v>
      </c>
      <c r="G656" s="33">
        <v>0.4</v>
      </c>
      <c r="H656" s="32">
        <v>18</v>
      </c>
      <c r="I656" s="32">
        <v>90</v>
      </c>
      <c r="J656" s="16" t="s">
        <v>5205</v>
      </c>
      <c r="K656" s="16" t="s">
        <v>5206</v>
      </c>
      <c r="L656" s="16" t="s">
        <v>3924</v>
      </c>
    </row>
    <row r="657" spans="1:12" ht="19.5" customHeight="1" x14ac:dyDescent="0.35">
      <c r="A657" s="16" t="s">
        <v>2843</v>
      </c>
      <c r="B657" s="16" t="s">
        <v>989</v>
      </c>
      <c r="C657" s="32">
        <v>1.5</v>
      </c>
      <c r="D657" s="32">
        <v>90</v>
      </c>
      <c r="E657" s="19">
        <v>2</v>
      </c>
      <c r="F657" s="19">
        <v>1</v>
      </c>
      <c r="G657" s="33">
        <v>0.5</v>
      </c>
      <c r="H657" s="32">
        <v>45</v>
      </c>
      <c r="I657" s="32">
        <v>90</v>
      </c>
      <c r="J657" s="16" t="s">
        <v>4973</v>
      </c>
      <c r="K657" s="16" t="s">
        <v>5207</v>
      </c>
      <c r="L657" s="16" t="s">
        <v>4253</v>
      </c>
    </row>
    <row r="658" spans="1:12" ht="19.5" customHeight="1" x14ac:dyDescent="0.35">
      <c r="A658" s="16" t="s">
        <v>2845</v>
      </c>
      <c r="B658" s="16" t="s">
        <v>1101</v>
      </c>
      <c r="C658" s="32">
        <v>1.5</v>
      </c>
      <c r="D658" s="32">
        <v>90</v>
      </c>
      <c r="E658" s="19">
        <v>1</v>
      </c>
      <c r="F658" s="19">
        <v>1</v>
      </c>
      <c r="G658" s="33">
        <v>1</v>
      </c>
      <c r="H658" s="32">
        <v>90</v>
      </c>
      <c r="I658" s="32">
        <v>90</v>
      </c>
      <c r="J658" s="16" t="s">
        <v>4684</v>
      </c>
      <c r="K658" s="16" t="s">
        <v>5208</v>
      </c>
      <c r="L658" s="16" t="s">
        <v>4871</v>
      </c>
    </row>
    <row r="659" spans="1:12" ht="19.5" customHeight="1" x14ac:dyDescent="0.35">
      <c r="A659" s="16" t="s">
        <v>2847</v>
      </c>
      <c r="B659" s="16" t="s">
        <v>909</v>
      </c>
      <c r="C659" s="32">
        <v>1.5</v>
      </c>
      <c r="D659" s="32">
        <v>90</v>
      </c>
      <c r="E659" s="19">
        <v>1</v>
      </c>
      <c r="F659" s="19">
        <v>1</v>
      </c>
      <c r="G659" s="33">
        <v>1</v>
      </c>
      <c r="H659" s="32">
        <v>90</v>
      </c>
      <c r="I659" s="32">
        <v>90</v>
      </c>
      <c r="J659" s="16" t="s">
        <v>5067</v>
      </c>
      <c r="K659" s="16" t="s">
        <v>5209</v>
      </c>
      <c r="L659" s="16" t="s">
        <v>4360</v>
      </c>
    </row>
    <row r="660" spans="1:12" ht="19.5" customHeight="1" x14ac:dyDescent="0.35">
      <c r="A660" s="16" t="s">
        <v>2848</v>
      </c>
      <c r="B660" s="16" t="s">
        <v>946</v>
      </c>
      <c r="C660" s="32">
        <v>1.4833333333333301</v>
      </c>
      <c r="D660" s="32">
        <v>89</v>
      </c>
      <c r="E660" s="19">
        <v>22</v>
      </c>
      <c r="F660" s="19">
        <v>7</v>
      </c>
      <c r="G660" s="33">
        <v>0.31818181818181801</v>
      </c>
      <c r="H660" s="32">
        <v>4.0454545454545503</v>
      </c>
      <c r="I660" s="32">
        <v>89</v>
      </c>
      <c r="J660" s="16" t="s">
        <v>5210</v>
      </c>
      <c r="K660" s="16" t="s">
        <v>5211</v>
      </c>
      <c r="L660" s="16" t="s">
        <v>3907</v>
      </c>
    </row>
    <row r="661" spans="1:12" ht="19.5" customHeight="1" x14ac:dyDescent="0.35">
      <c r="A661" s="16" t="s">
        <v>2851</v>
      </c>
      <c r="B661" s="16" t="s">
        <v>1136</v>
      </c>
      <c r="C661" s="32">
        <v>1.4166666666666701</v>
      </c>
      <c r="D661" s="32">
        <v>85</v>
      </c>
      <c r="E661" s="19">
        <v>8</v>
      </c>
      <c r="F661" s="19">
        <v>2</v>
      </c>
      <c r="G661" s="33">
        <v>0.25</v>
      </c>
      <c r="H661" s="32">
        <v>10.625</v>
      </c>
      <c r="I661" s="32">
        <v>60</v>
      </c>
      <c r="J661" s="16" t="s">
        <v>5081</v>
      </c>
      <c r="K661" s="16" t="s">
        <v>5212</v>
      </c>
      <c r="L661" s="16" t="s">
        <v>4052</v>
      </c>
    </row>
    <row r="662" spans="1:12" ht="19.5" customHeight="1" x14ac:dyDescent="0.35">
      <c r="A662" s="16" t="s">
        <v>2853</v>
      </c>
      <c r="B662" s="16" t="s">
        <v>1122</v>
      </c>
      <c r="C662" s="32">
        <v>1.36666666666667</v>
      </c>
      <c r="D662" s="32">
        <v>82</v>
      </c>
      <c r="E662" s="19">
        <v>3</v>
      </c>
      <c r="F662" s="19">
        <v>2</v>
      </c>
      <c r="G662" s="33">
        <v>0.66666666666666696</v>
      </c>
      <c r="H662" s="32">
        <v>27.3333333333333</v>
      </c>
      <c r="I662" s="32">
        <v>60</v>
      </c>
      <c r="J662" s="16" t="s">
        <v>5213</v>
      </c>
      <c r="K662" s="16" t="s">
        <v>5214</v>
      </c>
      <c r="L662" s="16" t="s">
        <v>3941</v>
      </c>
    </row>
    <row r="663" spans="1:12" ht="19.5" customHeight="1" x14ac:dyDescent="0.35">
      <c r="A663" s="16" t="s">
        <v>2856</v>
      </c>
      <c r="B663" s="16" t="s">
        <v>946</v>
      </c>
      <c r="C663" s="32">
        <v>1.35</v>
      </c>
      <c r="D663" s="32">
        <v>81</v>
      </c>
      <c r="E663" s="19">
        <v>1</v>
      </c>
      <c r="F663" s="19">
        <v>1</v>
      </c>
      <c r="G663" s="33">
        <v>1</v>
      </c>
      <c r="H663" s="32">
        <v>81</v>
      </c>
      <c r="I663" s="32">
        <v>81</v>
      </c>
      <c r="J663" s="16" t="s">
        <v>4770</v>
      </c>
      <c r="K663" s="16" t="s">
        <v>5215</v>
      </c>
      <c r="L663" s="16" t="s">
        <v>4772</v>
      </c>
    </row>
    <row r="664" spans="1:12" ht="19.5" customHeight="1" x14ac:dyDescent="0.35">
      <c r="A664" s="16" t="s">
        <v>2858</v>
      </c>
      <c r="B664" s="16" t="s">
        <v>959</v>
      </c>
      <c r="C664" s="32">
        <v>1.3333333333333299</v>
      </c>
      <c r="D664" s="32">
        <v>80</v>
      </c>
      <c r="E664" s="19">
        <v>14</v>
      </c>
      <c r="F664" s="19">
        <v>2</v>
      </c>
      <c r="G664" s="33">
        <v>0.14285714285714299</v>
      </c>
      <c r="H664" s="32">
        <v>5.71428571428571</v>
      </c>
      <c r="I664" s="32">
        <v>60</v>
      </c>
      <c r="J664" s="16" t="s">
        <v>5216</v>
      </c>
      <c r="K664" s="16" t="s">
        <v>5217</v>
      </c>
      <c r="L664" s="16" t="s">
        <v>3941</v>
      </c>
    </row>
    <row r="665" spans="1:12" ht="19.5" customHeight="1" x14ac:dyDescent="0.35">
      <c r="A665" s="16" t="s">
        <v>2861</v>
      </c>
      <c r="B665" s="16" t="s">
        <v>1070</v>
      </c>
      <c r="C665" s="32">
        <v>1.3333333333333299</v>
      </c>
      <c r="D665" s="32">
        <v>80</v>
      </c>
      <c r="E665" s="19">
        <v>5</v>
      </c>
      <c r="F665" s="19">
        <v>3</v>
      </c>
      <c r="G665" s="33">
        <v>0.6</v>
      </c>
      <c r="H665" s="32">
        <v>16</v>
      </c>
      <c r="I665" s="32">
        <v>30</v>
      </c>
      <c r="J665" s="16" t="s">
        <v>5218</v>
      </c>
      <c r="K665" s="16" t="s">
        <v>5219</v>
      </c>
      <c r="L665" s="16" t="s">
        <v>4534</v>
      </c>
    </row>
    <row r="666" spans="1:12" ht="19.5" customHeight="1" x14ac:dyDescent="0.35">
      <c r="A666" s="16" t="s">
        <v>2864</v>
      </c>
      <c r="B666" s="16" t="s">
        <v>989</v>
      </c>
      <c r="C666" s="32">
        <v>1.3333333333333299</v>
      </c>
      <c r="D666" s="32">
        <v>80</v>
      </c>
      <c r="E666" s="19">
        <v>1</v>
      </c>
      <c r="F666" s="19">
        <v>1</v>
      </c>
      <c r="G666" s="33">
        <v>1</v>
      </c>
      <c r="H666" s="32">
        <v>80</v>
      </c>
      <c r="I666" s="32">
        <v>80</v>
      </c>
      <c r="J666" s="16" t="s">
        <v>5220</v>
      </c>
      <c r="K666" s="16" t="s">
        <v>5221</v>
      </c>
      <c r="L666" s="16" t="s">
        <v>4360</v>
      </c>
    </row>
    <row r="667" spans="1:12" ht="19.5" customHeight="1" x14ac:dyDescent="0.35">
      <c r="A667" s="16" t="s">
        <v>2867</v>
      </c>
      <c r="B667" s="16" t="s">
        <v>959</v>
      </c>
      <c r="C667" s="32">
        <v>1.25</v>
      </c>
      <c r="D667" s="32">
        <v>75</v>
      </c>
      <c r="E667" s="19">
        <v>15</v>
      </c>
      <c r="F667" s="19">
        <v>2</v>
      </c>
      <c r="G667" s="33">
        <v>0.133333333333333</v>
      </c>
      <c r="H667" s="32">
        <v>5</v>
      </c>
      <c r="I667" s="32">
        <v>60</v>
      </c>
      <c r="J667" s="16" t="s">
        <v>5222</v>
      </c>
      <c r="K667" s="16" t="s">
        <v>5223</v>
      </c>
      <c r="L667" s="16" t="s">
        <v>3941</v>
      </c>
    </row>
    <row r="668" spans="1:12" ht="19.5" customHeight="1" x14ac:dyDescent="0.35">
      <c r="A668" s="16" t="s">
        <v>2870</v>
      </c>
      <c r="B668" s="16" t="s">
        <v>1646</v>
      </c>
      <c r="C668" s="32">
        <v>1.25</v>
      </c>
      <c r="D668" s="32">
        <v>75</v>
      </c>
      <c r="E668" s="19">
        <v>3</v>
      </c>
      <c r="F668" s="19">
        <v>2</v>
      </c>
      <c r="G668" s="33">
        <v>0.66666666666666696</v>
      </c>
      <c r="H668" s="32">
        <v>25</v>
      </c>
      <c r="I668" s="32">
        <v>60</v>
      </c>
      <c r="J668" s="16" t="s">
        <v>5224</v>
      </c>
      <c r="K668" s="16" t="s">
        <v>5225</v>
      </c>
      <c r="L668" s="16" t="s">
        <v>4253</v>
      </c>
    </row>
    <row r="669" spans="1:12" ht="19.5" customHeight="1" x14ac:dyDescent="0.35">
      <c r="A669" s="16" t="s">
        <v>2873</v>
      </c>
      <c r="B669" s="16" t="s">
        <v>1077</v>
      </c>
      <c r="C669" s="32">
        <v>1.18333333333333</v>
      </c>
      <c r="D669" s="32">
        <v>71</v>
      </c>
      <c r="E669" s="19">
        <v>25</v>
      </c>
      <c r="F669" s="19">
        <v>1</v>
      </c>
      <c r="G669" s="33">
        <v>0.04</v>
      </c>
      <c r="H669" s="32">
        <v>2.84</v>
      </c>
      <c r="I669" s="32">
        <v>71</v>
      </c>
      <c r="J669" s="16" t="s">
        <v>5226</v>
      </c>
      <c r="K669" s="16" t="s">
        <v>5227</v>
      </c>
      <c r="L669" s="16" t="s">
        <v>3941</v>
      </c>
    </row>
    <row r="670" spans="1:12" ht="19.5" customHeight="1" x14ac:dyDescent="0.35">
      <c r="A670" s="16" t="s">
        <v>2876</v>
      </c>
      <c r="B670" s="16" t="s">
        <v>989</v>
      </c>
      <c r="C670" s="32">
        <v>1.1666666666666701</v>
      </c>
      <c r="D670" s="32">
        <v>70</v>
      </c>
      <c r="E670" s="19">
        <v>8</v>
      </c>
      <c r="F670" s="19">
        <v>1</v>
      </c>
      <c r="G670" s="33">
        <v>0.125</v>
      </c>
      <c r="H670" s="32">
        <v>8.75</v>
      </c>
      <c r="I670" s="32">
        <v>70</v>
      </c>
      <c r="J670" s="16" t="s">
        <v>5228</v>
      </c>
      <c r="K670" s="16" t="s">
        <v>5229</v>
      </c>
      <c r="L670" s="16" t="s">
        <v>4165</v>
      </c>
    </row>
    <row r="671" spans="1:12" ht="19.5" customHeight="1" x14ac:dyDescent="0.35">
      <c r="A671" s="16" t="s">
        <v>2879</v>
      </c>
      <c r="B671" s="16" t="s">
        <v>909</v>
      </c>
      <c r="C671" s="32">
        <v>1.0833333333333299</v>
      </c>
      <c r="D671" s="32">
        <v>65</v>
      </c>
      <c r="E671" s="19">
        <v>1</v>
      </c>
      <c r="F671" s="19">
        <v>1</v>
      </c>
      <c r="G671" s="33">
        <v>1</v>
      </c>
      <c r="H671" s="32">
        <v>65</v>
      </c>
      <c r="I671" s="32">
        <v>65</v>
      </c>
      <c r="J671" s="16" t="s">
        <v>4927</v>
      </c>
      <c r="K671" s="16" t="s">
        <v>5230</v>
      </c>
      <c r="L671" s="16" t="s">
        <v>4871</v>
      </c>
    </row>
    <row r="672" spans="1:12" ht="19.5" customHeight="1" x14ac:dyDescent="0.35">
      <c r="A672" s="16" t="s">
        <v>2881</v>
      </c>
      <c r="B672" s="16" t="s">
        <v>1143</v>
      </c>
      <c r="C672" s="32">
        <v>1.0166666666666699</v>
      </c>
      <c r="D672" s="32">
        <v>61</v>
      </c>
      <c r="E672" s="19">
        <v>12</v>
      </c>
      <c r="F672" s="19">
        <v>3</v>
      </c>
      <c r="G672" s="33">
        <v>0.25</v>
      </c>
      <c r="H672" s="32">
        <v>5.0833333333333304</v>
      </c>
      <c r="I672" s="32">
        <v>60</v>
      </c>
      <c r="J672" s="16" t="s">
        <v>5231</v>
      </c>
      <c r="K672" s="16" t="s">
        <v>5232</v>
      </c>
      <c r="L672" s="16" t="s">
        <v>3907</v>
      </c>
    </row>
    <row r="673" spans="1:12" ht="19.5" customHeight="1" x14ac:dyDescent="0.35">
      <c r="A673" s="16" t="s">
        <v>2884</v>
      </c>
      <c r="B673" s="16" t="s">
        <v>989</v>
      </c>
      <c r="C673" s="32">
        <v>1</v>
      </c>
      <c r="D673" s="32">
        <v>60</v>
      </c>
      <c r="E673" s="19">
        <v>22</v>
      </c>
      <c r="F673" s="19">
        <v>1</v>
      </c>
      <c r="G673" s="33">
        <v>4.5454545454545497E-2</v>
      </c>
      <c r="H673" s="32">
        <v>2.7272727272727302</v>
      </c>
      <c r="I673" s="32">
        <v>60</v>
      </c>
      <c r="J673" s="16" t="s">
        <v>5233</v>
      </c>
      <c r="K673" s="16" t="s">
        <v>5234</v>
      </c>
      <c r="L673" s="16" t="s">
        <v>3907</v>
      </c>
    </row>
    <row r="674" spans="1:12" ht="19.5" customHeight="1" x14ac:dyDescent="0.35">
      <c r="A674" s="16" t="s">
        <v>2887</v>
      </c>
      <c r="B674" s="16" t="s">
        <v>917</v>
      </c>
      <c r="C674" s="32">
        <v>1</v>
      </c>
      <c r="D674" s="32">
        <v>60</v>
      </c>
      <c r="E674" s="19">
        <v>14</v>
      </c>
      <c r="F674" s="19">
        <v>1</v>
      </c>
      <c r="G674" s="33">
        <v>7.1428571428571397E-2</v>
      </c>
      <c r="H674" s="32">
        <v>4.28571428571429</v>
      </c>
      <c r="I674" s="32">
        <v>60</v>
      </c>
      <c r="J674" s="16" t="s">
        <v>5235</v>
      </c>
      <c r="K674" s="16" t="s">
        <v>5236</v>
      </c>
      <c r="L674" s="16" t="s">
        <v>3907</v>
      </c>
    </row>
    <row r="675" spans="1:12" ht="19.5" customHeight="1" x14ac:dyDescent="0.35">
      <c r="A675" s="16" t="s">
        <v>2890</v>
      </c>
      <c r="B675" s="16" t="s">
        <v>913</v>
      </c>
      <c r="C675" s="32">
        <v>1</v>
      </c>
      <c r="D675" s="32">
        <v>60</v>
      </c>
      <c r="E675" s="19">
        <v>13</v>
      </c>
      <c r="F675" s="19">
        <v>1</v>
      </c>
      <c r="G675" s="33">
        <v>7.69230769230769E-2</v>
      </c>
      <c r="H675" s="32">
        <v>4.6153846153846203</v>
      </c>
      <c r="I675" s="32">
        <v>60</v>
      </c>
      <c r="J675" s="16" t="s">
        <v>5237</v>
      </c>
      <c r="K675" s="16" t="s">
        <v>5238</v>
      </c>
      <c r="L675" s="16" t="s">
        <v>3907</v>
      </c>
    </row>
    <row r="676" spans="1:12" ht="19.5" customHeight="1" x14ac:dyDescent="0.35">
      <c r="A676" s="16" t="s">
        <v>2893</v>
      </c>
      <c r="B676" s="16" t="s">
        <v>1077</v>
      </c>
      <c r="C676" s="32">
        <v>1</v>
      </c>
      <c r="D676" s="32">
        <v>60</v>
      </c>
      <c r="E676" s="19">
        <v>13</v>
      </c>
      <c r="F676" s="19">
        <v>1</v>
      </c>
      <c r="G676" s="33">
        <v>7.69230769230769E-2</v>
      </c>
      <c r="H676" s="32">
        <v>4.6153846153846203</v>
      </c>
      <c r="I676" s="32">
        <v>60</v>
      </c>
      <c r="J676" s="16" t="s">
        <v>5239</v>
      </c>
      <c r="K676" s="16" t="s">
        <v>5240</v>
      </c>
      <c r="L676" s="16" t="s">
        <v>4360</v>
      </c>
    </row>
    <row r="677" spans="1:12" ht="19.5" customHeight="1" x14ac:dyDescent="0.35">
      <c r="A677" s="16" t="s">
        <v>2895</v>
      </c>
      <c r="B677" s="16" t="s">
        <v>1084</v>
      </c>
      <c r="C677" s="32">
        <v>1</v>
      </c>
      <c r="D677" s="32">
        <v>60</v>
      </c>
      <c r="E677" s="19">
        <v>12</v>
      </c>
      <c r="F677" s="19">
        <v>1</v>
      </c>
      <c r="G677" s="33">
        <v>8.3333333333333301E-2</v>
      </c>
      <c r="H677" s="32">
        <v>5</v>
      </c>
      <c r="I677" s="32">
        <v>60</v>
      </c>
      <c r="J677" s="16" t="s">
        <v>5241</v>
      </c>
      <c r="K677" s="16" t="s">
        <v>5242</v>
      </c>
      <c r="L677" s="16" t="s">
        <v>3941</v>
      </c>
    </row>
    <row r="678" spans="1:12" ht="19.5" customHeight="1" x14ac:dyDescent="0.35">
      <c r="A678" s="16" t="s">
        <v>2897</v>
      </c>
      <c r="B678" s="16" t="s">
        <v>1077</v>
      </c>
      <c r="C678" s="32">
        <v>1</v>
      </c>
      <c r="D678" s="32">
        <v>60</v>
      </c>
      <c r="E678" s="19">
        <v>12</v>
      </c>
      <c r="F678" s="19">
        <v>1</v>
      </c>
      <c r="G678" s="33">
        <v>8.3333333333333301E-2</v>
      </c>
      <c r="H678" s="32">
        <v>5</v>
      </c>
      <c r="I678" s="32">
        <v>60</v>
      </c>
      <c r="J678" s="16" t="s">
        <v>5243</v>
      </c>
      <c r="K678" s="16" t="s">
        <v>5244</v>
      </c>
      <c r="L678" s="16" t="s">
        <v>3941</v>
      </c>
    </row>
    <row r="679" spans="1:12" ht="19.5" customHeight="1" x14ac:dyDescent="0.35">
      <c r="A679" s="16" t="s">
        <v>2899</v>
      </c>
      <c r="B679" s="16" t="s">
        <v>1077</v>
      </c>
      <c r="C679" s="32">
        <v>1</v>
      </c>
      <c r="D679" s="32">
        <v>60</v>
      </c>
      <c r="E679" s="19">
        <v>12</v>
      </c>
      <c r="F679" s="19">
        <v>1</v>
      </c>
      <c r="G679" s="33">
        <v>8.3333333333333301E-2</v>
      </c>
      <c r="H679" s="32">
        <v>5</v>
      </c>
      <c r="I679" s="32">
        <v>60</v>
      </c>
      <c r="J679" s="16" t="s">
        <v>5245</v>
      </c>
      <c r="K679" s="16" t="s">
        <v>5246</v>
      </c>
      <c r="L679" s="16" t="s">
        <v>4360</v>
      </c>
    </row>
    <row r="680" spans="1:12" ht="19.5" customHeight="1" x14ac:dyDescent="0.35">
      <c r="A680" s="16" t="s">
        <v>2901</v>
      </c>
      <c r="B680" s="16" t="s">
        <v>1122</v>
      </c>
      <c r="C680" s="32">
        <v>1</v>
      </c>
      <c r="D680" s="32">
        <v>60</v>
      </c>
      <c r="E680" s="19">
        <v>11</v>
      </c>
      <c r="F680" s="19">
        <v>1</v>
      </c>
      <c r="G680" s="33">
        <v>9.0909090909090898E-2</v>
      </c>
      <c r="H680" s="32">
        <v>5.4545454545454497</v>
      </c>
      <c r="I680" s="32">
        <v>60</v>
      </c>
      <c r="J680" s="16" t="s">
        <v>5247</v>
      </c>
      <c r="K680" s="16" t="s">
        <v>5248</v>
      </c>
      <c r="L680" s="16" t="s">
        <v>3941</v>
      </c>
    </row>
    <row r="681" spans="1:12" ht="19.5" customHeight="1" x14ac:dyDescent="0.35">
      <c r="A681" s="16" t="s">
        <v>2904</v>
      </c>
      <c r="B681" s="16" t="s">
        <v>1157</v>
      </c>
      <c r="C681" s="32">
        <v>1</v>
      </c>
      <c r="D681" s="32">
        <v>60</v>
      </c>
      <c r="E681" s="19">
        <v>10</v>
      </c>
      <c r="F681" s="19">
        <v>1</v>
      </c>
      <c r="G681" s="33">
        <v>0.1</v>
      </c>
      <c r="H681" s="32">
        <v>6</v>
      </c>
      <c r="I681" s="32">
        <v>60</v>
      </c>
      <c r="J681" s="16" t="s">
        <v>5249</v>
      </c>
      <c r="K681" s="16" t="s">
        <v>5250</v>
      </c>
      <c r="L681" s="16" t="s">
        <v>4253</v>
      </c>
    </row>
    <row r="682" spans="1:12" ht="19.5" customHeight="1" x14ac:dyDescent="0.35">
      <c r="A682" s="16" t="s">
        <v>2907</v>
      </c>
      <c r="B682" s="16" t="s">
        <v>1129</v>
      </c>
      <c r="C682" s="32">
        <v>1</v>
      </c>
      <c r="D682" s="32">
        <v>60</v>
      </c>
      <c r="E682" s="19">
        <v>8</v>
      </c>
      <c r="F682" s="19">
        <v>1</v>
      </c>
      <c r="G682" s="33">
        <v>0.125</v>
      </c>
      <c r="H682" s="32">
        <v>7.5</v>
      </c>
      <c r="I682" s="32">
        <v>60</v>
      </c>
      <c r="J682" s="16" t="s">
        <v>5251</v>
      </c>
      <c r="K682" s="16" t="s">
        <v>5252</v>
      </c>
      <c r="L682" s="16" t="s">
        <v>4256</v>
      </c>
    </row>
    <row r="683" spans="1:12" ht="19.5" customHeight="1" x14ac:dyDescent="0.35">
      <c r="A683" s="16" t="s">
        <v>2910</v>
      </c>
      <c r="B683" s="16" t="s">
        <v>921</v>
      </c>
      <c r="C683" s="32">
        <v>1</v>
      </c>
      <c r="D683" s="32">
        <v>60</v>
      </c>
      <c r="E683" s="19">
        <v>8</v>
      </c>
      <c r="F683" s="19">
        <v>1</v>
      </c>
      <c r="G683" s="33">
        <v>0.125</v>
      </c>
      <c r="H683" s="32">
        <v>7.5</v>
      </c>
      <c r="I683" s="32">
        <v>60</v>
      </c>
      <c r="J683" s="16" t="s">
        <v>5253</v>
      </c>
      <c r="K683" s="16" t="s">
        <v>5254</v>
      </c>
      <c r="L683" s="16" t="s">
        <v>4571</v>
      </c>
    </row>
    <row r="684" spans="1:12" ht="19.5" customHeight="1" x14ac:dyDescent="0.35">
      <c r="A684" s="16" t="s">
        <v>2912</v>
      </c>
      <c r="B684" s="16" t="s">
        <v>921</v>
      </c>
      <c r="C684" s="32">
        <v>1</v>
      </c>
      <c r="D684" s="32">
        <v>60</v>
      </c>
      <c r="E684" s="19">
        <v>7</v>
      </c>
      <c r="F684" s="19">
        <v>1</v>
      </c>
      <c r="G684" s="33">
        <v>0.14285714285714299</v>
      </c>
      <c r="H684" s="32">
        <v>8.5714285714285694</v>
      </c>
      <c r="I684" s="32">
        <v>60</v>
      </c>
      <c r="J684" s="16" t="s">
        <v>4549</v>
      </c>
      <c r="K684" s="16" t="s">
        <v>5255</v>
      </c>
      <c r="L684" s="16" t="s">
        <v>4052</v>
      </c>
    </row>
    <row r="685" spans="1:12" ht="19.5" customHeight="1" x14ac:dyDescent="0.35">
      <c r="A685" s="16" t="s">
        <v>2914</v>
      </c>
      <c r="B685" s="16" t="s">
        <v>921</v>
      </c>
      <c r="C685" s="32">
        <v>1</v>
      </c>
      <c r="D685" s="32">
        <v>60</v>
      </c>
      <c r="E685" s="19">
        <v>7</v>
      </c>
      <c r="F685" s="19">
        <v>1</v>
      </c>
      <c r="G685" s="33">
        <v>0.14285714285714299</v>
      </c>
      <c r="H685" s="32">
        <v>8.5714285714285694</v>
      </c>
      <c r="I685" s="32">
        <v>60</v>
      </c>
      <c r="J685" s="16" t="s">
        <v>5256</v>
      </c>
      <c r="K685" s="16" t="s">
        <v>5257</v>
      </c>
      <c r="L685" s="16" t="s">
        <v>3924</v>
      </c>
    </row>
    <row r="686" spans="1:12" ht="19.5" customHeight="1" x14ac:dyDescent="0.35">
      <c r="A686" s="16" t="s">
        <v>2916</v>
      </c>
      <c r="B686" s="16" t="s">
        <v>1077</v>
      </c>
      <c r="C686" s="32">
        <v>1</v>
      </c>
      <c r="D686" s="32">
        <v>60</v>
      </c>
      <c r="E686" s="19">
        <v>7</v>
      </c>
      <c r="F686" s="19">
        <v>1</v>
      </c>
      <c r="G686" s="33">
        <v>0.14285714285714299</v>
      </c>
      <c r="H686" s="32">
        <v>8.5714285714285694</v>
      </c>
      <c r="I686" s="32">
        <v>60</v>
      </c>
      <c r="J686" s="16" t="s">
        <v>5015</v>
      </c>
      <c r="K686" s="16" t="s">
        <v>5258</v>
      </c>
      <c r="L686" s="16" t="s">
        <v>4360</v>
      </c>
    </row>
    <row r="687" spans="1:12" ht="19.5" customHeight="1" x14ac:dyDescent="0.35">
      <c r="A687" s="16" t="s">
        <v>2917</v>
      </c>
      <c r="B687" s="16" t="s">
        <v>1212</v>
      </c>
      <c r="C687" s="32">
        <v>1</v>
      </c>
      <c r="D687" s="32">
        <v>60</v>
      </c>
      <c r="E687" s="19">
        <v>6</v>
      </c>
      <c r="F687" s="19">
        <v>4</v>
      </c>
      <c r="G687" s="33">
        <v>0.66666666666666696</v>
      </c>
      <c r="H687" s="32">
        <v>10</v>
      </c>
      <c r="I687" s="32">
        <v>30</v>
      </c>
      <c r="J687" s="16" t="s">
        <v>4892</v>
      </c>
      <c r="K687" s="16" t="s">
        <v>5259</v>
      </c>
      <c r="L687" s="16" t="s">
        <v>4673</v>
      </c>
    </row>
    <row r="688" spans="1:12" ht="19.5" customHeight="1" x14ac:dyDescent="0.35">
      <c r="A688" s="16" t="s">
        <v>2919</v>
      </c>
      <c r="B688" s="16" t="s">
        <v>1009</v>
      </c>
      <c r="C688" s="32">
        <v>1</v>
      </c>
      <c r="D688" s="32">
        <v>60</v>
      </c>
      <c r="E688" s="19">
        <v>6</v>
      </c>
      <c r="F688" s="19">
        <v>2</v>
      </c>
      <c r="G688" s="33">
        <v>0.33333333333333298</v>
      </c>
      <c r="H688" s="32">
        <v>10</v>
      </c>
      <c r="I688" s="32">
        <v>60</v>
      </c>
      <c r="J688" s="16" t="s">
        <v>5260</v>
      </c>
      <c r="K688" s="16" t="s">
        <v>5261</v>
      </c>
      <c r="L688" s="16" t="s">
        <v>3924</v>
      </c>
    </row>
    <row r="689" spans="1:12" ht="19.5" customHeight="1" x14ac:dyDescent="0.35">
      <c r="A689" s="16" t="s">
        <v>2921</v>
      </c>
      <c r="B689" s="16" t="s">
        <v>921</v>
      </c>
      <c r="C689" s="32">
        <v>1</v>
      </c>
      <c r="D689" s="32">
        <v>60</v>
      </c>
      <c r="E689" s="19">
        <v>6</v>
      </c>
      <c r="F689" s="19">
        <v>1</v>
      </c>
      <c r="G689" s="33">
        <v>0.16666666666666699</v>
      </c>
      <c r="H689" s="32">
        <v>10</v>
      </c>
      <c r="I689" s="32">
        <v>60</v>
      </c>
      <c r="J689" s="16" t="s">
        <v>5262</v>
      </c>
      <c r="K689" s="16" t="s">
        <v>5263</v>
      </c>
      <c r="L689" s="16" t="s">
        <v>4349</v>
      </c>
    </row>
    <row r="690" spans="1:12" ht="19.5" customHeight="1" x14ac:dyDescent="0.35">
      <c r="A690" s="16" t="s">
        <v>2923</v>
      </c>
      <c r="B690" s="16" t="s">
        <v>1122</v>
      </c>
      <c r="C690" s="32">
        <v>1</v>
      </c>
      <c r="D690" s="32">
        <v>60</v>
      </c>
      <c r="E690" s="19">
        <v>6</v>
      </c>
      <c r="F690" s="19">
        <v>1</v>
      </c>
      <c r="G690" s="33">
        <v>0.16666666666666699</v>
      </c>
      <c r="H690" s="32">
        <v>10</v>
      </c>
      <c r="I690" s="32">
        <v>60</v>
      </c>
      <c r="J690" s="16" t="s">
        <v>5264</v>
      </c>
      <c r="K690" s="16" t="s">
        <v>5265</v>
      </c>
      <c r="L690" s="16" t="s">
        <v>3941</v>
      </c>
    </row>
    <row r="691" spans="1:12" ht="19.5" customHeight="1" x14ac:dyDescent="0.35">
      <c r="A691" s="16" t="s">
        <v>2925</v>
      </c>
      <c r="B691" s="16" t="s">
        <v>921</v>
      </c>
      <c r="C691" s="32">
        <v>1</v>
      </c>
      <c r="D691" s="32">
        <v>60</v>
      </c>
      <c r="E691" s="19">
        <v>6</v>
      </c>
      <c r="F691" s="19">
        <v>1</v>
      </c>
      <c r="G691" s="33">
        <v>0.16666666666666699</v>
      </c>
      <c r="H691" s="32">
        <v>10</v>
      </c>
      <c r="I691" s="32">
        <v>60</v>
      </c>
      <c r="J691" s="16" t="s">
        <v>5266</v>
      </c>
      <c r="K691" s="16" t="s">
        <v>5267</v>
      </c>
      <c r="L691" s="16" t="s">
        <v>4763</v>
      </c>
    </row>
    <row r="692" spans="1:12" ht="19.5" customHeight="1" x14ac:dyDescent="0.35">
      <c r="A692" s="16" t="s">
        <v>2927</v>
      </c>
      <c r="B692" s="16" t="s">
        <v>1582</v>
      </c>
      <c r="C692" s="32">
        <v>1</v>
      </c>
      <c r="D692" s="32">
        <v>60</v>
      </c>
      <c r="E692" s="19">
        <v>5</v>
      </c>
      <c r="F692" s="19">
        <v>2</v>
      </c>
      <c r="G692" s="33">
        <v>0.4</v>
      </c>
      <c r="H692" s="32">
        <v>12</v>
      </c>
      <c r="I692" s="32">
        <v>60</v>
      </c>
      <c r="J692" s="16" t="s">
        <v>4733</v>
      </c>
      <c r="K692" s="16" t="s">
        <v>5268</v>
      </c>
      <c r="L692" s="16" t="s">
        <v>4673</v>
      </c>
    </row>
    <row r="693" spans="1:12" ht="19.5" customHeight="1" x14ac:dyDescent="0.35">
      <c r="A693" s="16" t="s">
        <v>2929</v>
      </c>
      <c r="B693" s="16" t="s">
        <v>905</v>
      </c>
      <c r="C693" s="32">
        <v>1</v>
      </c>
      <c r="D693" s="32">
        <v>60</v>
      </c>
      <c r="E693" s="19">
        <v>5</v>
      </c>
      <c r="F693" s="19">
        <v>1</v>
      </c>
      <c r="G693" s="33">
        <v>0.2</v>
      </c>
      <c r="H693" s="32">
        <v>12</v>
      </c>
      <c r="I693" s="32">
        <v>60</v>
      </c>
      <c r="J693" s="16" t="s">
        <v>5020</v>
      </c>
      <c r="K693" s="16" t="s">
        <v>5269</v>
      </c>
      <c r="L693" s="16" t="s">
        <v>3941</v>
      </c>
    </row>
    <row r="694" spans="1:12" ht="19.5" customHeight="1" x14ac:dyDescent="0.35">
      <c r="A694" s="16" t="s">
        <v>2930</v>
      </c>
      <c r="B694" s="16" t="s">
        <v>989</v>
      </c>
      <c r="C694" s="32">
        <v>1</v>
      </c>
      <c r="D694" s="32">
        <v>60</v>
      </c>
      <c r="E694" s="19">
        <v>5</v>
      </c>
      <c r="F694" s="19">
        <v>1</v>
      </c>
      <c r="G694" s="33">
        <v>0.2</v>
      </c>
      <c r="H694" s="32">
        <v>12</v>
      </c>
      <c r="I694" s="32">
        <v>60</v>
      </c>
      <c r="J694" s="16" t="s">
        <v>5270</v>
      </c>
      <c r="K694" s="16" t="s">
        <v>5271</v>
      </c>
      <c r="L694" s="16" t="s">
        <v>4763</v>
      </c>
    </row>
    <row r="695" spans="1:12" ht="19.5" customHeight="1" x14ac:dyDescent="0.35">
      <c r="A695" s="16" t="s">
        <v>2932</v>
      </c>
      <c r="B695" s="16" t="s">
        <v>1077</v>
      </c>
      <c r="C695" s="32">
        <v>1</v>
      </c>
      <c r="D695" s="32">
        <v>60</v>
      </c>
      <c r="E695" s="19">
        <v>4</v>
      </c>
      <c r="F695" s="19">
        <v>1</v>
      </c>
      <c r="G695" s="33">
        <v>0.25</v>
      </c>
      <c r="H695" s="32">
        <v>15</v>
      </c>
      <c r="I695" s="32">
        <v>60</v>
      </c>
      <c r="J695" s="16" t="s">
        <v>4923</v>
      </c>
      <c r="K695" s="16" t="s">
        <v>5272</v>
      </c>
      <c r="L695" s="16" t="s">
        <v>3941</v>
      </c>
    </row>
    <row r="696" spans="1:12" ht="19.5" customHeight="1" x14ac:dyDescent="0.35">
      <c r="A696" s="16" t="s">
        <v>2934</v>
      </c>
      <c r="B696" s="16" t="s">
        <v>898</v>
      </c>
      <c r="C696" s="32">
        <v>1</v>
      </c>
      <c r="D696" s="32">
        <v>60</v>
      </c>
      <c r="E696" s="19">
        <v>4</v>
      </c>
      <c r="F696" s="19">
        <v>1</v>
      </c>
      <c r="G696" s="33">
        <v>0.25</v>
      </c>
      <c r="H696" s="32">
        <v>15</v>
      </c>
      <c r="I696" s="32">
        <v>60</v>
      </c>
      <c r="J696" s="16" t="s">
        <v>5273</v>
      </c>
      <c r="K696" s="16" t="s">
        <v>5274</v>
      </c>
      <c r="L696" s="16" t="s">
        <v>4052</v>
      </c>
    </row>
    <row r="697" spans="1:12" ht="19.5" customHeight="1" x14ac:dyDescent="0.35">
      <c r="A697" s="16" t="s">
        <v>2936</v>
      </c>
      <c r="B697" s="16" t="s">
        <v>1212</v>
      </c>
      <c r="C697" s="32">
        <v>1</v>
      </c>
      <c r="D697" s="32">
        <v>60</v>
      </c>
      <c r="E697" s="19">
        <v>4</v>
      </c>
      <c r="F697" s="19">
        <v>1</v>
      </c>
      <c r="G697" s="33">
        <v>0.25</v>
      </c>
      <c r="H697" s="32">
        <v>15</v>
      </c>
      <c r="I697" s="32">
        <v>60</v>
      </c>
      <c r="J697" s="16" t="s">
        <v>5275</v>
      </c>
      <c r="K697" s="16" t="s">
        <v>5276</v>
      </c>
      <c r="L697" s="16" t="s">
        <v>4673</v>
      </c>
    </row>
    <row r="698" spans="1:12" ht="19.5" customHeight="1" x14ac:dyDescent="0.35">
      <c r="A698" s="16" t="s">
        <v>2938</v>
      </c>
      <c r="B698" s="16" t="s">
        <v>963</v>
      </c>
      <c r="C698" s="32">
        <v>1</v>
      </c>
      <c r="D698" s="32">
        <v>60</v>
      </c>
      <c r="E698" s="19">
        <v>3</v>
      </c>
      <c r="F698" s="19">
        <v>1</v>
      </c>
      <c r="G698" s="33">
        <v>0.33333333333333298</v>
      </c>
      <c r="H698" s="32">
        <v>20</v>
      </c>
      <c r="I698" s="32">
        <v>60</v>
      </c>
      <c r="J698" s="16" t="s">
        <v>5277</v>
      </c>
      <c r="K698" s="16" t="s">
        <v>5278</v>
      </c>
      <c r="L698" s="16" t="s">
        <v>4604</v>
      </c>
    </row>
    <row r="699" spans="1:12" ht="19.5" customHeight="1" x14ac:dyDescent="0.35">
      <c r="A699" s="16" t="s">
        <v>2941</v>
      </c>
      <c r="B699" s="16" t="s">
        <v>989</v>
      </c>
      <c r="C699" s="32">
        <v>1</v>
      </c>
      <c r="D699" s="32">
        <v>60</v>
      </c>
      <c r="E699" s="19">
        <v>3</v>
      </c>
      <c r="F699" s="19">
        <v>1</v>
      </c>
      <c r="G699" s="33">
        <v>0.33333333333333298</v>
      </c>
      <c r="H699" s="32">
        <v>20</v>
      </c>
      <c r="I699" s="32">
        <v>60</v>
      </c>
      <c r="J699" s="16" t="s">
        <v>5279</v>
      </c>
      <c r="K699" s="16" t="s">
        <v>5280</v>
      </c>
      <c r="L699" s="16" t="s">
        <v>4052</v>
      </c>
    </row>
    <row r="700" spans="1:12" ht="19.5" customHeight="1" x14ac:dyDescent="0.35">
      <c r="A700" s="16" t="s">
        <v>2943</v>
      </c>
      <c r="B700" s="16" t="s">
        <v>1136</v>
      </c>
      <c r="C700" s="32">
        <v>1</v>
      </c>
      <c r="D700" s="32">
        <v>60</v>
      </c>
      <c r="E700" s="19">
        <v>3</v>
      </c>
      <c r="F700" s="19">
        <v>2</v>
      </c>
      <c r="G700" s="33">
        <v>0.66666666666666696</v>
      </c>
      <c r="H700" s="32">
        <v>20</v>
      </c>
      <c r="I700" s="32">
        <v>60</v>
      </c>
      <c r="J700" s="16" t="s">
        <v>4856</v>
      </c>
      <c r="K700" s="16" t="s">
        <v>5281</v>
      </c>
      <c r="L700" s="16" t="s">
        <v>4253</v>
      </c>
    </row>
    <row r="701" spans="1:12" ht="19.5" customHeight="1" x14ac:dyDescent="0.35">
      <c r="A701" s="16" t="s">
        <v>2944</v>
      </c>
      <c r="B701" s="16" t="s">
        <v>959</v>
      </c>
      <c r="C701" s="32">
        <v>1</v>
      </c>
      <c r="D701" s="32">
        <v>60</v>
      </c>
      <c r="E701" s="19">
        <v>3</v>
      </c>
      <c r="F701" s="19">
        <v>1</v>
      </c>
      <c r="G701" s="33">
        <v>0.33333333333333298</v>
      </c>
      <c r="H701" s="32">
        <v>20</v>
      </c>
      <c r="I701" s="32">
        <v>60</v>
      </c>
      <c r="J701" s="16" t="s">
        <v>5282</v>
      </c>
      <c r="K701" s="16" t="s">
        <v>5283</v>
      </c>
      <c r="L701" s="16" t="s">
        <v>3941</v>
      </c>
    </row>
    <row r="702" spans="1:12" ht="19.5" customHeight="1" x14ac:dyDescent="0.35">
      <c r="A702" s="16" t="s">
        <v>2946</v>
      </c>
      <c r="B702" s="16" t="s">
        <v>921</v>
      </c>
      <c r="C702" s="32">
        <v>1</v>
      </c>
      <c r="D702" s="32">
        <v>60</v>
      </c>
      <c r="E702" s="19">
        <v>3</v>
      </c>
      <c r="F702" s="19">
        <v>1</v>
      </c>
      <c r="G702" s="33">
        <v>0.33333333333333298</v>
      </c>
      <c r="H702" s="32">
        <v>20</v>
      </c>
      <c r="I702" s="32">
        <v>60</v>
      </c>
      <c r="J702" s="16" t="s">
        <v>5284</v>
      </c>
      <c r="K702" s="16" t="s">
        <v>5285</v>
      </c>
      <c r="L702" s="16" t="s">
        <v>4349</v>
      </c>
    </row>
    <row r="703" spans="1:12" ht="19.5" customHeight="1" x14ac:dyDescent="0.35">
      <c r="A703" s="16" t="s">
        <v>2948</v>
      </c>
      <c r="B703" s="16" t="s">
        <v>1136</v>
      </c>
      <c r="C703" s="32">
        <v>1</v>
      </c>
      <c r="D703" s="32">
        <v>60</v>
      </c>
      <c r="E703" s="19">
        <v>3</v>
      </c>
      <c r="F703" s="19">
        <v>1</v>
      </c>
      <c r="G703" s="33">
        <v>0.33333333333333298</v>
      </c>
      <c r="H703" s="32">
        <v>20</v>
      </c>
      <c r="I703" s="32">
        <v>60</v>
      </c>
      <c r="J703" s="16" t="s">
        <v>5286</v>
      </c>
      <c r="K703" s="16" t="s">
        <v>5287</v>
      </c>
      <c r="L703" s="16" t="s">
        <v>4253</v>
      </c>
    </row>
    <row r="704" spans="1:12" ht="19.5" customHeight="1" x14ac:dyDescent="0.35">
      <c r="A704" s="16" t="s">
        <v>2950</v>
      </c>
      <c r="B704" s="16" t="s">
        <v>921</v>
      </c>
      <c r="C704" s="32">
        <v>1</v>
      </c>
      <c r="D704" s="32">
        <v>60</v>
      </c>
      <c r="E704" s="19">
        <v>3</v>
      </c>
      <c r="F704" s="19">
        <v>1</v>
      </c>
      <c r="G704" s="33">
        <v>0.33333333333333298</v>
      </c>
      <c r="H704" s="32">
        <v>20</v>
      </c>
      <c r="I704" s="32">
        <v>60</v>
      </c>
      <c r="J704" s="16" t="s">
        <v>5284</v>
      </c>
      <c r="K704" s="16" t="s">
        <v>5288</v>
      </c>
      <c r="L704" s="16" t="s">
        <v>5014</v>
      </c>
    </row>
    <row r="705" spans="1:12" ht="19.5" customHeight="1" x14ac:dyDescent="0.35">
      <c r="A705" s="16" t="s">
        <v>2951</v>
      </c>
      <c r="B705" s="16" t="s">
        <v>1731</v>
      </c>
      <c r="C705" s="32">
        <v>1</v>
      </c>
      <c r="D705" s="32">
        <v>60</v>
      </c>
      <c r="E705" s="19">
        <v>3</v>
      </c>
      <c r="F705" s="19">
        <v>1</v>
      </c>
      <c r="G705" s="33">
        <v>0.33333333333333298</v>
      </c>
      <c r="H705" s="32">
        <v>20</v>
      </c>
      <c r="I705" s="32">
        <v>60</v>
      </c>
      <c r="J705" s="16" t="s">
        <v>4856</v>
      </c>
      <c r="K705" s="16" t="s">
        <v>5289</v>
      </c>
      <c r="L705" s="16" t="s">
        <v>4673</v>
      </c>
    </row>
    <row r="706" spans="1:12" ht="19.5" customHeight="1" x14ac:dyDescent="0.35">
      <c r="A706" s="16" t="s">
        <v>2952</v>
      </c>
      <c r="B706" s="16" t="s">
        <v>905</v>
      </c>
      <c r="C706" s="32">
        <v>1</v>
      </c>
      <c r="D706" s="32">
        <v>60</v>
      </c>
      <c r="E706" s="19">
        <v>2</v>
      </c>
      <c r="F706" s="19">
        <v>1</v>
      </c>
      <c r="G706" s="33">
        <v>0.5</v>
      </c>
      <c r="H706" s="32">
        <v>30</v>
      </c>
      <c r="I706" s="32">
        <v>60</v>
      </c>
      <c r="J706" s="16" t="s">
        <v>5290</v>
      </c>
      <c r="K706" s="16" t="s">
        <v>5291</v>
      </c>
      <c r="L706" s="16" t="s">
        <v>4360</v>
      </c>
    </row>
    <row r="707" spans="1:12" ht="19.5" customHeight="1" x14ac:dyDescent="0.35">
      <c r="A707" s="16" t="s">
        <v>2955</v>
      </c>
      <c r="B707" s="16" t="s">
        <v>905</v>
      </c>
      <c r="C707" s="32">
        <v>1</v>
      </c>
      <c r="D707" s="32">
        <v>60</v>
      </c>
      <c r="E707" s="19">
        <v>2</v>
      </c>
      <c r="F707" s="19">
        <v>1</v>
      </c>
      <c r="G707" s="33">
        <v>0.5</v>
      </c>
      <c r="H707" s="32">
        <v>30</v>
      </c>
      <c r="I707" s="32">
        <v>60</v>
      </c>
      <c r="J707" s="16" t="s">
        <v>5292</v>
      </c>
      <c r="K707" s="16" t="s">
        <v>5293</v>
      </c>
      <c r="L707" s="16" t="s">
        <v>5294</v>
      </c>
    </row>
    <row r="708" spans="1:12" ht="19.5" customHeight="1" x14ac:dyDescent="0.35">
      <c r="A708" s="16" t="s">
        <v>2957</v>
      </c>
      <c r="B708" s="16" t="s">
        <v>913</v>
      </c>
      <c r="C708" s="32">
        <v>1</v>
      </c>
      <c r="D708" s="32">
        <v>60</v>
      </c>
      <c r="E708" s="19">
        <v>2</v>
      </c>
      <c r="F708" s="19">
        <v>1</v>
      </c>
      <c r="G708" s="33">
        <v>0.5</v>
      </c>
      <c r="H708" s="32">
        <v>30</v>
      </c>
      <c r="I708" s="32">
        <v>60</v>
      </c>
      <c r="J708" s="16" t="s">
        <v>5290</v>
      </c>
      <c r="K708" s="16" t="s">
        <v>5295</v>
      </c>
      <c r="L708" s="16" t="s">
        <v>4604</v>
      </c>
    </row>
    <row r="709" spans="1:12" ht="19.5" customHeight="1" x14ac:dyDescent="0.35">
      <c r="A709" s="16" t="s">
        <v>2958</v>
      </c>
      <c r="B709" s="16" t="s">
        <v>1009</v>
      </c>
      <c r="C709" s="32">
        <v>1</v>
      </c>
      <c r="D709" s="32">
        <v>60</v>
      </c>
      <c r="E709" s="19">
        <v>2</v>
      </c>
      <c r="F709" s="19">
        <v>1</v>
      </c>
      <c r="G709" s="33">
        <v>0.5</v>
      </c>
      <c r="H709" s="32">
        <v>30</v>
      </c>
      <c r="I709" s="32">
        <v>60</v>
      </c>
      <c r="J709" s="16" t="s">
        <v>5296</v>
      </c>
      <c r="K709" s="16" t="s">
        <v>5297</v>
      </c>
      <c r="L709" s="16" t="s">
        <v>4214</v>
      </c>
    </row>
    <row r="710" spans="1:12" ht="19.5" customHeight="1" x14ac:dyDescent="0.35">
      <c r="A710" s="16" t="s">
        <v>2960</v>
      </c>
      <c r="B710" s="16" t="s">
        <v>1009</v>
      </c>
      <c r="C710" s="32">
        <v>1</v>
      </c>
      <c r="D710" s="32">
        <v>60</v>
      </c>
      <c r="E710" s="19">
        <v>2</v>
      </c>
      <c r="F710" s="19">
        <v>1</v>
      </c>
      <c r="G710" s="33">
        <v>0.5</v>
      </c>
      <c r="H710" s="32">
        <v>30</v>
      </c>
      <c r="I710" s="32">
        <v>60</v>
      </c>
      <c r="J710" s="16" t="s">
        <v>5298</v>
      </c>
      <c r="K710" s="16" t="s">
        <v>5299</v>
      </c>
      <c r="L710" s="16" t="s">
        <v>4214</v>
      </c>
    </row>
    <row r="711" spans="1:12" ht="19.5" customHeight="1" x14ac:dyDescent="0.35">
      <c r="A711" s="16" t="s">
        <v>2962</v>
      </c>
      <c r="B711" s="16" t="s">
        <v>1077</v>
      </c>
      <c r="C711" s="32">
        <v>1</v>
      </c>
      <c r="D711" s="32">
        <v>60</v>
      </c>
      <c r="E711" s="19">
        <v>2</v>
      </c>
      <c r="F711" s="19">
        <v>1</v>
      </c>
      <c r="G711" s="33">
        <v>0.5</v>
      </c>
      <c r="H711" s="32">
        <v>30</v>
      </c>
      <c r="I711" s="32">
        <v>60</v>
      </c>
      <c r="J711" s="16" t="s">
        <v>5047</v>
      </c>
      <c r="K711" s="16" t="s">
        <v>5300</v>
      </c>
      <c r="L711" s="16" t="s">
        <v>4360</v>
      </c>
    </row>
    <row r="712" spans="1:12" ht="19.5" customHeight="1" x14ac:dyDescent="0.35">
      <c r="A712" s="16" t="s">
        <v>2963</v>
      </c>
      <c r="B712" s="16" t="s">
        <v>905</v>
      </c>
      <c r="C712" s="32">
        <v>1</v>
      </c>
      <c r="D712" s="32">
        <v>60</v>
      </c>
      <c r="E712" s="19">
        <v>1</v>
      </c>
      <c r="F712" s="19">
        <v>1</v>
      </c>
      <c r="G712" s="33">
        <v>1</v>
      </c>
      <c r="H712" s="32">
        <v>60</v>
      </c>
      <c r="I712" s="32">
        <v>60</v>
      </c>
      <c r="J712" s="16" t="s">
        <v>5301</v>
      </c>
      <c r="K712" s="16" t="s">
        <v>5302</v>
      </c>
      <c r="L712" s="16" t="s">
        <v>4772</v>
      </c>
    </row>
    <row r="713" spans="1:12" ht="19.5" customHeight="1" x14ac:dyDescent="0.35">
      <c r="A713" s="16" t="s">
        <v>2966</v>
      </c>
      <c r="B713" s="16" t="s">
        <v>921</v>
      </c>
      <c r="C713" s="32">
        <v>1</v>
      </c>
      <c r="D713" s="32">
        <v>60</v>
      </c>
      <c r="E713" s="19">
        <v>1</v>
      </c>
      <c r="F713" s="19">
        <v>1</v>
      </c>
      <c r="G713" s="33">
        <v>1</v>
      </c>
      <c r="H713" s="32">
        <v>60</v>
      </c>
      <c r="I713" s="32">
        <v>60</v>
      </c>
      <c r="J713" s="16" t="s">
        <v>4684</v>
      </c>
      <c r="K713" s="16" t="s">
        <v>5303</v>
      </c>
      <c r="L713" s="16" t="s">
        <v>4772</v>
      </c>
    </row>
    <row r="714" spans="1:12" ht="19.5" customHeight="1" x14ac:dyDescent="0.35">
      <c r="A714" s="16" t="s">
        <v>2967</v>
      </c>
      <c r="B714" s="16" t="s">
        <v>921</v>
      </c>
      <c r="C714" s="32">
        <v>1</v>
      </c>
      <c r="D714" s="32">
        <v>60</v>
      </c>
      <c r="E714" s="19">
        <v>1</v>
      </c>
      <c r="F714" s="19">
        <v>1</v>
      </c>
      <c r="G714" s="33">
        <v>1</v>
      </c>
      <c r="H714" s="32">
        <v>60</v>
      </c>
      <c r="I714" s="32">
        <v>60</v>
      </c>
      <c r="J714" s="16" t="s">
        <v>4770</v>
      </c>
      <c r="K714" s="16" t="s">
        <v>5304</v>
      </c>
      <c r="L714" s="16" t="s">
        <v>4772</v>
      </c>
    </row>
    <row r="715" spans="1:12" ht="19.5" customHeight="1" x14ac:dyDescent="0.35">
      <c r="A715" s="16" t="s">
        <v>2968</v>
      </c>
      <c r="B715" s="16" t="s">
        <v>913</v>
      </c>
      <c r="C715" s="32">
        <v>1</v>
      </c>
      <c r="D715" s="32">
        <v>60</v>
      </c>
      <c r="E715" s="19">
        <v>1</v>
      </c>
      <c r="F715" s="19">
        <v>1</v>
      </c>
      <c r="G715" s="33">
        <v>1</v>
      </c>
      <c r="H715" s="32">
        <v>60</v>
      </c>
      <c r="I715" s="32">
        <v>60</v>
      </c>
      <c r="J715" s="16" t="s">
        <v>5099</v>
      </c>
      <c r="K715" s="16" t="s">
        <v>5305</v>
      </c>
      <c r="L715" s="16" t="s">
        <v>4686</v>
      </c>
    </row>
    <row r="716" spans="1:12" ht="19.5" customHeight="1" x14ac:dyDescent="0.35">
      <c r="A716" s="16" t="s">
        <v>2969</v>
      </c>
      <c r="B716" s="16" t="s">
        <v>989</v>
      </c>
      <c r="C716" s="32">
        <v>1</v>
      </c>
      <c r="D716" s="32">
        <v>60</v>
      </c>
      <c r="E716" s="19">
        <v>1</v>
      </c>
      <c r="F716" s="19">
        <v>1</v>
      </c>
      <c r="G716" s="33">
        <v>1</v>
      </c>
      <c r="H716" s="32">
        <v>60</v>
      </c>
      <c r="I716" s="32">
        <v>60</v>
      </c>
      <c r="J716" s="16" t="s">
        <v>5220</v>
      </c>
      <c r="K716" s="16" t="s">
        <v>5221</v>
      </c>
      <c r="L716" s="16" t="s">
        <v>4871</v>
      </c>
    </row>
    <row r="717" spans="1:12" ht="19.5" customHeight="1" x14ac:dyDescent="0.35">
      <c r="A717" s="16" t="s">
        <v>2970</v>
      </c>
      <c r="B717" s="16" t="s">
        <v>2971</v>
      </c>
      <c r="C717" s="32">
        <v>1</v>
      </c>
      <c r="D717" s="32">
        <v>60</v>
      </c>
      <c r="E717" s="19">
        <v>1</v>
      </c>
      <c r="F717" s="19">
        <v>1</v>
      </c>
      <c r="G717" s="33">
        <v>1</v>
      </c>
      <c r="H717" s="32">
        <v>60</v>
      </c>
      <c r="I717" s="32">
        <v>60</v>
      </c>
      <c r="J717" s="16" t="s">
        <v>5306</v>
      </c>
      <c r="K717" s="16" t="s">
        <v>5307</v>
      </c>
      <c r="L717" s="16" t="s">
        <v>4360</v>
      </c>
    </row>
    <row r="718" spans="1:12" ht="19.5" customHeight="1" x14ac:dyDescent="0.35">
      <c r="A718" s="16" t="s">
        <v>2973</v>
      </c>
      <c r="B718" s="16" t="s">
        <v>1009</v>
      </c>
      <c r="C718" s="32">
        <v>1</v>
      </c>
      <c r="D718" s="32">
        <v>60</v>
      </c>
      <c r="E718" s="19">
        <v>1</v>
      </c>
      <c r="F718" s="19">
        <v>1</v>
      </c>
      <c r="G718" s="33">
        <v>1</v>
      </c>
      <c r="H718" s="32">
        <v>60</v>
      </c>
      <c r="I718" s="32">
        <v>60</v>
      </c>
      <c r="J718" s="16" t="s">
        <v>4927</v>
      </c>
      <c r="K718" s="16" t="s">
        <v>5308</v>
      </c>
      <c r="L718" s="16" t="s">
        <v>4673</v>
      </c>
    </row>
    <row r="719" spans="1:12" ht="19.5" customHeight="1" x14ac:dyDescent="0.35">
      <c r="A719" s="16" t="s">
        <v>2974</v>
      </c>
      <c r="B719" s="16" t="s">
        <v>959</v>
      </c>
      <c r="C719" s="32">
        <v>0.96666666666666701</v>
      </c>
      <c r="D719" s="32">
        <v>58</v>
      </c>
      <c r="E719" s="19">
        <v>4</v>
      </c>
      <c r="F719" s="19">
        <v>1</v>
      </c>
      <c r="G719" s="33">
        <v>0.25</v>
      </c>
      <c r="H719" s="32">
        <v>14.5</v>
      </c>
      <c r="I719" s="32">
        <v>58</v>
      </c>
      <c r="J719" s="16" t="s">
        <v>5309</v>
      </c>
      <c r="K719" s="16" t="s">
        <v>5310</v>
      </c>
      <c r="L719" s="16" t="s">
        <v>4686</v>
      </c>
    </row>
    <row r="720" spans="1:12" ht="19.5" customHeight="1" x14ac:dyDescent="0.35">
      <c r="A720" s="16" t="s">
        <v>2976</v>
      </c>
      <c r="B720" s="16" t="s">
        <v>913</v>
      </c>
      <c r="C720" s="32">
        <v>0.83333333333333304</v>
      </c>
      <c r="D720" s="32">
        <v>50</v>
      </c>
      <c r="E720" s="19">
        <v>1</v>
      </c>
      <c r="F720" s="19">
        <v>1</v>
      </c>
      <c r="G720" s="33">
        <v>1</v>
      </c>
      <c r="H720" s="32">
        <v>50</v>
      </c>
      <c r="I720" s="32">
        <v>50</v>
      </c>
      <c r="J720" s="16" t="s">
        <v>5099</v>
      </c>
      <c r="K720" s="16" t="s">
        <v>5311</v>
      </c>
      <c r="L720" s="16" t="s">
        <v>4772</v>
      </c>
    </row>
    <row r="721" spans="1:12" ht="19.5" customHeight="1" x14ac:dyDescent="0.35">
      <c r="A721" s="16" t="s">
        <v>2978</v>
      </c>
      <c r="B721" s="16" t="s">
        <v>909</v>
      </c>
      <c r="C721" s="32">
        <v>0.75</v>
      </c>
      <c r="D721" s="32">
        <v>45</v>
      </c>
      <c r="E721" s="19">
        <v>1</v>
      </c>
      <c r="F721" s="19">
        <v>1</v>
      </c>
      <c r="G721" s="33">
        <v>1</v>
      </c>
      <c r="H721" s="32">
        <v>45</v>
      </c>
      <c r="I721" s="32">
        <v>45</v>
      </c>
      <c r="J721" s="16" t="s">
        <v>5099</v>
      </c>
      <c r="K721" s="16" t="s">
        <v>5312</v>
      </c>
      <c r="L721" s="16" t="s">
        <v>4772</v>
      </c>
    </row>
    <row r="722" spans="1:12" ht="19.5" customHeight="1" x14ac:dyDescent="0.35">
      <c r="A722" s="16" t="s">
        <v>2979</v>
      </c>
      <c r="B722" s="16" t="s">
        <v>989</v>
      </c>
      <c r="C722" s="32">
        <v>0.75</v>
      </c>
      <c r="D722" s="32">
        <v>45</v>
      </c>
      <c r="E722" s="19">
        <v>1</v>
      </c>
      <c r="F722" s="19">
        <v>1</v>
      </c>
      <c r="G722" s="33">
        <v>1</v>
      </c>
      <c r="H722" s="32">
        <v>45</v>
      </c>
      <c r="I722" s="32">
        <v>45</v>
      </c>
      <c r="J722" s="16" t="s">
        <v>5099</v>
      </c>
      <c r="K722" s="16" t="s">
        <v>5313</v>
      </c>
      <c r="L722" s="16" t="s">
        <v>4686</v>
      </c>
    </row>
    <row r="723" spans="1:12" ht="19.5" customHeight="1" x14ac:dyDescent="0.35">
      <c r="A723" s="16" t="s">
        <v>2980</v>
      </c>
      <c r="B723" s="16" t="s">
        <v>1143</v>
      </c>
      <c r="C723" s="32">
        <v>0.75</v>
      </c>
      <c r="D723" s="32">
        <v>45</v>
      </c>
      <c r="E723" s="19">
        <v>1</v>
      </c>
      <c r="F723" s="19">
        <v>1</v>
      </c>
      <c r="G723" s="33">
        <v>1</v>
      </c>
      <c r="H723" s="32">
        <v>45</v>
      </c>
      <c r="I723" s="32">
        <v>45</v>
      </c>
      <c r="J723" s="16" t="s">
        <v>4770</v>
      </c>
      <c r="K723" s="16" t="s">
        <v>5314</v>
      </c>
      <c r="L723" s="16" t="s">
        <v>4871</v>
      </c>
    </row>
    <row r="724" spans="1:12" ht="19.5" customHeight="1" x14ac:dyDescent="0.35">
      <c r="A724" s="16" t="s">
        <v>2981</v>
      </c>
      <c r="B724" s="16" t="s">
        <v>1768</v>
      </c>
      <c r="C724" s="32">
        <v>0.66666666666666696</v>
      </c>
      <c r="D724" s="32">
        <v>40</v>
      </c>
      <c r="E724" s="19">
        <v>14</v>
      </c>
      <c r="F724" s="19">
        <v>1</v>
      </c>
      <c r="G724" s="33">
        <v>7.1428571428571397E-2</v>
      </c>
      <c r="H724" s="32">
        <v>2.8571428571428599</v>
      </c>
      <c r="I724" s="32">
        <v>40</v>
      </c>
      <c r="J724" s="16" t="s">
        <v>4997</v>
      </c>
      <c r="K724" s="16" t="s">
        <v>5315</v>
      </c>
      <c r="L724" s="16" t="s">
        <v>5088</v>
      </c>
    </row>
    <row r="725" spans="1:12" ht="19.5" customHeight="1" x14ac:dyDescent="0.35">
      <c r="A725" s="16" t="s">
        <v>2983</v>
      </c>
      <c r="B725" s="16" t="s">
        <v>913</v>
      </c>
      <c r="C725" s="32">
        <v>0.66666666666666696</v>
      </c>
      <c r="D725" s="32">
        <v>40</v>
      </c>
      <c r="E725" s="19">
        <v>1</v>
      </c>
      <c r="F725" s="19">
        <v>1</v>
      </c>
      <c r="G725" s="33">
        <v>1</v>
      </c>
      <c r="H725" s="32">
        <v>40</v>
      </c>
      <c r="I725" s="32">
        <v>40</v>
      </c>
      <c r="J725" s="16" t="s">
        <v>5316</v>
      </c>
      <c r="K725" s="16" t="s">
        <v>5317</v>
      </c>
      <c r="L725" s="16" t="s">
        <v>4871</v>
      </c>
    </row>
    <row r="726" spans="1:12" ht="19.5" customHeight="1" x14ac:dyDescent="0.35">
      <c r="A726" s="16" t="s">
        <v>2986</v>
      </c>
      <c r="B726" s="16" t="s">
        <v>996</v>
      </c>
      <c r="C726" s="32">
        <v>0.66666666666666696</v>
      </c>
      <c r="D726" s="32">
        <v>40</v>
      </c>
      <c r="E726" s="19">
        <v>1</v>
      </c>
      <c r="F726" s="19">
        <v>1</v>
      </c>
      <c r="G726" s="33">
        <v>1</v>
      </c>
      <c r="H726" s="32">
        <v>40</v>
      </c>
      <c r="I726" s="32">
        <v>40</v>
      </c>
      <c r="J726" s="16" t="s">
        <v>4684</v>
      </c>
      <c r="K726" s="16" t="s">
        <v>5318</v>
      </c>
      <c r="L726" s="16" t="s">
        <v>4871</v>
      </c>
    </row>
    <row r="727" spans="1:12" ht="19.5" customHeight="1" x14ac:dyDescent="0.35">
      <c r="A727" s="16" t="s">
        <v>2987</v>
      </c>
      <c r="B727" s="16" t="s">
        <v>946</v>
      </c>
      <c r="C727" s="32">
        <v>0.65</v>
      </c>
      <c r="D727" s="32">
        <v>39</v>
      </c>
      <c r="E727" s="19">
        <v>1</v>
      </c>
      <c r="F727" s="19">
        <v>1</v>
      </c>
      <c r="G727" s="33">
        <v>1</v>
      </c>
      <c r="H727" s="32">
        <v>39</v>
      </c>
      <c r="I727" s="32">
        <v>39</v>
      </c>
      <c r="J727" s="16" t="s">
        <v>5306</v>
      </c>
      <c r="K727" s="16" t="s">
        <v>5319</v>
      </c>
      <c r="L727" s="16" t="s">
        <v>4360</v>
      </c>
    </row>
    <row r="728" spans="1:12" ht="19.5" customHeight="1" x14ac:dyDescent="0.35">
      <c r="A728" s="16" t="s">
        <v>2988</v>
      </c>
      <c r="B728" s="16" t="s">
        <v>2602</v>
      </c>
      <c r="C728" s="32">
        <v>0.51666666666666705</v>
      </c>
      <c r="D728" s="32">
        <v>31</v>
      </c>
      <c r="E728" s="19">
        <v>17</v>
      </c>
      <c r="F728" s="19">
        <v>4</v>
      </c>
      <c r="G728" s="33">
        <v>0.23529411764705899</v>
      </c>
      <c r="H728" s="32">
        <v>1.8235294117647101</v>
      </c>
      <c r="I728" s="32">
        <v>10</v>
      </c>
      <c r="J728" s="16" t="s">
        <v>5320</v>
      </c>
      <c r="K728" s="16" t="s">
        <v>5321</v>
      </c>
      <c r="L728" s="16" t="s">
        <v>4491</v>
      </c>
    </row>
    <row r="729" spans="1:12" ht="19.5" customHeight="1" x14ac:dyDescent="0.35">
      <c r="A729" s="16" t="s">
        <v>2991</v>
      </c>
      <c r="B729" s="16" t="s">
        <v>1077</v>
      </c>
      <c r="C729" s="32">
        <v>0.5</v>
      </c>
      <c r="D729" s="32">
        <v>30</v>
      </c>
      <c r="E729" s="19">
        <v>14</v>
      </c>
      <c r="F729" s="19">
        <v>2</v>
      </c>
      <c r="G729" s="33">
        <v>0.14285714285714299</v>
      </c>
      <c r="H729" s="32">
        <v>2.1428571428571401</v>
      </c>
      <c r="I729" s="32">
        <v>30</v>
      </c>
      <c r="J729" s="16" t="s">
        <v>5322</v>
      </c>
      <c r="K729" s="16" t="s">
        <v>5323</v>
      </c>
      <c r="L729" s="16" t="s">
        <v>4360</v>
      </c>
    </row>
    <row r="730" spans="1:12" ht="19.5" customHeight="1" x14ac:dyDescent="0.35">
      <c r="A730" s="16" t="s">
        <v>2994</v>
      </c>
      <c r="B730" s="16" t="s">
        <v>921</v>
      </c>
      <c r="C730" s="32">
        <v>0.5</v>
      </c>
      <c r="D730" s="32">
        <v>30</v>
      </c>
      <c r="E730" s="19">
        <v>11</v>
      </c>
      <c r="F730" s="19">
        <v>1</v>
      </c>
      <c r="G730" s="33">
        <v>9.0909090909090898E-2</v>
      </c>
      <c r="H730" s="32">
        <v>2.7272727272727302</v>
      </c>
      <c r="I730" s="32">
        <v>30</v>
      </c>
      <c r="J730" s="16" t="s">
        <v>5324</v>
      </c>
      <c r="K730" s="16" t="s">
        <v>5325</v>
      </c>
      <c r="L730" s="16" t="s">
        <v>3924</v>
      </c>
    </row>
    <row r="731" spans="1:12" ht="19.5" customHeight="1" x14ac:dyDescent="0.35">
      <c r="A731" s="16" t="s">
        <v>2997</v>
      </c>
      <c r="B731" s="16" t="s">
        <v>2257</v>
      </c>
      <c r="C731" s="32">
        <v>0.5</v>
      </c>
      <c r="D731" s="32">
        <v>30</v>
      </c>
      <c r="E731" s="19">
        <v>11</v>
      </c>
      <c r="F731" s="19">
        <v>6</v>
      </c>
      <c r="G731" s="33">
        <v>0.54545454545454497</v>
      </c>
      <c r="H731" s="32">
        <v>2.7272727272727302</v>
      </c>
      <c r="I731" s="32">
        <v>30</v>
      </c>
      <c r="J731" s="16" t="s">
        <v>5326</v>
      </c>
      <c r="K731" s="16" t="s">
        <v>5327</v>
      </c>
      <c r="L731" s="16" t="s">
        <v>3907</v>
      </c>
    </row>
    <row r="732" spans="1:12" ht="19.5" customHeight="1" x14ac:dyDescent="0.35">
      <c r="A732" s="16" t="s">
        <v>2999</v>
      </c>
      <c r="B732" s="16" t="s">
        <v>921</v>
      </c>
      <c r="C732" s="32">
        <v>0.5</v>
      </c>
      <c r="D732" s="32">
        <v>30</v>
      </c>
      <c r="E732" s="19">
        <v>8</v>
      </c>
      <c r="F732" s="19">
        <v>1</v>
      </c>
      <c r="G732" s="33">
        <v>0.125</v>
      </c>
      <c r="H732" s="32">
        <v>3.75</v>
      </c>
      <c r="I732" s="32">
        <v>30</v>
      </c>
      <c r="J732" s="16" t="s">
        <v>5328</v>
      </c>
      <c r="K732" s="16" t="s">
        <v>5329</v>
      </c>
      <c r="L732" s="16" t="s">
        <v>3924</v>
      </c>
    </row>
    <row r="733" spans="1:12" ht="19.5" customHeight="1" x14ac:dyDescent="0.35">
      <c r="A733" s="16" t="s">
        <v>3002</v>
      </c>
      <c r="B733" s="16" t="s">
        <v>1118</v>
      </c>
      <c r="C733" s="32">
        <v>0.5</v>
      </c>
      <c r="D733" s="32">
        <v>30</v>
      </c>
      <c r="E733" s="19">
        <v>4</v>
      </c>
      <c r="F733" s="19">
        <v>3</v>
      </c>
      <c r="G733" s="33">
        <v>0.75</v>
      </c>
      <c r="H733" s="32">
        <v>7.5</v>
      </c>
      <c r="I733" s="32">
        <v>30</v>
      </c>
      <c r="J733" s="16" t="s">
        <v>5330</v>
      </c>
      <c r="K733" s="16" t="s">
        <v>5331</v>
      </c>
      <c r="L733" s="16" t="s">
        <v>3941</v>
      </c>
    </row>
    <row r="734" spans="1:12" ht="19.5" customHeight="1" x14ac:dyDescent="0.35">
      <c r="A734" s="16" t="s">
        <v>3005</v>
      </c>
      <c r="B734" s="16" t="s">
        <v>905</v>
      </c>
      <c r="C734" s="32">
        <v>0.5</v>
      </c>
      <c r="D734" s="32">
        <v>30</v>
      </c>
      <c r="E734" s="19">
        <v>4</v>
      </c>
      <c r="F734" s="19">
        <v>1</v>
      </c>
      <c r="G734" s="33">
        <v>0.25</v>
      </c>
      <c r="H734" s="32">
        <v>7.5</v>
      </c>
      <c r="I734" s="32">
        <v>30</v>
      </c>
      <c r="J734" s="16" t="s">
        <v>5053</v>
      </c>
      <c r="K734" s="16" t="s">
        <v>5332</v>
      </c>
      <c r="L734" s="16" t="s">
        <v>5294</v>
      </c>
    </row>
    <row r="735" spans="1:12" ht="19.5" customHeight="1" x14ac:dyDescent="0.35">
      <c r="A735" s="16" t="s">
        <v>3006</v>
      </c>
      <c r="B735" s="16" t="s">
        <v>989</v>
      </c>
      <c r="C735" s="32">
        <v>0.5</v>
      </c>
      <c r="D735" s="32">
        <v>30</v>
      </c>
      <c r="E735" s="19">
        <v>4</v>
      </c>
      <c r="F735" s="19">
        <v>2</v>
      </c>
      <c r="G735" s="33">
        <v>0.5</v>
      </c>
      <c r="H735" s="32">
        <v>7.5</v>
      </c>
      <c r="I735" s="32">
        <v>20</v>
      </c>
      <c r="J735" s="16" t="s">
        <v>5012</v>
      </c>
      <c r="K735" s="16" t="s">
        <v>5333</v>
      </c>
      <c r="L735" s="16" t="s">
        <v>4534</v>
      </c>
    </row>
    <row r="736" spans="1:12" ht="19.5" customHeight="1" x14ac:dyDescent="0.35">
      <c r="A736" s="16" t="s">
        <v>3007</v>
      </c>
      <c r="B736" s="16" t="s">
        <v>913</v>
      </c>
      <c r="C736" s="32">
        <v>0.5</v>
      </c>
      <c r="D736" s="32">
        <v>30</v>
      </c>
      <c r="E736" s="19">
        <v>3</v>
      </c>
      <c r="F736" s="19">
        <v>1</v>
      </c>
      <c r="G736" s="33">
        <v>0.33333333333333298</v>
      </c>
      <c r="H736" s="32">
        <v>10</v>
      </c>
      <c r="I736" s="32">
        <v>30</v>
      </c>
      <c r="J736" s="16" t="s">
        <v>5117</v>
      </c>
      <c r="K736" s="16" t="s">
        <v>5334</v>
      </c>
      <c r="L736" s="16" t="s">
        <v>4604</v>
      </c>
    </row>
    <row r="737" spans="1:12" ht="19.5" customHeight="1" x14ac:dyDescent="0.35">
      <c r="A737" s="16" t="s">
        <v>3009</v>
      </c>
      <c r="B737" s="16" t="s">
        <v>913</v>
      </c>
      <c r="C737" s="32">
        <v>0.5</v>
      </c>
      <c r="D737" s="32">
        <v>30</v>
      </c>
      <c r="E737" s="19">
        <v>3</v>
      </c>
      <c r="F737" s="19">
        <v>1</v>
      </c>
      <c r="G737" s="33">
        <v>0.33333333333333298</v>
      </c>
      <c r="H737" s="32">
        <v>10</v>
      </c>
      <c r="I737" s="32">
        <v>30</v>
      </c>
      <c r="J737" s="16" t="s">
        <v>5335</v>
      </c>
      <c r="K737" s="16" t="s">
        <v>5336</v>
      </c>
      <c r="L737" s="16" t="s">
        <v>5017</v>
      </c>
    </row>
    <row r="738" spans="1:12" ht="19.5" customHeight="1" x14ac:dyDescent="0.35">
      <c r="A738" s="16" t="s">
        <v>3011</v>
      </c>
      <c r="B738" s="16" t="s">
        <v>1143</v>
      </c>
      <c r="C738" s="32">
        <v>0.5</v>
      </c>
      <c r="D738" s="32">
        <v>30</v>
      </c>
      <c r="E738" s="19">
        <v>3</v>
      </c>
      <c r="F738" s="19">
        <v>1</v>
      </c>
      <c r="G738" s="33">
        <v>0.33333333333333298</v>
      </c>
      <c r="H738" s="32">
        <v>10</v>
      </c>
      <c r="I738" s="32">
        <v>30</v>
      </c>
      <c r="J738" s="16" t="s">
        <v>5277</v>
      </c>
      <c r="K738" s="16" t="s">
        <v>5337</v>
      </c>
      <c r="L738" s="16" t="s">
        <v>4686</v>
      </c>
    </row>
    <row r="739" spans="1:12" ht="19.5" customHeight="1" x14ac:dyDescent="0.35">
      <c r="A739" s="16" t="s">
        <v>3012</v>
      </c>
      <c r="B739" s="16" t="s">
        <v>921</v>
      </c>
      <c r="C739" s="32">
        <v>0.5</v>
      </c>
      <c r="D739" s="32">
        <v>30</v>
      </c>
      <c r="E739" s="19">
        <v>2</v>
      </c>
      <c r="F739" s="19">
        <v>1</v>
      </c>
      <c r="G739" s="33">
        <v>0.5</v>
      </c>
      <c r="H739" s="32">
        <v>15</v>
      </c>
      <c r="I739" s="32">
        <v>30</v>
      </c>
      <c r="J739" s="16" t="s">
        <v>5047</v>
      </c>
      <c r="K739" s="16" t="s">
        <v>5338</v>
      </c>
      <c r="L739" s="16" t="s">
        <v>4925</v>
      </c>
    </row>
    <row r="740" spans="1:12" ht="19.5" customHeight="1" x14ac:dyDescent="0.35">
      <c r="A740" s="16" t="s">
        <v>3014</v>
      </c>
      <c r="B740" s="16" t="s">
        <v>1157</v>
      </c>
      <c r="C740" s="32">
        <v>0.5</v>
      </c>
      <c r="D740" s="32">
        <v>30</v>
      </c>
      <c r="E740" s="19">
        <v>2</v>
      </c>
      <c r="F740" s="19">
        <v>1</v>
      </c>
      <c r="G740" s="33">
        <v>0.5</v>
      </c>
      <c r="H740" s="32">
        <v>15</v>
      </c>
      <c r="I740" s="32">
        <v>30</v>
      </c>
      <c r="J740" s="16" t="s">
        <v>5339</v>
      </c>
      <c r="K740" s="16" t="s">
        <v>5340</v>
      </c>
      <c r="L740" s="16" t="s">
        <v>4253</v>
      </c>
    </row>
    <row r="741" spans="1:12" ht="19.5" customHeight="1" x14ac:dyDescent="0.35">
      <c r="A741" s="16" t="s">
        <v>3016</v>
      </c>
      <c r="B741" s="16" t="s">
        <v>946</v>
      </c>
      <c r="C741" s="32">
        <v>0.5</v>
      </c>
      <c r="D741" s="32">
        <v>30</v>
      </c>
      <c r="E741" s="19">
        <v>1</v>
      </c>
      <c r="F741" s="19">
        <v>1</v>
      </c>
      <c r="G741" s="33">
        <v>1</v>
      </c>
      <c r="H741" s="32">
        <v>30</v>
      </c>
      <c r="I741" s="32">
        <v>30</v>
      </c>
      <c r="J741" s="16" t="s">
        <v>4770</v>
      </c>
      <c r="K741" s="16" t="s">
        <v>5341</v>
      </c>
      <c r="L741" s="16" t="s">
        <v>4772</v>
      </c>
    </row>
    <row r="742" spans="1:12" ht="19.5" customHeight="1" x14ac:dyDescent="0.35">
      <c r="A742" s="16" t="s">
        <v>3018</v>
      </c>
      <c r="B742" s="16" t="s">
        <v>2792</v>
      </c>
      <c r="C742" s="32">
        <v>0.5</v>
      </c>
      <c r="D742" s="32">
        <v>30</v>
      </c>
      <c r="E742" s="19">
        <v>1</v>
      </c>
      <c r="F742" s="19">
        <v>1</v>
      </c>
      <c r="G742" s="33">
        <v>1</v>
      </c>
      <c r="H742" s="32">
        <v>30</v>
      </c>
      <c r="I742" s="32">
        <v>30</v>
      </c>
      <c r="J742" s="16" t="s">
        <v>5067</v>
      </c>
      <c r="K742" s="16" t="s">
        <v>5342</v>
      </c>
      <c r="L742" s="16" t="s">
        <v>4772</v>
      </c>
    </row>
    <row r="743" spans="1:12" ht="19.5" customHeight="1" x14ac:dyDescent="0.35">
      <c r="A743" s="16" t="s">
        <v>3019</v>
      </c>
      <c r="B743" s="16" t="s">
        <v>973</v>
      </c>
      <c r="C743" s="32">
        <v>0.5</v>
      </c>
      <c r="D743" s="32">
        <v>30</v>
      </c>
      <c r="E743" s="19">
        <v>1</v>
      </c>
      <c r="F743" s="19">
        <v>1</v>
      </c>
      <c r="G743" s="33">
        <v>1</v>
      </c>
      <c r="H743" s="32">
        <v>30</v>
      </c>
      <c r="I743" s="32">
        <v>30</v>
      </c>
      <c r="J743" s="16" t="s">
        <v>4684</v>
      </c>
      <c r="K743" s="16" t="s">
        <v>5343</v>
      </c>
      <c r="L743" s="16" t="s">
        <v>4686</v>
      </c>
    </row>
    <row r="744" spans="1:12" ht="19.5" customHeight="1" x14ac:dyDescent="0.35">
      <c r="A744" s="16" t="s">
        <v>3020</v>
      </c>
      <c r="B744" s="16" t="s">
        <v>929</v>
      </c>
      <c r="C744" s="32">
        <v>0.5</v>
      </c>
      <c r="D744" s="32">
        <v>30</v>
      </c>
      <c r="E744" s="19">
        <v>1</v>
      </c>
      <c r="F744" s="19">
        <v>1</v>
      </c>
      <c r="G744" s="33">
        <v>1</v>
      </c>
      <c r="H744" s="32">
        <v>30</v>
      </c>
      <c r="I744" s="32">
        <v>30</v>
      </c>
      <c r="J744" s="16" t="s">
        <v>5301</v>
      </c>
      <c r="K744" s="16" t="s">
        <v>5344</v>
      </c>
      <c r="L744" s="16" t="s">
        <v>4871</v>
      </c>
    </row>
    <row r="745" spans="1:12" ht="19.5" customHeight="1" x14ac:dyDescent="0.35">
      <c r="A745" s="16" t="s">
        <v>3021</v>
      </c>
      <c r="B745" s="16" t="s">
        <v>946</v>
      </c>
      <c r="C745" s="32">
        <v>0.483333333333333</v>
      </c>
      <c r="D745" s="32">
        <v>29</v>
      </c>
      <c r="E745" s="19">
        <v>1</v>
      </c>
      <c r="F745" s="19">
        <v>1</v>
      </c>
      <c r="G745" s="33">
        <v>1</v>
      </c>
      <c r="H745" s="32">
        <v>29</v>
      </c>
      <c r="I745" s="32">
        <v>29</v>
      </c>
      <c r="J745" s="16" t="s">
        <v>4684</v>
      </c>
      <c r="K745" s="16" t="s">
        <v>5345</v>
      </c>
      <c r="L745" s="16" t="s">
        <v>4871</v>
      </c>
    </row>
    <row r="746" spans="1:12" ht="19.5" customHeight="1" x14ac:dyDescent="0.35">
      <c r="A746" s="16" t="s">
        <v>3022</v>
      </c>
      <c r="B746" s="16" t="s">
        <v>1101</v>
      </c>
      <c r="C746" s="32">
        <v>0.33333333333333298</v>
      </c>
      <c r="D746" s="32">
        <v>20</v>
      </c>
      <c r="E746" s="19">
        <v>19</v>
      </c>
      <c r="F746" s="19">
        <v>9</v>
      </c>
      <c r="G746" s="33">
        <v>0.47368421052631599</v>
      </c>
      <c r="H746" s="32">
        <v>1.0526315789473699</v>
      </c>
      <c r="I746" s="32">
        <v>20</v>
      </c>
      <c r="J746" s="16" t="s">
        <v>5346</v>
      </c>
      <c r="K746" s="16" t="s">
        <v>5347</v>
      </c>
      <c r="L746" s="16" t="s">
        <v>3907</v>
      </c>
    </row>
    <row r="747" spans="1:12" ht="19.5" customHeight="1" x14ac:dyDescent="0.35">
      <c r="A747" s="16" t="s">
        <v>3025</v>
      </c>
      <c r="B747" s="16" t="s">
        <v>1077</v>
      </c>
      <c r="C747" s="32">
        <v>0.33333333333333298</v>
      </c>
      <c r="D747" s="32">
        <v>20</v>
      </c>
      <c r="E747" s="19">
        <v>6</v>
      </c>
      <c r="F747" s="19">
        <v>1</v>
      </c>
      <c r="G747" s="33">
        <v>0.16666666666666699</v>
      </c>
      <c r="H747" s="32">
        <v>3.3333333333333299</v>
      </c>
      <c r="I747" s="32">
        <v>20</v>
      </c>
      <c r="J747" s="16" t="s">
        <v>5348</v>
      </c>
      <c r="K747" s="16" t="s">
        <v>5349</v>
      </c>
      <c r="L747" s="16" t="s">
        <v>4360</v>
      </c>
    </row>
    <row r="748" spans="1:12" ht="19.5" customHeight="1" x14ac:dyDescent="0.35">
      <c r="A748" s="16" t="s">
        <v>3028</v>
      </c>
      <c r="B748" s="16" t="s">
        <v>909</v>
      </c>
      <c r="C748" s="32">
        <v>0.33333333333333298</v>
      </c>
      <c r="D748" s="32">
        <v>20</v>
      </c>
      <c r="E748" s="19">
        <v>1</v>
      </c>
      <c r="F748" s="19">
        <v>1</v>
      </c>
      <c r="G748" s="33">
        <v>1</v>
      </c>
      <c r="H748" s="32">
        <v>20</v>
      </c>
      <c r="I748" s="32">
        <v>20</v>
      </c>
      <c r="J748" s="16" t="s">
        <v>4770</v>
      </c>
      <c r="K748" s="16" t="s">
        <v>5350</v>
      </c>
      <c r="L748" s="16" t="s">
        <v>4686</v>
      </c>
    </row>
    <row r="749" spans="1:12" ht="19.5" customHeight="1" x14ac:dyDescent="0.35">
      <c r="A749" s="16" t="s">
        <v>3030</v>
      </c>
      <c r="B749" s="16" t="s">
        <v>1143</v>
      </c>
      <c r="C749" s="32">
        <v>0.33333333333333298</v>
      </c>
      <c r="D749" s="32">
        <v>20</v>
      </c>
      <c r="E749" s="19">
        <v>1</v>
      </c>
      <c r="F749" s="19">
        <v>1</v>
      </c>
      <c r="G749" s="33">
        <v>1</v>
      </c>
      <c r="H749" s="32">
        <v>20</v>
      </c>
      <c r="I749" s="32">
        <v>20</v>
      </c>
      <c r="J749" s="16" t="s">
        <v>4770</v>
      </c>
      <c r="K749" s="16" t="s">
        <v>5351</v>
      </c>
      <c r="L749" s="16" t="s">
        <v>4360</v>
      </c>
    </row>
    <row r="750" spans="1:12" ht="19.5" customHeight="1" x14ac:dyDescent="0.35">
      <c r="A750" s="16" t="s">
        <v>3031</v>
      </c>
      <c r="B750" s="16" t="s">
        <v>1136</v>
      </c>
      <c r="C750" s="32">
        <v>0.28333333333333299</v>
      </c>
      <c r="D750" s="32">
        <v>17</v>
      </c>
      <c r="E750" s="19">
        <v>2</v>
      </c>
      <c r="F750" s="19">
        <v>1</v>
      </c>
      <c r="G750" s="33">
        <v>0.5</v>
      </c>
      <c r="H750" s="32">
        <v>8.5</v>
      </c>
      <c r="I750" s="32">
        <v>17</v>
      </c>
      <c r="J750" s="16" t="s">
        <v>5352</v>
      </c>
      <c r="K750" s="16" t="s">
        <v>5353</v>
      </c>
      <c r="L750" s="16" t="s">
        <v>4871</v>
      </c>
    </row>
    <row r="751" spans="1:12" ht="19.5" customHeight="1" x14ac:dyDescent="0.35">
      <c r="A751" s="16" t="s">
        <v>3034</v>
      </c>
      <c r="B751" s="16" t="s">
        <v>1143</v>
      </c>
      <c r="C751" s="32">
        <v>0.25</v>
      </c>
      <c r="D751" s="32">
        <v>15</v>
      </c>
      <c r="E751" s="19">
        <v>7</v>
      </c>
      <c r="F751" s="19">
        <v>1</v>
      </c>
      <c r="G751" s="33">
        <v>0.14285714285714299</v>
      </c>
      <c r="H751" s="32">
        <v>2.1428571428571401</v>
      </c>
      <c r="I751" s="32">
        <v>15</v>
      </c>
      <c r="J751" s="16" t="s">
        <v>5354</v>
      </c>
      <c r="K751" s="16" t="s">
        <v>5355</v>
      </c>
      <c r="L751" s="16" t="s">
        <v>4165</v>
      </c>
    </row>
    <row r="752" spans="1:12" ht="19.5" customHeight="1" x14ac:dyDescent="0.35">
      <c r="A752" s="16" t="s">
        <v>3037</v>
      </c>
      <c r="B752" s="16" t="s">
        <v>909</v>
      </c>
      <c r="C752" s="32">
        <v>0.233333333333333</v>
      </c>
      <c r="D752" s="32">
        <v>14</v>
      </c>
      <c r="E752" s="19">
        <v>1</v>
      </c>
      <c r="F752" s="19">
        <v>1</v>
      </c>
      <c r="G752" s="33">
        <v>1</v>
      </c>
      <c r="H752" s="32">
        <v>14</v>
      </c>
      <c r="I752" s="32">
        <v>14</v>
      </c>
      <c r="J752" s="16" t="s">
        <v>4770</v>
      </c>
      <c r="K752" s="16" t="s">
        <v>5356</v>
      </c>
      <c r="L752" s="16" t="s">
        <v>4871</v>
      </c>
    </row>
    <row r="753" spans="1:12" ht="19.5" customHeight="1" x14ac:dyDescent="0.35">
      <c r="A753" s="16" t="s">
        <v>3039</v>
      </c>
      <c r="B753" s="16" t="s">
        <v>1009</v>
      </c>
      <c r="C753" s="32">
        <v>0.16666666666666699</v>
      </c>
      <c r="D753" s="32">
        <v>10</v>
      </c>
      <c r="E753" s="19">
        <v>2</v>
      </c>
      <c r="F753" s="19">
        <v>1</v>
      </c>
      <c r="G753" s="33">
        <v>0.5</v>
      </c>
      <c r="H753" s="32">
        <v>5</v>
      </c>
      <c r="I753" s="32">
        <v>10</v>
      </c>
      <c r="J753" s="16" t="s">
        <v>5193</v>
      </c>
      <c r="K753" s="16" t="s">
        <v>5357</v>
      </c>
      <c r="L753" s="16" t="s">
        <v>4925</v>
      </c>
    </row>
    <row r="754" spans="1:12" ht="19.5" customHeight="1" x14ac:dyDescent="0.35">
      <c r="A754" s="16" t="s">
        <v>3041</v>
      </c>
      <c r="B754" s="16" t="s">
        <v>1240</v>
      </c>
      <c r="C754" s="32">
        <v>0.16666666666666699</v>
      </c>
      <c r="D754" s="32">
        <v>10</v>
      </c>
      <c r="E754" s="19">
        <v>1</v>
      </c>
      <c r="F754" s="19">
        <v>1</v>
      </c>
      <c r="G754" s="33">
        <v>1</v>
      </c>
      <c r="H754" s="32">
        <v>10</v>
      </c>
      <c r="I754" s="32">
        <v>10</v>
      </c>
      <c r="J754" s="16" t="s">
        <v>5220</v>
      </c>
      <c r="K754" s="16" t="s">
        <v>5358</v>
      </c>
      <c r="L754" s="16" t="s">
        <v>4686</v>
      </c>
    </row>
    <row r="755" spans="1:12" ht="19.5" customHeight="1" x14ac:dyDescent="0.35">
      <c r="A755" s="16" t="s">
        <v>3042</v>
      </c>
      <c r="B755" s="16" t="s">
        <v>946</v>
      </c>
      <c r="C755" s="32">
        <v>0.133333333333333</v>
      </c>
      <c r="D755" s="32">
        <v>8</v>
      </c>
      <c r="E755" s="19">
        <v>1</v>
      </c>
      <c r="F755" s="19">
        <v>1</v>
      </c>
      <c r="G755" s="33">
        <v>1</v>
      </c>
      <c r="H755" s="32">
        <v>8</v>
      </c>
      <c r="I755" s="32">
        <v>8</v>
      </c>
      <c r="J755" s="16" t="s">
        <v>5359</v>
      </c>
      <c r="K755" s="16" t="s">
        <v>5360</v>
      </c>
      <c r="L755" s="16" t="s">
        <v>4360</v>
      </c>
    </row>
    <row r="756" spans="1:12" ht="19.5" customHeight="1" x14ac:dyDescent="0.35">
      <c r="A756" s="16" t="s">
        <v>3045</v>
      </c>
      <c r="B756" s="16" t="s">
        <v>1582</v>
      </c>
      <c r="C756" s="32">
        <v>8.3333333333333301E-2</v>
      </c>
      <c r="D756" s="32">
        <v>5</v>
      </c>
      <c r="E756" s="19">
        <v>3</v>
      </c>
      <c r="F756" s="19">
        <v>1</v>
      </c>
      <c r="G756" s="33">
        <v>0.33333333333333298</v>
      </c>
      <c r="H756" s="32">
        <v>1.6666666666666701</v>
      </c>
      <c r="I756" s="32">
        <v>5</v>
      </c>
      <c r="J756" s="16" t="s">
        <v>4856</v>
      </c>
      <c r="K756" s="16" t="s">
        <v>5361</v>
      </c>
      <c r="L756" s="16" t="s">
        <v>4673</v>
      </c>
    </row>
    <row r="757" spans="1:12" ht="19.5" customHeight="1" x14ac:dyDescent="0.35">
      <c r="A757" s="16" t="s">
        <v>3047</v>
      </c>
      <c r="B757" s="16" t="s">
        <v>905</v>
      </c>
      <c r="C757" s="32">
        <v>8.3333333333333301E-2</v>
      </c>
      <c r="D757" s="32">
        <v>5</v>
      </c>
      <c r="E757" s="19">
        <v>2</v>
      </c>
      <c r="F757" s="19">
        <v>1</v>
      </c>
      <c r="G757" s="33">
        <v>0.5</v>
      </c>
      <c r="H757" s="32">
        <v>2.5</v>
      </c>
      <c r="I757" s="32">
        <v>5</v>
      </c>
      <c r="J757" s="16" t="s">
        <v>5362</v>
      </c>
      <c r="K757" s="16" t="s">
        <v>5363</v>
      </c>
      <c r="L757" s="16" t="s">
        <v>4253</v>
      </c>
    </row>
    <row r="758" spans="1:12" ht="19.5" customHeight="1" x14ac:dyDescent="0.35">
      <c r="A758" s="16" t="s">
        <v>3050</v>
      </c>
      <c r="B758" s="16" t="s">
        <v>929</v>
      </c>
      <c r="C758" s="32">
        <v>8.3333333333333301E-2</v>
      </c>
      <c r="D758" s="32">
        <v>5</v>
      </c>
      <c r="E758" s="19">
        <v>1</v>
      </c>
      <c r="F758" s="19">
        <v>1</v>
      </c>
      <c r="G758" s="33">
        <v>1</v>
      </c>
      <c r="H758" s="32">
        <v>5</v>
      </c>
      <c r="I758" s="32">
        <v>5</v>
      </c>
      <c r="J758" s="16" t="s">
        <v>4684</v>
      </c>
      <c r="K758" s="16" t="s">
        <v>5364</v>
      </c>
      <c r="L758" s="16" t="s">
        <v>4772</v>
      </c>
    </row>
    <row r="759" spans="1:12" ht="19.5" customHeight="1" x14ac:dyDescent="0.35">
      <c r="A759" s="16" t="s">
        <v>3051</v>
      </c>
      <c r="B759" s="16" t="s">
        <v>3052</v>
      </c>
      <c r="C759" s="32">
        <v>8.3333333333333301E-2</v>
      </c>
      <c r="D759" s="32">
        <v>5</v>
      </c>
      <c r="E759" s="19">
        <v>1</v>
      </c>
      <c r="F759" s="19">
        <v>1</v>
      </c>
      <c r="G759" s="33">
        <v>1</v>
      </c>
      <c r="H759" s="32">
        <v>5</v>
      </c>
      <c r="I759" s="32">
        <v>5</v>
      </c>
      <c r="J759" s="16" t="s">
        <v>4770</v>
      </c>
      <c r="K759" s="16" t="s">
        <v>5365</v>
      </c>
      <c r="L759" s="16" t="s">
        <v>4360</v>
      </c>
    </row>
    <row r="760" spans="1:12" ht="19.5" customHeight="1" x14ac:dyDescent="0.35">
      <c r="A760" s="16" t="s">
        <v>3053</v>
      </c>
      <c r="B760" s="16" t="s">
        <v>1212</v>
      </c>
      <c r="C760" s="32">
        <v>8.3333333333333301E-2</v>
      </c>
      <c r="D760" s="32">
        <v>5</v>
      </c>
      <c r="E760" s="19">
        <v>1</v>
      </c>
      <c r="F760" s="19">
        <v>1</v>
      </c>
      <c r="G760" s="33">
        <v>1</v>
      </c>
      <c r="H760" s="32">
        <v>5</v>
      </c>
      <c r="I760" s="32">
        <v>5</v>
      </c>
      <c r="J760" s="16" t="s">
        <v>4684</v>
      </c>
      <c r="K760" s="16" t="s">
        <v>5366</v>
      </c>
      <c r="L760" s="16" t="s">
        <v>4673</v>
      </c>
    </row>
    <row r="761" spans="1:12" ht="19.5" customHeight="1" x14ac:dyDescent="0.35">
      <c r="A761" s="16" t="s">
        <v>3054</v>
      </c>
      <c r="B761" s="16" t="s">
        <v>2598</v>
      </c>
      <c r="C761" s="32">
        <v>1.6666666666666701E-2</v>
      </c>
      <c r="D761" s="32">
        <v>1</v>
      </c>
      <c r="E761" s="19">
        <v>11</v>
      </c>
      <c r="F761" s="19">
        <v>4</v>
      </c>
      <c r="G761" s="33">
        <v>0.36363636363636398</v>
      </c>
      <c r="H761" s="32">
        <v>9.0909090909090898E-2</v>
      </c>
      <c r="I761" s="32">
        <v>1</v>
      </c>
      <c r="J761" s="16" t="s">
        <v>5367</v>
      </c>
      <c r="K761" s="16" t="s">
        <v>5368</v>
      </c>
      <c r="L761" s="16" t="s">
        <v>5369</v>
      </c>
    </row>
    <row r="762" spans="1:12" ht="19.5" customHeight="1" x14ac:dyDescent="0.35">
      <c r="A762" s="16" t="s">
        <v>3057</v>
      </c>
      <c r="B762" s="16" t="s">
        <v>1118</v>
      </c>
      <c r="C762" s="32">
        <v>1.6666666666666701E-2</v>
      </c>
      <c r="D762" s="32">
        <v>1</v>
      </c>
      <c r="E762" s="19">
        <v>7</v>
      </c>
      <c r="F762" s="19">
        <v>2</v>
      </c>
      <c r="G762" s="33">
        <v>0.28571428571428598</v>
      </c>
      <c r="H762" s="32">
        <v>0.14285714285714299</v>
      </c>
      <c r="I762" s="32">
        <v>1</v>
      </c>
      <c r="J762" s="16" t="s">
        <v>5370</v>
      </c>
      <c r="K762" s="16" t="s">
        <v>5371</v>
      </c>
      <c r="L762" s="16" t="s">
        <v>4253</v>
      </c>
    </row>
    <row r="763" spans="1:12" ht="19.5" customHeight="1" x14ac:dyDescent="0.35">
      <c r="A763" s="16" t="s">
        <v>3060</v>
      </c>
      <c r="B763" s="16" t="s">
        <v>3061</v>
      </c>
      <c r="C763" s="32">
        <v>1.6666666666666701E-2</v>
      </c>
      <c r="D763" s="32">
        <v>1</v>
      </c>
      <c r="E763" s="19">
        <v>3</v>
      </c>
      <c r="F763" s="19">
        <v>2</v>
      </c>
      <c r="G763" s="33">
        <v>0.66666666666666696</v>
      </c>
      <c r="H763" s="32">
        <v>0.33333333333333298</v>
      </c>
      <c r="I763" s="32">
        <v>1</v>
      </c>
      <c r="J763" s="16" t="s">
        <v>5372</v>
      </c>
      <c r="K763" s="16" t="s">
        <v>5373</v>
      </c>
      <c r="L763" s="16" t="s">
        <v>4905</v>
      </c>
    </row>
    <row r="764" spans="1:12" ht="19.5" customHeight="1" x14ac:dyDescent="0.35">
      <c r="A764" s="16" t="s">
        <v>3064</v>
      </c>
      <c r="B764" s="16" t="s">
        <v>1690</v>
      </c>
      <c r="C764" s="32">
        <v>1.6666666666666701E-2</v>
      </c>
      <c r="D764" s="32">
        <v>1</v>
      </c>
      <c r="E764" s="19">
        <v>2</v>
      </c>
      <c r="F764" s="19">
        <v>1</v>
      </c>
      <c r="G764" s="33">
        <v>0.5</v>
      </c>
      <c r="H764" s="32">
        <v>0.5</v>
      </c>
      <c r="I764" s="32">
        <v>1</v>
      </c>
      <c r="J764" s="16" t="s">
        <v>5374</v>
      </c>
      <c r="K764" s="16" t="s">
        <v>5375</v>
      </c>
      <c r="L764" s="16" t="s">
        <v>5294</v>
      </c>
    </row>
    <row r="765" spans="1:12" ht="19.5" customHeight="1" x14ac:dyDescent="0.35">
      <c r="A765" s="16" t="s">
        <v>3067</v>
      </c>
      <c r="B765" s="16" t="s">
        <v>1690</v>
      </c>
      <c r="C765" s="32">
        <v>1.6666666666666701E-2</v>
      </c>
      <c r="D765" s="32">
        <v>1</v>
      </c>
      <c r="E765" s="19">
        <v>2</v>
      </c>
      <c r="F765" s="19">
        <v>1</v>
      </c>
      <c r="G765" s="33">
        <v>0.5</v>
      </c>
      <c r="H765" s="32">
        <v>0.5</v>
      </c>
      <c r="I765" s="32">
        <v>1</v>
      </c>
      <c r="J765" s="16" t="s">
        <v>5376</v>
      </c>
      <c r="K765" s="16" t="s">
        <v>5377</v>
      </c>
      <c r="L765" s="16" t="s">
        <v>4360</v>
      </c>
    </row>
    <row r="766" spans="1:12" ht="19.5" customHeight="1" x14ac:dyDescent="0.35">
      <c r="A766" s="16" t="s">
        <v>3069</v>
      </c>
      <c r="B766" s="16" t="s">
        <v>1143</v>
      </c>
      <c r="C766" s="32">
        <v>1.6666666666666701E-2</v>
      </c>
      <c r="D766" s="32">
        <v>1</v>
      </c>
      <c r="E766" s="19">
        <v>1</v>
      </c>
      <c r="F766" s="19">
        <v>1</v>
      </c>
      <c r="G766" s="33">
        <v>1</v>
      </c>
      <c r="H766" s="32">
        <v>1</v>
      </c>
      <c r="I766" s="32">
        <v>1</v>
      </c>
      <c r="J766" s="16" t="s">
        <v>4770</v>
      </c>
      <c r="K766" s="16" t="s">
        <v>5378</v>
      </c>
      <c r="L766" s="16" t="s">
        <v>4673</v>
      </c>
    </row>
    <row r="767" spans="1:12" ht="19.5" customHeight="1" x14ac:dyDescent="0.35">
      <c r="A767" s="16" t="s">
        <v>3071</v>
      </c>
      <c r="B767" s="16" t="s">
        <v>1494</v>
      </c>
      <c r="C767" s="32">
        <v>0</v>
      </c>
      <c r="D767" s="32">
        <v>0</v>
      </c>
      <c r="E767" s="19">
        <v>17</v>
      </c>
      <c r="F767" s="19">
        <v>0</v>
      </c>
      <c r="G767" s="33">
        <v>0</v>
      </c>
      <c r="H767" s="32">
        <v>0</v>
      </c>
      <c r="I767" s="32">
        <v>0</v>
      </c>
      <c r="J767" s="16" t="s">
        <v>5379</v>
      </c>
      <c r="K767" s="16" t="s">
        <v>5380</v>
      </c>
      <c r="L767" s="16" t="s">
        <v>5088</v>
      </c>
    </row>
    <row r="768" spans="1:12" ht="19.5" customHeight="1" x14ac:dyDescent="0.35">
      <c r="A768" s="16" t="s">
        <v>3074</v>
      </c>
      <c r="B768" s="16" t="s">
        <v>1122</v>
      </c>
      <c r="C768" s="32">
        <v>0</v>
      </c>
      <c r="D768" s="32">
        <v>0</v>
      </c>
      <c r="E768" s="19">
        <v>16</v>
      </c>
      <c r="F768" s="19">
        <v>0</v>
      </c>
      <c r="G768" s="33">
        <v>0</v>
      </c>
      <c r="H768" s="32">
        <v>0</v>
      </c>
      <c r="I768" s="32">
        <v>0</v>
      </c>
      <c r="J768" s="16" t="s">
        <v>5381</v>
      </c>
      <c r="K768" s="16" t="s">
        <v>5382</v>
      </c>
      <c r="L768" s="16" t="s">
        <v>3907</v>
      </c>
    </row>
    <row r="769" spans="1:12" ht="19.5" customHeight="1" x14ac:dyDescent="0.35">
      <c r="A769" s="16" t="s">
        <v>3077</v>
      </c>
      <c r="B769" s="16" t="s">
        <v>2598</v>
      </c>
      <c r="C769" s="32">
        <v>0</v>
      </c>
      <c r="D769" s="32">
        <v>0</v>
      </c>
      <c r="E769" s="19">
        <v>15</v>
      </c>
      <c r="F769" s="19">
        <v>6</v>
      </c>
      <c r="G769" s="33">
        <v>0.4</v>
      </c>
      <c r="H769" s="32">
        <v>0</v>
      </c>
      <c r="I769" s="32">
        <v>0</v>
      </c>
      <c r="J769" s="16" t="s">
        <v>5383</v>
      </c>
      <c r="K769" s="16" t="s">
        <v>5384</v>
      </c>
      <c r="L769" s="16" t="s">
        <v>3907</v>
      </c>
    </row>
    <row r="770" spans="1:12" ht="19.5" customHeight="1" x14ac:dyDescent="0.35">
      <c r="A770" s="16" t="s">
        <v>3080</v>
      </c>
      <c r="B770" s="16" t="s">
        <v>1690</v>
      </c>
      <c r="C770" s="32">
        <v>0</v>
      </c>
      <c r="D770" s="32">
        <v>0</v>
      </c>
      <c r="E770" s="19">
        <v>14</v>
      </c>
      <c r="F770" s="19">
        <v>0</v>
      </c>
      <c r="G770" s="33">
        <v>0</v>
      </c>
      <c r="H770" s="32">
        <v>0</v>
      </c>
      <c r="I770" s="32">
        <v>0</v>
      </c>
      <c r="J770" s="16" t="s">
        <v>5385</v>
      </c>
      <c r="K770" s="16" t="s">
        <v>5386</v>
      </c>
      <c r="L770" s="16" t="s">
        <v>3924</v>
      </c>
    </row>
    <row r="771" spans="1:12" ht="19.5" customHeight="1" x14ac:dyDescent="0.35">
      <c r="A771" s="16" t="s">
        <v>3083</v>
      </c>
      <c r="B771" s="16" t="s">
        <v>1077</v>
      </c>
      <c r="C771" s="32">
        <v>0</v>
      </c>
      <c r="D771" s="32">
        <v>0</v>
      </c>
      <c r="E771" s="19">
        <v>14</v>
      </c>
      <c r="F771" s="19">
        <v>0</v>
      </c>
      <c r="G771" s="33">
        <v>0</v>
      </c>
      <c r="H771" s="32">
        <v>0</v>
      </c>
      <c r="I771" s="32">
        <v>0</v>
      </c>
      <c r="J771" s="16" t="s">
        <v>5387</v>
      </c>
      <c r="K771" s="16" t="s">
        <v>5388</v>
      </c>
      <c r="L771" s="16" t="s">
        <v>4360</v>
      </c>
    </row>
    <row r="772" spans="1:12" ht="19.5" customHeight="1" x14ac:dyDescent="0.35">
      <c r="A772" s="16" t="s">
        <v>3085</v>
      </c>
      <c r="B772" s="16" t="s">
        <v>2598</v>
      </c>
      <c r="C772" s="32">
        <v>0</v>
      </c>
      <c r="D772" s="32">
        <v>0</v>
      </c>
      <c r="E772" s="19">
        <v>13</v>
      </c>
      <c r="F772" s="19">
        <v>2</v>
      </c>
      <c r="G772" s="33">
        <v>0.15384615384615399</v>
      </c>
      <c r="H772" s="32">
        <v>0</v>
      </c>
      <c r="I772" s="32">
        <v>0</v>
      </c>
      <c r="J772" s="16" t="s">
        <v>5389</v>
      </c>
      <c r="K772" s="16" t="s">
        <v>5390</v>
      </c>
      <c r="L772" s="16" t="s">
        <v>3907</v>
      </c>
    </row>
    <row r="773" spans="1:12" ht="19.5" customHeight="1" x14ac:dyDescent="0.35">
      <c r="A773" s="16" t="s">
        <v>3088</v>
      </c>
      <c r="B773" s="16" t="s">
        <v>1077</v>
      </c>
      <c r="C773" s="32">
        <v>0</v>
      </c>
      <c r="D773" s="32">
        <v>0</v>
      </c>
      <c r="E773" s="19">
        <v>12</v>
      </c>
      <c r="F773" s="19">
        <v>0</v>
      </c>
      <c r="G773" s="33">
        <v>0</v>
      </c>
      <c r="H773" s="32">
        <v>0</v>
      </c>
      <c r="I773" s="32">
        <v>0</v>
      </c>
      <c r="J773" s="16" t="s">
        <v>5391</v>
      </c>
      <c r="K773" s="16" t="s">
        <v>5392</v>
      </c>
      <c r="L773" s="16" t="s">
        <v>3941</v>
      </c>
    </row>
    <row r="774" spans="1:12" ht="19.5" customHeight="1" x14ac:dyDescent="0.35">
      <c r="A774" s="16" t="s">
        <v>3091</v>
      </c>
      <c r="B774" s="16" t="s">
        <v>942</v>
      </c>
      <c r="C774" s="32">
        <v>0</v>
      </c>
      <c r="D774" s="32">
        <v>0</v>
      </c>
      <c r="E774" s="19">
        <v>12</v>
      </c>
      <c r="F774" s="19">
        <v>0</v>
      </c>
      <c r="G774" s="33">
        <v>0</v>
      </c>
      <c r="H774" s="32">
        <v>0</v>
      </c>
      <c r="I774" s="32">
        <v>0</v>
      </c>
      <c r="J774" s="16" t="s">
        <v>5393</v>
      </c>
      <c r="K774" s="16" t="s">
        <v>5394</v>
      </c>
      <c r="L774" s="16" t="s">
        <v>3907</v>
      </c>
    </row>
    <row r="775" spans="1:12" ht="19.5" customHeight="1" x14ac:dyDescent="0.35">
      <c r="A775" s="16" t="s">
        <v>3093</v>
      </c>
      <c r="B775" s="16" t="s">
        <v>1122</v>
      </c>
      <c r="C775" s="32">
        <v>0</v>
      </c>
      <c r="D775" s="32">
        <v>0</v>
      </c>
      <c r="E775" s="19">
        <v>12</v>
      </c>
      <c r="F775" s="19">
        <v>0</v>
      </c>
      <c r="G775" s="33">
        <v>0</v>
      </c>
      <c r="H775" s="32">
        <v>0</v>
      </c>
      <c r="I775" s="32">
        <v>0</v>
      </c>
      <c r="J775" s="16" t="s">
        <v>5395</v>
      </c>
      <c r="K775" s="16" t="s">
        <v>5396</v>
      </c>
      <c r="L775" s="16" t="s">
        <v>3907</v>
      </c>
    </row>
    <row r="776" spans="1:12" ht="19.5" customHeight="1" x14ac:dyDescent="0.35">
      <c r="A776" s="16" t="s">
        <v>3095</v>
      </c>
      <c r="B776" s="16" t="s">
        <v>1122</v>
      </c>
      <c r="C776" s="32">
        <v>0</v>
      </c>
      <c r="D776" s="32">
        <v>0</v>
      </c>
      <c r="E776" s="19">
        <v>12</v>
      </c>
      <c r="F776" s="19">
        <v>0</v>
      </c>
      <c r="G776" s="33">
        <v>0</v>
      </c>
      <c r="H776" s="32">
        <v>0</v>
      </c>
      <c r="I776" s="32">
        <v>0</v>
      </c>
      <c r="J776" s="16" t="s">
        <v>5397</v>
      </c>
      <c r="K776" s="16" t="s">
        <v>5398</v>
      </c>
      <c r="L776" s="16" t="s">
        <v>3924</v>
      </c>
    </row>
    <row r="777" spans="1:12" ht="19.5" customHeight="1" x14ac:dyDescent="0.35">
      <c r="A777" s="16" t="s">
        <v>3097</v>
      </c>
      <c r="B777" s="16" t="s">
        <v>1299</v>
      </c>
      <c r="C777" s="32">
        <v>0</v>
      </c>
      <c r="D777" s="32">
        <v>0</v>
      </c>
      <c r="E777" s="19">
        <v>11</v>
      </c>
      <c r="F777" s="19">
        <v>0</v>
      </c>
      <c r="G777" s="33">
        <v>0</v>
      </c>
      <c r="H777" s="32">
        <v>0</v>
      </c>
      <c r="I777" s="32">
        <v>0</v>
      </c>
      <c r="J777" s="16" t="s">
        <v>5399</v>
      </c>
      <c r="K777" s="16" t="s">
        <v>5400</v>
      </c>
      <c r="L777" s="16" t="s">
        <v>3941</v>
      </c>
    </row>
    <row r="778" spans="1:12" ht="19.5" customHeight="1" x14ac:dyDescent="0.35">
      <c r="A778" s="16" t="s">
        <v>3099</v>
      </c>
      <c r="B778" s="16" t="s">
        <v>1122</v>
      </c>
      <c r="C778" s="32">
        <v>0</v>
      </c>
      <c r="D778" s="32">
        <v>0</v>
      </c>
      <c r="E778" s="19">
        <v>11</v>
      </c>
      <c r="F778" s="19">
        <v>0</v>
      </c>
      <c r="G778" s="33">
        <v>0</v>
      </c>
      <c r="H778" s="32">
        <v>0</v>
      </c>
      <c r="I778" s="32">
        <v>0</v>
      </c>
      <c r="J778" s="16" t="s">
        <v>5401</v>
      </c>
      <c r="K778" s="16" t="s">
        <v>5402</v>
      </c>
      <c r="L778" s="16" t="s">
        <v>3924</v>
      </c>
    </row>
    <row r="779" spans="1:12" ht="19.5" customHeight="1" x14ac:dyDescent="0.35">
      <c r="A779" s="16" t="s">
        <v>3101</v>
      </c>
      <c r="B779" s="16" t="s">
        <v>1077</v>
      </c>
      <c r="C779" s="32">
        <v>0</v>
      </c>
      <c r="D779" s="32">
        <v>0</v>
      </c>
      <c r="E779" s="19">
        <v>10</v>
      </c>
      <c r="F779" s="19">
        <v>0</v>
      </c>
      <c r="G779" s="33">
        <v>0</v>
      </c>
      <c r="H779" s="32">
        <v>0</v>
      </c>
      <c r="I779" s="32">
        <v>0</v>
      </c>
      <c r="J779" s="16" t="s">
        <v>5403</v>
      </c>
      <c r="K779" s="16" t="s">
        <v>5404</v>
      </c>
      <c r="L779" s="16" t="s">
        <v>3924</v>
      </c>
    </row>
    <row r="780" spans="1:12" ht="19.5" customHeight="1" x14ac:dyDescent="0.35">
      <c r="A780" s="16" t="s">
        <v>3104</v>
      </c>
      <c r="B780" s="16" t="s">
        <v>921</v>
      </c>
      <c r="C780" s="32">
        <v>0</v>
      </c>
      <c r="D780" s="32">
        <v>0</v>
      </c>
      <c r="E780" s="19">
        <v>10</v>
      </c>
      <c r="F780" s="19">
        <v>0</v>
      </c>
      <c r="G780" s="33">
        <v>0</v>
      </c>
      <c r="H780" s="32">
        <v>0</v>
      </c>
      <c r="I780" s="32">
        <v>0</v>
      </c>
      <c r="J780" s="16" t="s">
        <v>5405</v>
      </c>
      <c r="K780" s="16" t="s">
        <v>5406</v>
      </c>
      <c r="L780" s="16" t="s">
        <v>3924</v>
      </c>
    </row>
    <row r="781" spans="1:12" ht="19.5" customHeight="1" x14ac:dyDescent="0.35">
      <c r="A781" s="16" t="s">
        <v>3106</v>
      </c>
      <c r="B781" s="16" t="s">
        <v>2257</v>
      </c>
      <c r="C781" s="32">
        <v>0</v>
      </c>
      <c r="D781" s="32">
        <v>0</v>
      </c>
      <c r="E781" s="19">
        <v>10</v>
      </c>
      <c r="F781" s="19">
        <v>4</v>
      </c>
      <c r="G781" s="33">
        <v>0.4</v>
      </c>
      <c r="H781" s="32">
        <v>0</v>
      </c>
      <c r="I781" s="32">
        <v>0</v>
      </c>
      <c r="J781" s="16" t="s">
        <v>5407</v>
      </c>
      <c r="K781" s="16" t="s">
        <v>5408</v>
      </c>
      <c r="L781" s="16" t="s">
        <v>5088</v>
      </c>
    </row>
    <row r="782" spans="1:12" ht="19.5" customHeight="1" x14ac:dyDescent="0.35">
      <c r="A782" s="16" t="s">
        <v>3108</v>
      </c>
      <c r="B782" s="16" t="s">
        <v>1077</v>
      </c>
      <c r="C782" s="32">
        <v>0</v>
      </c>
      <c r="D782" s="32">
        <v>0</v>
      </c>
      <c r="E782" s="19">
        <v>10</v>
      </c>
      <c r="F782" s="19">
        <v>0</v>
      </c>
      <c r="G782" s="33">
        <v>0</v>
      </c>
      <c r="H782" s="32">
        <v>0</v>
      </c>
      <c r="I782" s="32">
        <v>0</v>
      </c>
      <c r="J782" s="16" t="s">
        <v>5409</v>
      </c>
      <c r="K782" s="16" t="s">
        <v>5410</v>
      </c>
      <c r="L782" s="16" t="s">
        <v>4360</v>
      </c>
    </row>
    <row r="783" spans="1:12" ht="19.5" customHeight="1" x14ac:dyDescent="0.35">
      <c r="A783" s="16" t="s">
        <v>3110</v>
      </c>
      <c r="B783" s="16" t="s">
        <v>1077</v>
      </c>
      <c r="C783" s="32">
        <v>0</v>
      </c>
      <c r="D783" s="32">
        <v>0</v>
      </c>
      <c r="E783" s="19">
        <v>10</v>
      </c>
      <c r="F783" s="19">
        <v>0</v>
      </c>
      <c r="G783" s="33">
        <v>0</v>
      </c>
      <c r="H783" s="32">
        <v>0</v>
      </c>
      <c r="I783" s="32">
        <v>0</v>
      </c>
      <c r="J783" s="16" t="s">
        <v>5411</v>
      </c>
      <c r="K783" s="16" t="s">
        <v>5412</v>
      </c>
      <c r="L783" s="16" t="s">
        <v>4360</v>
      </c>
    </row>
    <row r="784" spans="1:12" ht="19.5" customHeight="1" x14ac:dyDescent="0.35">
      <c r="A784" s="16" t="s">
        <v>3112</v>
      </c>
      <c r="B784" s="16" t="s">
        <v>1077</v>
      </c>
      <c r="C784" s="32">
        <v>0</v>
      </c>
      <c r="D784" s="32">
        <v>0</v>
      </c>
      <c r="E784" s="19">
        <v>9</v>
      </c>
      <c r="F784" s="19">
        <v>0</v>
      </c>
      <c r="G784" s="33">
        <v>0</v>
      </c>
      <c r="H784" s="32">
        <v>0</v>
      </c>
      <c r="I784" s="32">
        <v>0</v>
      </c>
      <c r="J784" s="16" t="s">
        <v>5413</v>
      </c>
      <c r="K784" s="16" t="s">
        <v>5414</v>
      </c>
      <c r="L784" s="16" t="s">
        <v>4253</v>
      </c>
    </row>
    <row r="785" spans="1:12" ht="19.5" customHeight="1" x14ac:dyDescent="0.35">
      <c r="A785" s="16" t="s">
        <v>3115</v>
      </c>
      <c r="B785" s="16" t="s">
        <v>963</v>
      </c>
      <c r="C785" s="32">
        <v>0</v>
      </c>
      <c r="D785" s="32">
        <v>0</v>
      </c>
      <c r="E785" s="19">
        <v>9</v>
      </c>
      <c r="F785" s="19">
        <v>0</v>
      </c>
      <c r="G785" s="33">
        <v>0</v>
      </c>
      <c r="H785" s="32">
        <v>0</v>
      </c>
      <c r="I785" s="32">
        <v>0</v>
      </c>
      <c r="J785" s="16" t="s">
        <v>5415</v>
      </c>
      <c r="K785" s="16" t="s">
        <v>5416</v>
      </c>
      <c r="L785" s="16" t="s">
        <v>5088</v>
      </c>
    </row>
    <row r="786" spans="1:12" ht="19.5" customHeight="1" x14ac:dyDescent="0.35">
      <c r="A786" s="16" t="s">
        <v>3117</v>
      </c>
      <c r="B786" s="16" t="s">
        <v>921</v>
      </c>
      <c r="C786" s="32">
        <v>0</v>
      </c>
      <c r="D786" s="32">
        <v>0</v>
      </c>
      <c r="E786" s="19">
        <v>9</v>
      </c>
      <c r="F786" s="19">
        <v>0</v>
      </c>
      <c r="G786" s="33">
        <v>0</v>
      </c>
      <c r="H786" s="32">
        <v>0</v>
      </c>
      <c r="I786" s="32">
        <v>0</v>
      </c>
      <c r="J786" s="16" t="s">
        <v>5417</v>
      </c>
      <c r="K786" s="16" t="s">
        <v>5418</v>
      </c>
      <c r="L786" s="16" t="s">
        <v>4763</v>
      </c>
    </row>
    <row r="787" spans="1:12" ht="19.5" customHeight="1" x14ac:dyDescent="0.35">
      <c r="A787" s="16" t="s">
        <v>3119</v>
      </c>
      <c r="B787" s="16" t="s">
        <v>1077</v>
      </c>
      <c r="C787" s="32">
        <v>0</v>
      </c>
      <c r="D787" s="32">
        <v>0</v>
      </c>
      <c r="E787" s="19">
        <v>9</v>
      </c>
      <c r="F787" s="19">
        <v>0</v>
      </c>
      <c r="G787" s="33">
        <v>0</v>
      </c>
      <c r="H787" s="32">
        <v>0</v>
      </c>
      <c r="I787" s="32">
        <v>0</v>
      </c>
      <c r="J787" s="16" t="s">
        <v>5419</v>
      </c>
      <c r="K787" s="16" t="s">
        <v>5420</v>
      </c>
      <c r="L787" s="16" t="s">
        <v>4360</v>
      </c>
    </row>
    <row r="788" spans="1:12" ht="19.5" customHeight="1" x14ac:dyDescent="0.35">
      <c r="A788" s="16" t="s">
        <v>3121</v>
      </c>
      <c r="B788" s="16" t="s">
        <v>1494</v>
      </c>
      <c r="C788" s="32">
        <v>0</v>
      </c>
      <c r="D788" s="32">
        <v>0</v>
      </c>
      <c r="E788" s="19">
        <v>9</v>
      </c>
      <c r="F788" s="19">
        <v>0</v>
      </c>
      <c r="G788" s="33">
        <v>0</v>
      </c>
      <c r="H788" s="32">
        <v>0</v>
      </c>
      <c r="I788" s="32">
        <v>0</v>
      </c>
      <c r="J788" s="16" t="s">
        <v>4582</v>
      </c>
      <c r="K788" s="16" t="s">
        <v>5421</v>
      </c>
      <c r="L788" s="16" t="s">
        <v>4534</v>
      </c>
    </row>
    <row r="789" spans="1:12" ht="19.5" customHeight="1" x14ac:dyDescent="0.35">
      <c r="A789" s="16" t="s">
        <v>3122</v>
      </c>
      <c r="B789" s="16" t="s">
        <v>1077</v>
      </c>
      <c r="C789" s="32">
        <v>0</v>
      </c>
      <c r="D789" s="32">
        <v>0</v>
      </c>
      <c r="E789" s="19">
        <v>8</v>
      </c>
      <c r="F789" s="19">
        <v>0</v>
      </c>
      <c r="G789" s="33">
        <v>0</v>
      </c>
      <c r="H789" s="32">
        <v>0</v>
      </c>
      <c r="I789" s="32">
        <v>0</v>
      </c>
      <c r="J789" s="16" t="s">
        <v>5422</v>
      </c>
      <c r="K789" s="16" t="s">
        <v>5423</v>
      </c>
      <c r="L789" s="16" t="s">
        <v>4253</v>
      </c>
    </row>
    <row r="790" spans="1:12" ht="19.5" customHeight="1" x14ac:dyDescent="0.35">
      <c r="A790" s="16" t="s">
        <v>3125</v>
      </c>
      <c r="B790" s="16" t="s">
        <v>1077</v>
      </c>
      <c r="C790" s="32">
        <v>0</v>
      </c>
      <c r="D790" s="32">
        <v>0</v>
      </c>
      <c r="E790" s="19">
        <v>8</v>
      </c>
      <c r="F790" s="19">
        <v>0</v>
      </c>
      <c r="G790" s="33">
        <v>0</v>
      </c>
      <c r="H790" s="32">
        <v>0</v>
      </c>
      <c r="I790" s="32">
        <v>0</v>
      </c>
      <c r="J790" s="16" t="s">
        <v>5424</v>
      </c>
      <c r="K790" s="16" t="s">
        <v>5425</v>
      </c>
      <c r="L790" s="16" t="s">
        <v>4214</v>
      </c>
    </row>
    <row r="791" spans="1:12" ht="19.5" customHeight="1" x14ac:dyDescent="0.35">
      <c r="A791" s="16" t="s">
        <v>3127</v>
      </c>
      <c r="B791" s="16" t="s">
        <v>1817</v>
      </c>
      <c r="C791" s="32">
        <v>0</v>
      </c>
      <c r="D791" s="32">
        <v>0</v>
      </c>
      <c r="E791" s="19">
        <v>8</v>
      </c>
      <c r="F791" s="19">
        <v>0</v>
      </c>
      <c r="G791" s="33">
        <v>0</v>
      </c>
      <c r="H791" s="32">
        <v>0</v>
      </c>
      <c r="I791" s="32">
        <v>0</v>
      </c>
      <c r="J791" s="16" t="s">
        <v>5426</v>
      </c>
      <c r="K791" s="16" t="s">
        <v>5427</v>
      </c>
      <c r="L791" s="16" t="s">
        <v>4052</v>
      </c>
    </row>
    <row r="792" spans="1:12" ht="19.5" customHeight="1" x14ac:dyDescent="0.35">
      <c r="A792" s="16" t="s">
        <v>3129</v>
      </c>
      <c r="B792" s="16" t="s">
        <v>2257</v>
      </c>
      <c r="C792" s="32">
        <v>0</v>
      </c>
      <c r="D792" s="32">
        <v>0</v>
      </c>
      <c r="E792" s="19">
        <v>8</v>
      </c>
      <c r="F792" s="19">
        <v>3</v>
      </c>
      <c r="G792" s="33">
        <v>0.375</v>
      </c>
      <c r="H792" s="32">
        <v>0</v>
      </c>
      <c r="I792" s="32">
        <v>0</v>
      </c>
      <c r="J792" s="16" t="s">
        <v>5428</v>
      </c>
      <c r="K792" s="16" t="s">
        <v>5429</v>
      </c>
      <c r="L792" s="16" t="s">
        <v>4534</v>
      </c>
    </row>
    <row r="793" spans="1:12" ht="19.5" customHeight="1" x14ac:dyDescent="0.35">
      <c r="A793" s="16" t="s">
        <v>3131</v>
      </c>
      <c r="B793" s="16" t="s">
        <v>1077</v>
      </c>
      <c r="C793" s="32">
        <v>0</v>
      </c>
      <c r="D793" s="32">
        <v>0</v>
      </c>
      <c r="E793" s="19">
        <v>8</v>
      </c>
      <c r="F793" s="19">
        <v>0</v>
      </c>
      <c r="G793" s="33">
        <v>0</v>
      </c>
      <c r="H793" s="32">
        <v>0</v>
      </c>
      <c r="I793" s="32">
        <v>0</v>
      </c>
      <c r="J793" s="16" t="s">
        <v>5430</v>
      </c>
      <c r="K793" s="16" t="s">
        <v>5431</v>
      </c>
      <c r="L793" s="16" t="s">
        <v>4772</v>
      </c>
    </row>
    <row r="794" spans="1:12" ht="19.5" customHeight="1" x14ac:dyDescent="0.35">
      <c r="A794" s="16" t="s">
        <v>3133</v>
      </c>
      <c r="B794" s="16" t="s">
        <v>1122</v>
      </c>
      <c r="C794" s="32">
        <v>0</v>
      </c>
      <c r="D794" s="32">
        <v>0</v>
      </c>
      <c r="E794" s="19">
        <v>8</v>
      </c>
      <c r="F794" s="19">
        <v>1</v>
      </c>
      <c r="G794" s="33">
        <v>0.125</v>
      </c>
      <c r="H794" s="32">
        <v>0</v>
      </c>
      <c r="I794" s="32">
        <v>0</v>
      </c>
      <c r="J794" s="16" t="s">
        <v>5432</v>
      </c>
      <c r="K794" s="16" t="s">
        <v>5433</v>
      </c>
      <c r="L794" s="16" t="s">
        <v>5369</v>
      </c>
    </row>
    <row r="795" spans="1:12" ht="19.5" customHeight="1" x14ac:dyDescent="0.35">
      <c r="A795" s="16" t="s">
        <v>3135</v>
      </c>
      <c r="B795" s="16" t="s">
        <v>1077</v>
      </c>
      <c r="C795" s="32">
        <v>0</v>
      </c>
      <c r="D795" s="32">
        <v>0</v>
      </c>
      <c r="E795" s="19">
        <v>8</v>
      </c>
      <c r="F795" s="19">
        <v>0</v>
      </c>
      <c r="G795" s="33">
        <v>0</v>
      </c>
      <c r="H795" s="32">
        <v>0</v>
      </c>
      <c r="I795" s="32">
        <v>0</v>
      </c>
      <c r="J795" s="16" t="s">
        <v>5434</v>
      </c>
      <c r="K795" s="16" t="s">
        <v>5435</v>
      </c>
      <c r="L795" s="16" t="s">
        <v>4360</v>
      </c>
    </row>
    <row r="796" spans="1:12" ht="19.5" customHeight="1" x14ac:dyDescent="0.35">
      <c r="A796" s="16" t="s">
        <v>3137</v>
      </c>
      <c r="B796" s="16" t="s">
        <v>1077</v>
      </c>
      <c r="C796" s="32">
        <v>0</v>
      </c>
      <c r="D796" s="32">
        <v>0</v>
      </c>
      <c r="E796" s="19">
        <v>7</v>
      </c>
      <c r="F796" s="19">
        <v>0</v>
      </c>
      <c r="G796" s="33">
        <v>0</v>
      </c>
      <c r="H796" s="32">
        <v>0</v>
      </c>
      <c r="I796" s="32">
        <v>0</v>
      </c>
      <c r="J796" s="16" t="s">
        <v>5436</v>
      </c>
      <c r="K796" s="16" t="s">
        <v>5437</v>
      </c>
      <c r="L796" s="16" t="s">
        <v>3941</v>
      </c>
    </row>
    <row r="797" spans="1:12" ht="19.5" customHeight="1" x14ac:dyDescent="0.35">
      <c r="A797" s="16" t="s">
        <v>3139</v>
      </c>
      <c r="B797" s="16" t="s">
        <v>1077</v>
      </c>
      <c r="C797" s="32">
        <v>0</v>
      </c>
      <c r="D797" s="32">
        <v>0</v>
      </c>
      <c r="E797" s="19">
        <v>7</v>
      </c>
      <c r="F797" s="19">
        <v>0</v>
      </c>
      <c r="G797" s="33">
        <v>0</v>
      </c>
      <c r="H797" s="32">
        <v>0</v>
      </c>
      <c r="I797" s="32">
        <v>0</v>
      </c>
      <c r="J797" s="16" t="s">
        <v>5438</v>
      </c>
      <c r="K797" s="16" t="s">
        <v>5439</v>
      </c>
      <c r="L797" s="16" t="s">
        <v>4253</v>
      </c>
    </row>
    <row r="798" spans="1:12" ht="19.5" customHeight="1" x14ac:dyDescent="0.35">
      <c r="A798" s="16" t="s">
        <v>3141</v>
      </c>
      <c r="B798" s="16" t="s">
        <v>1690</v>
      </c>
      <c r="C798" s="32">
        <v>0</v>
      </c>
      <c r="D798" s="32">
        <v>0</v>
      </c>
      <c r="E798" s="19">
        <v>7</v>
      </c>
      <c r="F798" s="19">
        <v>0</v>
      </c>
      <c r="G798" s="33">
        <v>0</v>
      </c>
      <c r="H798" s="32">
        <v>0</v>
      </c>
      <c r="I798" s="32">
        <v>0</v>
      </c>
      <c r="J798" s="16" t="s">
        <v>5440</v>
      </c>
      <c r="K798" s="16" t="s">
        <v>5441</v>
      </c>
      <c r="L798" s="16" t="s">
        <v>5088</v>
      </c>
    </row>
    <row r="799" spans="1:12" ht="19.5" customHeight="1" x14ac:dyDescent="0.35">
      <c r="A799" s="16" t="s">
        <v>3143</v>
      </c>
      <c r="B799" s="16" t="s">
        <v>1077</v>
      </c>
      <c r="C799" s="32">
        <v>0</v>
      </c>
      <c r="D799" s="32">
        <v>0</v>
      </c>
      <c r="E799" s="19">
        <v>7</v>
      </c>
      <c r="F799" s="19">
        <v>0</v>
      </c>
      <c r="G799" s="33">
        <v>0</v>
      </c>
      <c r="H799" s="32">
        <v>0</v>
      </c>
      <c r="I799" s="32">
        <v>0</v>
      </c>
      <c r="J799" s="16" t="s">
        <v>5442</v>
      </c>
      <c r="K799" s="16" t="s">
        <v>5443</v>
      </c>
      <c r="L799" s="16" t="s">
        <v>4360</v>
      </c>
    </row>
    <row r="800" spans="1:12" ht="19.5" customHeight="1" x14ac:dyDescent="0.35">
      <c r="A800" s="16" t="s">
        <v>3145</v>
      </c>
      <c r="B800" s="16" t="s">
        <v>1136</v>
      </c>
      <c r="C800" s="32">
        <v>0</v>
      </c>
      <c r="D800" s="32">
        <v>0</v>
      </c>
      <c r="E800" s="19">
        <v>7</v>
      </c>
      <c r="F800" s="19">
        <v>0</v>
      </c>
      <c r="G800" s="33">
        <v>0</v>
      </c>
      <c r="H800" s="32">
        <v>0</v>
      </c>
      <c r="I800" s="32">
        <v>0</v>
      </c>
      <c r="J800" s="16" t="s">
        <v>4281</v>
      </c>
      <c r="K800" s="16" t="s">
        <v>5444</v>
      </c>
      <c r="L800" s="16" t="s">
        <v>4214</v>
      </c>
    </row>
    <row r="801" spans="1:12" ht="19.5" customHeight="1" x14ac:dyDescent="0.35">
      <c r="A801" s="16" t="s">
        <v>3146</v>
      </c>
      <c r="B801" s="16" t="s">
        <v>3052</v>
      </c>
      <c r="C801" s="32">
        <v>0</v>
      </c>
      <c r="D801" s="32">
        <v>0</v>
      </c>
      <c r="E801" s="19">
        <v>7</v>
      </c>
      <c r="F801" s="19">
        <v>0</v>
      </c>
      <c r="G801" s="33">
        <v>0</v>
      </c>
      <c r="H801" s="32">
        <v>0</v>
      </c>
      <c r="I801" s="32">
        <v>0</v>
      </c>
      <c r="J801" s="16" t="s">
        <v>5445</v>
      </c>
      <c r="K801" s="16" t="s">
        <v>5446</v>
      </c>
      <c r="L801" s="16" t="s">
        <v>5088</v>
      </c>
    </row>
    <row r="802" spans="1:12" ht="19.5" customHeight="1" x14ac:dyDescent="0.35">
      <c r="A802" s="16" t="s">
        <v>3148</v>
      </c>
      <c r="B802" s="16" t="s">
        <v>2598</v>
      </c>
      <c r="C802" s="32">
        <v>0</v>
      </c>
      <c r="D802" s="32">
        <v>0</v>
      </c>
      <c r="E802" s="19">
        <v>7</v>
      </c>
      <c r="F802" s="19">
        <v>1</v>
      </c>
      <c r="G802" s="33">
        <v>0.14285714285714299</v>
      </c>
      <c r="H802" s="32">
        <v>0</v>
      </c>
      <c r="I802" s="32">
        <v>0</v>
      </c>
      <c r="J802" s="16" t="s">
        <v>5447</v>
      </c>
      <c r="K802" s="16" t="s">
        <v>5448</v>
      </c>
      <c r="L802" s="16" t="s">
        <v>4571</v>
      </c>
    </row>
    <row r="803" spans="1:12" ht="19.5" customHeight="1" x14ac:dyDescent="0.35">
      <c r="A803" s="16" t="s">
        <v>3150</v>
      </c>
      <c r="B803" s="16" t="s">
        <v>1077</v>
      </c>
      <c r="C803" s="32">
        <v>0</v>
      </c>
      <c r="D803" s="32">
        <v>0</v>
      </c>
      <c r="E803" s="19">
        <v>7</v>
      </c>
      <c r="F803" s="19">
        <v>0</v>
      </c>
      <c r="G803" s="33">
        <v>0</v>
      </c>
      <c r="H803" s="32">
        <v>0</v>
      </c>
      <c r="I803" s="32">
        <v>0</v>
      </c>
      <c r="J803" s="16" t="s">
        <v>5449</v>
      </c>
      <c r="K803" s="16" t="s">
        <v>5450</v>
      </c>
      <c r="L803" s="16" t="s">
        <v>3941</v>
      </c>
    </row>
    <row r="804" spans="1:12" ht="19.5" customHeight="1" x14ac:dyDescent="0.35">
      <c r="A804" s="16" t="s">
        <v>3152</v>
      </c>
      <c r="B804" s="16" t="s">
        <v>963</v>
      </c>
      <c r="C804" s="32">
        <v>0</v>
      </c>
      <c r="D804" s="32">
        <v>0</v>
      </c>
      <c r="E804" s="19">
        <v>7</v>
      </c>
      <c r="F804" s="19">
        <v>0</v>
      </c>
      <c r="G804" s="33">
        <v>0</v>
      </c>
      <c r="H804" s="32">
        <v>0</v>
      </c>
      <c r="I804" s="32">
        <v>0</v>
      </c>
      <c r="J804" s="16" t="s">
        <v>5451</v>
      </c>
      <c r="K804" s="16" t="s">
        <v>5452</v>
      </c>
      <c r="L804" s="16" t="s">
        <v>5369</v>
      </c>
    </row>
    <row r="805" spans="1:12" ht="19.5" customHeight="1" x14ac:dyDescent="0.35">
      <c r="A805" s="16" t="s">
        <v>3154</v>
      </c>
      <c r="B805" s="16" t="s">
        <v>1697</v>
      </c>
      <c r="C805" s="32">
        <v>0</v>
      </c>
      <c r="D805" s="32">
        <v>0</v>
      </c>
      <c r="E805" s="19">
        <v>7</v>
      </c>
      <c r="F805" s="19">
        <v>0</v>
      </c>
      <c r="G805" s="33">
        <v>0</v>
      </c>
      <c r="H805" s="32">
        <v>0</v>
      </c>
      <c r="I805" s="32">
        <v>0</v>
      </c>
      <c r="J805" s="16" t="s">
        <v>5453</v>
      </c>
      <c r="K805" s="16" t="s">
        <v>5454</v>
      </c>
      <c r="L805" s="16" t="s">
        <v>4871</v>
      </c>
    </row>
    <row r="806" spans="1:12" ht="19.5" customHeight="1" x14ac:dyDescent="0.35">
      <c r="A806" s="16" t="s">
        <v>3156</v>
      </c>
      <c r="B806" s="16" t="s">
        <v>1731</v>
      </c>
      <c r="C806" s="32">
        <v>0</v>
      </c>
      <c r="D806" s="32">
        <v>0</v>
      </c>
      <c r="E806" s="19">
        <v>7</v>
      </c>
      <c r="F806" s="19">
        <v>0</v>
      </c>
      <c r="G806" s="33">
        <v>0</v>
      </c>
      <c r="H806" s="32">
        <v>0</v>
      </c>
      <c r="I806" s="32">
        <v>0</v>
      </c>
      <c r="J806" s="16" t="s">
        <v>5455</v>
      </c>
      <c r="K806" s="16" t="s">
        <v>5456</v>
      </c>
      <c r="L806" s="16" t="s">
        <v>4534</v>
      </c>
    </row>
    <row r="807" spans="1:12" ht="19.5" customHeight="1" x14ac:dyDescent="0.35">
      <c r="A807" s="16" t="s">
        <v>3158</v>
      </c>
      <c r="B807" s="16" t="s">
        <v>1118</v>
      </c>
      <c r="C807" s="32">
        <v>0</v>
      </c>
      <c r="D807" s="32">
        <v>0</v>
      </c>
      <c r="E807" s="19">
        <v>6</v>
      </c>
      <c r="F807" s="19">
        <v>0</v>
      </c>
      <c r="G807" s="33">
        <v>0</v>
      </c>
      <c r="H807" s="32">
        <v>0</v>
      </c>
      <c r="I807" s="32">
        <v>0</v>
      </c>
      <c r="J807" s="16" t="s">
        <v>5457</v>
      </c>
      <c r="K807" s="16" t="s">
        <v>5458</v>
      </c>
      <c r="L807" s="16" t="s">
        <v>4253</v>
      </c>
    </row>
    <row r="808" spans="1:12" ht="19.5" customHeight="1" x14ac:dyDescent="0.35">
      <c r="A808" s="16" t="s">
        <v>3161</v>
      </c>
      <c r="B808" s="16" t="s">
        <v>2257</v>
      </c>
      <c r="C808" s="32">
        <v>0</v>
      </c>
      <c r="D808" s="32">
        <v>0</v>
      </c>
      <c r="E808" s="19">
        <v>6</v>
      </c>
      <c r="F808" s="19">
        <v>4</v>
      </c>
      <c r="G808" s="33">
        <v>0.66666666666666696</v>
      </c>
      <c r="H808" s="32">
        <v>0</v>
      </c>
      <c r="I808" s="32">
        <v>0</v>
      </c>
      <c r="J808" s="16" t="s">
        <v>5459</v>
      </c>
      <c r="K808" s="16" t="s">
        <v>5460</v>
      </c>
      <c r="L808" s="16" t="s">
        <v>4925</v>
      </c>
    </row>
    <row r="809" spans="1:12" ht="19.5" customHeight="1" x14ac:dyDescent="0.35">
      <c r="A809" s="16" t="s">
        <v>3163</v>
      </c>
      <c r="B809" s="16" t="s">
        <v>1077</v>
      </c>
      <c r="C809" s="32">
        <v>0</v>
      </c>
      <c r="D809" s="32">
        <v>0</v>
      </c>
      <c r="E809" s="19">
        <v>6</v>
      </c>
      <c r="F809" s="19">
        <v>0</v>
      </c>
      <c r="G809" s="33">
        <v>0</v>
      </c>
      <c r="H809" s="32">
        <v>0</v>
      </c>
      <c r="I809" s="32">
        <v>0</v>
      </c>
      <c r="J809" s="16" t="s">
        <v>4896</v>
      </c>
      <c r="K809" s="16" t="s">
        <v>5461</v>
      </c>
      <c r="L809" s="16" t="s">
        <v>4604</v>
      </c>
    </row>
    <row r="810" spans="1:12" ht="19.5" customHeight="1" x14ac:dyDescent="0.35">
      <c r="A810" s="16" t="s">
        <v>3164</v>
      </c>
      <c r="B810" s="16" t="s">
        <v>898</v>
      </c>
      <c r="C810" s="32">
        <v>0</v>
      </c>
      <c r="D810" s="32">
        <v>0</v>
      </c>
      <c r="E810" s="19">
        <v>6</v>
      </c>
      <c r="F810" s="19">
        <v>0</v>
      </c>
      <c r="G810" s="33">
        <v>0</v>
      </c>
      <c r="H810" s="32">
        <v>0</v>
      </c>
      <c r="I810" s="32">
        <v>0</v>
      </c>
      <c r="J810" s="16" t="s">
        <v>5462</v>
      </c>
      <c r="K810" s="16" t="s">
        <v>5463</v>
      </c>
      <c r="L810" s="16" t="s">
        <v>4772</v>
      </c>
    </row>
    <row r="811" spans="1:12" ht="19.5" customHeight="1" x14ac:dyDescent="0.35">
      <c r="A811" s="16" t="s">
        <v>3166</v>
      </c>
      <c r="B811" s="16" t="s">
        <v>1118</v>
      </c>
      <c r="C811" s="32">
        <v>0</v>
      </c>
      <c r="D811" s="32">
        <v>0</v>
      </c>
      <c r="E811" s="19">
        <v>6</v>
      </c>
      <c r="F811" s="19">
        <v>0</v>
      </c>
      <c r="G811" s="33">
        <v>0</v>
      </c>
      <c r="H811" s="32">
        <v>0</v>
      </c>
      <c r="I811" s="32">
        <v>0</v>
      </c>
      <c r="J811" s="16" t="s">
        <v>5464</v>
      </c>
      <c r="K811" s="16" t="s">
        <v>5465</v>
      </c>
      <c r="L811" s="16" t="s">
        <v>4253</v>
      </c>
    </row>
    <row r="812" spans="1:12" ht="19.5" customHeight="1" x14ac:dyDescent="0.35">
      <c r="A812" s="16" t="s">
        <v>3168</v>
      </c>
      <c r="B812" s="16" t="s">
        <v>1084</v>
      </c>
      <c r="C812" s="32">
        <v>0</v>
      </c>
      <c r="D812" s="32">
        <v>0</v>
      </c>
      <c r="E812" s="19">
        <v>6</v>
      </c>
      <c r="F812" s="19">
        <v>0</v>
      </c>
      <c r="G812" s="33">
        <v>0</v>
      </c>
      <c r="H812" s="32">
        <v>0</v>
      </c>
      <c r="I812" s="32">
        <v>0</v>
      </c>
      <c r="J812" s="16" t="s">
        <v>5466</v>
      </c>
      <c r="K812" s="16" t="s">
        <v>5467</v>
      </c>
      <c r="L812" s="16" t="s">
        <v>4253</v>
      </c>
    </row>
    <row r="813" spans="1:12" ht="19.5" customHeight="1" x14ac:dyDescent="0.35">
      <c r="A813" s="16" t="s">
        <v>3170</v>
      </c>
      <c r="B813" s="16" t="s">
        <v>1077</v>
      </c>
      <c r="C813" s="32">
        <v>0</v>
      </c>
      <c r="D813" s="32">
        <v>0</v>
      </c>
      <c r="E813" s="19">
        <v>6</v>
      </c>
      <c r="F813" s="19">
        <v>0</v>
      </c>
      <c r="G813" s="33">
        <v>0</v>
      </c>
      <c r="H813" s="32">
        <v>0</v>
      </c>
      <c r="I813" s="32">
        <v>0</v>
      </c>
      <c r="J813" s="16" t="s">
        <v>5468</v>
      </c>
      <c r="K813" s="16" t="s">
        <v>5469</v>
      </c>
      <c r="L813" s="16" t="s">
        <v>4349</v>
      </c>
    </row>
    <row r="814" spans="1:12" ht="19.5" customHeight="1" x14ac:dyDescent="0.35">
      <c r="A814" s="16" t="s">
        <v>3172</v>
      </c>
      <c r="B814" s="16" t="s">
        <v>1118</v>
      </c>
      <c r="C814" s="32">
        <v>0</v>
      </c>
      <c r="D814" s="32">
        <v>0</v>
      </c>
      <c r="E814" s="19">
        <v>6</v>
      </c>
      <c r="F814" s="19">
        <v>0</v>
      </c>
      <c r="G814" s="33">
        <v>0</v>
      </c>
      <c r="H814" s="32">
        <v>0</v>
      </c>
      <c r="I814" s="32">
        <v>0</v>
      </c>
      <c r="J814" s="16" t="s">
        <v>5470</v>
      </c>
      <c r="K814" s="16" t="s">
        <v>5471</v>
      </c>
      <c r="L814" s="16" t="s">
        <v>4253</v>
      </c>
    </row>
    <row r="815" spans="1:12" ht="19.5" customHeight="1" x14ac:dyDescent="0.35">
      <c r="A815" s="16" t="s">
        <v>3174</v>
      </c>
      <c r="B815" s="16" t="s">
        <v>963</v>
      </c>
      <c r="C815" s="32">
        <v>0</v>
      </c>
      <c r="D815" s="32">
        <v>0</v>
      </c>
      <c r="E815" s="19">
        <v>6</v>
      </c>
      <c r="F815" s="19">
        <v>0</v>
      </c>
      <c r="G815" s="33">
        <v>0</v>
      </c>
      <c r="H815" s="32">
        <v>0</v>
      </c>
      <c r="I815" s="32">
        <v>0</v>
      </c>
      <c r="J815" s="16" t="s">
        <v>5472</v>
      </c>
      <c r="K815" s="16" t="s">
        <v>5473</v>
      </c>
      <c r="L815" s="16" t="s">
        <v>3924</v>
      </c>
    </row>
    <row r="816" spans="1:12" ht="19.5" customHeight="1" x14ac:dyDescent="0.35">
      <c r="A816" s="16" t="s">
        <v>3176</v>
      </c>
      <c r="B816" s="16" t="s">
        <v>959</v>
      </c>
      <c r="C816" s="32">
        <v>0</v>
      </c>
      <c r="D816" s="32">
        <v>0</v>
      </c>
      <c r="E816" s="19">
        <v>6</v>
      </c>
      <c r="F816" s="19">
        <v>0</v>
      </c>
      <c r="G816" s="33">
        <v>0</v>
      </c>
      <c r="H816" s="32">
        <v>0</v>
      </c>
      <c r="I816" s="32">
        <v>0</v>
      </c>
      <c r="J816" s="16" t="s">
        <v>5474</v>
      </c>
      <c r="K816" s="16" t="s">
        <v>5475</v>
      </c>
      <c r="L816" s="16" t="s">
        <v>3941</v>
      </c>
    </row>
    <row r="817" spans="1:12" ht="19.5" customHeight="1" x14ac:dyDescent="0.35">
      <c r="A817" s="16" t="s">
        <v>3178</v>
      </c>
      <c r="B817" s="16" t="s">
        <v>1077</v>
      </c>
      <c r="C817" s="32">
        <v>0</v>
      </c>
      <c r="D817" s="32">
        <v>0</v>
      </c>
      <c r="E817" s="19">
        <v>6</v>
      </c>
      <c r="F817" s="19">
        <v>0</v>
      </c>
      <c r="G817" s="33">
        <v>0</v>
      </c>
      <c r="H817" s="32">
        <v>0</v>
      </c>
      <c r="I817" s="32">
        <v>0</v>
      </c>
      <c r="J817" s="16" t="s">
        <v>5476</v>
      </c>
      <c r="K817" s="16" t="s">
        <v>5477</v>
      </c>
      <c r="L817" s="16" t="s">
        <v>4360</v>
      </c>
    </row>
    <row r="818" spans="1:12" ht="19.5" customHeight="1" x14ac:dyDescent="0.35">
      <c r="A818" s="16" t="s">
        <v>3180</v>
      </c>
      <c r="B818" s="16" t="s">
        <v>1077</v>
      </c>
      <c r="C818" s="32">
        <v>0</v>
      </c>
      <c r="D818" s="32">
        <v>0</v>
      </c>
      <c r="E818" s="19">
        <v>6</v>
      </c>
      <c r="F818" s="19">
        <v>0</v>
      </c>
      <c r="G818" s="33">
        <v>0</v>
      </c>
      <c r="H818" s="32">
        <v>0</v>
      </c>
      <c r="I818" s="32">
        <v>0</v>
      </c>
      <c r="J818" s="16" t="s">
        <v>5478</v>
      </c>
      <c r="K818" s="16" t="s">
        <v>5479</v>
      </c>
      <c r="L818" s="16" t="s">
        <v>4360</v>
      </c>
    </row>
    <row r="819" spans="1:12" ht="19.5" customHeight="1" x14ac:dyDescent="0.35">
      <c r="A819" s="16" t="s">
        <v>3182</v>
      </c>
      <c r="B819" s="16" t="s">
        <v>1768</v>
      </c>
      <c r="C819" s="32">
        <v>0</v>
      </c>
      <c r="D819" s="32">
        <v>0</v>
      </c>
      <c r="E819" s="19">
        <v>6</v>
      </c>
      <c r="F819" s="19">
        <v>0</v>
      </c>
      <c r="G819" s="33">
        <v>0</v>
      </c>
      <c r="H819" s="32">
        <v>0</v>
      </c>
      <c r="I819" s="32">
        <v>0</v>
      </c>
      <c r="J819" s="16" t="s">
        <v>5480</v>
      </c>
      <c r="K819" s="16" t="s">
        <v>5481</v>
      </c>
      <c r="L819" s="16" t="s">
        <v>4360</v>
      </c>
    </row>
    <row r="820" spans="1:12" ht="19.5" customHeight="1" x14ac:dyDescent="0.35">
      <c r="A820" s="16" t="s">
        <v>3184</v>
      </c>
      <c r="B820" s="16" t="s">
        <v>1122</v>
      </c>
      <c r="C820" s="32">
        <v>0</v>
      </c>
      <c r="D820" s="32">
        <v>0</v>
      </c>
      <c r="E820" s="19">
        <v>5</v>
      </c>
      <c r="F820" s="19">
        <v>0</v>
      </c>
      <c r="G820" s="33">
        <v>0</v>
      </c>
      <c r="H820" s="32">
        <v>0</v>
      </c>
      <c r="I820" s="32">
        <v>0</v>
      </c>
      <c r="J820" s="16" t="s">
        <v>5482</v>
      </c>
      <c r="K820" s="16" t="s">
        <v>5483</v>
      </c>
      <c r="L820" s="16" t="s">
        <v>3924</v>
      </c>
    </row>
    <row r="821" spans="1:12" ht="19.5" customHeight="1" x14ac:dyDescent="0.35">
      <c r="A821" s="16" t="s">
        <v>3187</v>
      </c>
      <c r="B821" s="16" t="s">
        <v>2257</v>
      </c>
      <c r="C821" s="32">
        <v>0</v>
      </c>
      <c r="D821" s="32">
        <v>0</v>
      </c>
      <c r="E821" s="19">
        <v>5</v>
      </c>
      <c r="F821" s="19">
        <v>1</v>
      </c>
      <c r="G821" s="33">
        <v>0.2</v>
      </c>
      <c r="H821" s="32">
        <v>0</v>
      </c>
      <c r="I821" s="32">
        <v>0</v>
      </c>
      <c r="J821" s="16" t="s">
        <v>5484</v>
      </c>
      <c r="K821" s="16" t="s">
        <v>5485</v>
      </c>
      <c r="L821" s="16" t="s">
        <v>4165</v>
      </c>
    </row>
    <row r="822" spans="1:12" ht="19.5" customHeight="1" x14ac:dyDescent="0.35">
      <c r="A822" s="16" t="s">
        <v>3189</v>
      </c>
      <c r="B822" s="16" t="s">
        <v>1817</v>
      </c>
      <c r="C822" s="32">
        <v>0</v>
      </c>
      <c r="D822" s="32">
        <v>0</v>
      </c>
      <c r="E822" s="19">
        <v>5</v>
      </c>
      <c r="F822" s="19">
        <v>0</v>
      </c>
      <c r="G822" s="33">
        <v>0</v>
      </c>
      <c r="H822" s="32">
        <v>0</v>
      </c>
      <c r="I822" s="32">
        <v>0</v>
      </c>
      <c r="J822" s="16" t="s">
        <v>5486</v>
      </c>
      <c r="K822" s="16" t="s">
        <v>5487</v>
      </c>
      <c r="L822" s="16" t="s">
        <v>4214</v>
      </c>
    </row>
    <row r="823" spans="1:12" ht="19.5" customHeight="1" x14ac:dyDescent="0.35">
      <c r="A823" s="16" t="s">
        <v>3191</v>
      </c>
      <c r="B823" s="16" t="s">
        <v>1136</v>
      </c>
      <c r="C823" s="32">
        <v>0</v>
      </c>
      <c r="D823" s="32">
        <v>0</v>
      </c>
      <c r="E823" s="19">
        <v>5</v>
      </c>
      <c r="F823" s="19">
        <v>2</v>
      </c>
      <c r="G823" s="33">
        <v>0.4</v>
      </c>
      <c r="H823" s="32">
        <v>0</v>
      </c>
      <c r="I823" s="32">
        <v>0</v>
      </c>
      <c r="J823" s="16" t="s">
        <v>4733</v>
      </c>
      <c r="K823" s="16" t="s">
        <v>5488</v>
      </c>
      <c r="L823" s="16" t="s">
        <v>4052</v>
      </c>
    </row>
    <row r="824" spans="1:12" ht="19.5" customHeight="1" x14ac:dyDescent="0.35">
      <c r="A824" s="16" t="s">
        <v>3192</v>
      </c>
      <c r="B824" s="16" t="s">
        <v>3052</v>
      </c>
      <c r="C824" s="32">
        <v>0</v>
      </c>
      <c r="D824" s="32">
        <v>0</v>
      </c>
      <c r="E824" s="19">
        <v>5</v>
      </c>
      <c r="F824" s="19">
        <v>0</v>
      </c>
      <c r="G824" s="33">
        <v>0</v>
      </c>
      <c r="H824" s="32">
        <v>0</v>
      </c>
      <c r="I824" s="32">
        <v>0</v>
      </c>
      <c r="J824" s="16" t="s">
        <v>5489</v>
      </c>
      <c r="K824" s="16" t="s">
        <v>5490</v>
      </c>
      <c r="L824" s="16" t="s">
        <v>3924</v>
      </c>
    </row>
    <row r="825" spans="1:12" ht="19.5" customHeight="1" x14ac:dyDescent="0.35">
      <c r="A825" s="16" t="s">
        <v>3194</v>
      </c>
      <c r="B825" s="16" t="s">
        <v>1118</v>
      </c>
      <c r="C825" s="32">
        <v>0</v>
      </c>
      <c r="D825" s="32">
        <v>0</v>
      </c>
      <c r="E825" s="19">
        <v>5</v>
      </c>
      <c r="F825" s="19">
        <v>0</v>
      </c>
      <c r="G825" s="33">
        <v>0</v>
      </c>
      <c r="H825" s="32">
        <v>0</v>
      </c>
      <c r="I825" s="32">
        <v>0</v>
      </c>
      <c r="J825" s="16" t="s">
        <v>5457</v>
      </c>
      <c r="K825" s="16" t="s">
        <v>5491</v>
      </c>
      <c r="L825" s="16" t="s">
        <v>4253</v>
      </c>
    </row>
    <row r="826" spans="1:12" ht="19.5" customHeight="1" x14ac:dyDescent="0.35">
      <c r="A826" s="16" t="s">
        <v>3195</v>
      </c>
      <c r="B826" s="16" t="s">
        <v>1122</v>
      </c>
      <c r="C826" s="32">
        <v>0</v>
      </c>
      <c r="D826" s="32">
        <v>0</v>
      </c>
      <c r="E826" s="19">
        <v>5</v>
      </c>
      <c r="F826" s="19">
        <v>0</v>
      </c>
      <c r="G826" s="33">
        <v>0</v>
      </c>
      <c r="H826" s="32">
        <v>0</v>
      </c>
      <c r="I826" s="32">
        <v>0</v>
      </c>
      <c r="J826" s="16" t="s">
        <v>5492</v>
      </c>
      <c r="K826" s="16" t="s">
        <v>5493</v>
      </c>
      <c r="L826" s="16" t="s">
        <v>4052</v>
      </c>
    </row>
    <row r="827" spans="1:12" ht="19.5" customHeight="1" x14ac:dyDescent="0.35">
      <c r="A827" s="16" t="s">
        <v>3197</v>
      </c>
      <c r="B827" s="16" t="s">
        <v>3198</v>
      </c>
      <c r="C827" s="32">
        <v>0</v>
      </c>
      <c r="D827" s="32">
        <v>0</v>
      </c>
      <c r="E827" s="19">
        <v>5</v>
      </c>
      <c r="F827" s="19">
        <v>0</v>
      </c>
      <c r="G827" s="33">
        <v>0</v>
      </c>
      <c r="H827" s="32">
        <v>0</v>
      </c>
      <c r="I827" s="32">
        <v>0</v>
      </c>
      <c r="J827" s="16" t="s">
        <v>5494</v>
      </c>
      <c r="K827" s="16" t="s">
        <v>5495</v>
      </c>
      <c r="L827" s="16" t="s">
        <v>4604</v>
      </c>
    </row>
    <row r="828" spans="1:12" ht="19.5" customHeight="1" x14ac:dyDescent="0.35">
      <c r="A828" s="16" t="s">
        <v>3200</v>
      </c>
      <c r="B828" s="16" t="s">
        <v>1077</v>
      </c>
      <c r="C828" s="32">
        <v>0</v>
      </c>
      <c r="D828" s="32">
        <v>0</v>
      </c>
      <c r="E828" s="19">
        <v>5</v>
      </c>
      <c r="F828" s="19">
        <v>0</v>
      </c>
      <c r="G828" s="33">
        <v>0</v>
      </c>
      <c r="H828" s="32">
        <v>0</v>
      </c>
      <c r="I828" s="32">
        <v>0</v>
      </c>
      <c r="J828" s="16" t="s">
        <v>5496</v>
      </c>
      <c r="K828" s="16" t="s">
        <v>5497</v>
      </c>
      <c r="L828" s="16" t="s">
        <v>4604</v>
      </c>
    </row>
    <row r="829" spans="1:12" ht="19.5" customHeight="1" x14ac:dyDescent="0.35">
      <c r="A829" s="16" t="s">
        <v>3202</v>
      </c>
      <c r="B829" s="16" t="s">
        <v>1084</v>
      </c>
      <c r="C829" s="32">
        <v>0</v>
      </c>
      <c r="D829" s="32">
        <v>0</v>
      </c>
      <c r="E829" s="19">
        <v>5</v>
      </c>
      <c r="F829" s="19">
        <v>0</v>
      </c>
      <c r="G829" s="33">
        <v>0</v>
      </c>
      <c r="H829" s="32">
        <v>0</v>
      </c>
      <c r="I829" s="32">
        <v>0</v>
      </c>
      <c r="J829" s="16" t="s">
        <v>5498</v>
      </c>
      <c r="K829" s="16" t="s">
        <v>5499</v>
      </c>
      <c r="L829" s="16" t="s">
        <v>3941</v>
      </c>
    </row>
    <row r="830" spans="1:12" ht="19.5" customHeight="1" x14ac:dyDescent="0.35">
      <c r="A830" s="16" t="s">
        <v>3204</v>
      </c>
      <c r="B830" s="16" t="s">
        <v>996</v>
      </c>
      <c r="C830" s="32">
        <v>0</v>
      </c>
      <c r="D830" s="32">
        <v>0</v>
      </c>
      <c r="E830" s="19">
        <v>5</v>
      </c>
      <c r="F830" s="19">
        <v>0</v>
      </c>
      <c r="G830" s="33">
        <v>0</v>
      </c>
      <c r="H830" s="32">
        <v>0</v>
      </c>
      <c r="I830" s="32">
        <v>0</v>
      </c>
      <c r="J830" s="16" t="s">
        <v>5107</v>
      </c>
      <c r="K830" s="16" t="s">
        <v>5500</v>
      </c>
      <c r="L830" s="16" t="s">
        <v>4052</v>
      </c>
    </row>
    <row r="831" spans="1:12" ht="19.5" customHeight="1" x14ac:dyDescent="0.35">
      <c r="A831" s="16" t="s">
        <v>3205</v>
      </c>
      <c r="B831" s="16" t="s">
        <v>1122</v>
      </c>
      <c r="C831" s="32">
        <v>0</v>
      </c>
      <c r="D831" s="32">
        <v>0</v>
      </c>
      <c r="E831" s="19">
        <v>5</v>
      </c>
      <c r="F831" s="19">
        <v>0</v>
      </c>
      <c r="G831" s="33">
        <v>0</v>
      </c>
      <c r="H831" s="32">
        <v>0</v>
      </c>
      <c r="I831" s="32">
        <v>0</v>
      </c>
      <c r="J831" s="16" t="s">
        <v>5501</v>
      </c>
      <c r="K831" s="16" t="s">
        <v>5502</v>
      </c>
      <c r="L831" s="16" t="s">
        <v>5031</v>
      </c>
    </row>
    <row r="832" spans="1:12" ht="19.5" customHeight="1" x14ac:dyDescent="0.35">
      <c r="A832" s="16" t="s">
        <v>3207</v>
      </c>
      <c r="B832" s="16" t="s">
        <v>1077</v>
      </c>
      <c r="C832" s="32">
        <v>0</v>
      </c>
      <c r="D832" s="32">
        <v>0</v>
      </c>
      <c r="E832" s="19">
        <v>5</v>
      </c>
      <c r="F832" s="19">
        <v>0</v>
      </c>
      <c r="G832" s="33">
        <v>0</v>
      </c>
      <c r="H832" s="32">
        <v>0</v>
      </c>
      <c r="I832" s="32">
        <v>0</v>
      </c>
      <c r="J832" s="16" t="s">
        <v>5503</v>
      </c>
      <c r="K832" s="16" t="s">
        <v>5504</v>
      </c>
      <c r="L832" s="16" t="s">
        <v>4360</v>
      </c>
    </row>
    <row r="833" spans="1:12" ht="19.5" customHeight="1" x14ac:dyDescent="0.35">
      <c r="A833" s="16" t="s">
        <v>3209</v>
      </c>
      <c r="B833" s="16" t="s">
        <v>1768</v>
      </c>
      <c r="C833" s="32">
        <v>0</v>
      </c>
      <c r="D833" s="32">
        <v>0</v>
      </c>
      <c r="E833" s="19">
        <v>5</v>
      </c>
      <c r="F833" s="19">
        <v>0</v>
      </c>
      <c r="G833" s="33">
        <v>0</v>
      </c>
      <c r="H833" s="32">
        <v>0</v>
      </c>
      <c r="I833" s="32">
        <v>0</v>
      </c>
      <c r="J833" s="16" t="s">
        <v>5505</v>
      </c>
      <c r="K833" s="16" t="s">
        <v>5506</v>
      </c>
      <c r="L833" s="16" t="s">
        <v>4491</v>
      </c>
    </row>
    <row r="834" spans="1:12" ht="19.5" customHeight="1" x14ac:dyDescent="0.35">
      <c r="A834" s="16" t="s">
        <v>3211</v>
      </c>
      <c r="B834" s="16" t="s">
        <v>1077</v>
      </c>
      <c r="C834" s="32">
        <v>0</v>
      </c>
      <c r="D834" s="32">
        <v>0</v>
      </c>
      <c r="E834" s="19">
        <v>4</v>
      </c>
      <c r="F834" s="19">
        <v>0</v>
      </c>
      <c r="G834" s="33">
        <v>0</v>
      </c>
      <c r="H834" s="32">
        <v>0</v>
      </c>
      <c r="I834" s="32">
        <v>0</v>
      </c>
      <c r="J834" s="16" t="s">
        <v>5507</v>
      </c>
      <c r="K834" s="16" t="s">
        <v>5508</v>
      </c>
      <c r="L834" s="16" t="s">
        <v>4604</v>
      </c>
    </row>
    <row r="835" spans="1:12" ht="19.5" customHeight="1" x14ac:dyDescent="0.35">
      <c r="A835" s="16" t="s">
        <v>3214</v>
      </c>
      <c r="B835" s="16" t="s">
        <v>1077</v>
      </c>
      <c r="C835" s="32">
        <v>0</v>
      </c>
      <c r="D835" s="32">
        <v>0</v>
      </c>
      <c r="E835" s="19">
        <v>4</v>
      </c>
      <c r="F835" s="19">
        <v>0</v>
      </c>
      <c r="G835" s="33">
        <v>0</v>
      </c>
      <c r="H835" s="32">
        <v>0</v>
      </c>
      <c r="I835" s="32">
        <v>0</v>
      </c>
      <c r="J835" s="16" t="s">
        <v>5509</v>
      </c>
      <c r="K835" s="16" t="s">
        <v>5510</v>
      </c>
      <c r="L835" s="16" t="s">
        <v>3941</v>
      </c>
    </row>
    <row r="836" spans="1:12" ht="19.5" customHeight="1" x14ac:dyDescent="0.35">
      <c r="A836" s="16" t="s">
        <v>3216</v>
      </c>
      <c r="B836" s="16" t="s">
        <v>2257</v>
      </c>
      <c r="C836" s="32">
        <v>0</v>
      </c>
      <c r="D836" s="32">
        <v>0</v>
      </c>
      <c r="E836" s="19">
        <v>4</v>
      </c>
      <c r="F836" s="19">
        <v>2</v>
      </c>
      <c r="G836" s="33">
        <v>0.5</v>
      </c>
      <c r="H836" s="32">
        <v>0</v>
      </c>
      <c r="I836" s="32">
        <v>0</v>
      </c>
      <c r="J836" s="16" t="s">
        <v>5511</v>
      </c>
      <c r="K836" s="16" t="s">
        <v>5512</v>
      </c>
      <c r="L836" s="16" t="s">
        <v>4491</v>
      </c>
    </row>
    <row r="837" spans="1:12" ht="19.5" customHeight="1" x14ac:dyDescent="0.35">
      <c r="A837" s="16" t="s">
        <v>3218</v>
      </c>
      <c r="B837" s="16" t="s">
        <v>921</v>
      </c>
      <c r="C837" s="32">
        <v>0</v>
      </c>
      <c r="D837" s="32">
        <v>0</v>
      </c>
      <c r="E837" s="19">
        <v>4</v>
      </c>
      <c r="F837" s="19">
        <v>0</v>
      </c>
      <c r="G837" s="33">
        <v>0</v>
      </c>
      <c r="H837" s="32">
        <v>0</v>
      </c>
      <c r="I837" s="32">
        <v>0</v>
      </c>
      <c r="J837" s="16" t="s">
        <v>4923</v>
      </c>
      <c r="K837" s="16" t="s">
        <v>5513</v>
      </c>
      <c r="L837" s="16" t="s">
        <v>4763</v>
      </c>
    </row>
    <row r="838" spans="1:12" ht="19.5" customHeight="1" x14ac:dyDescent="0.35">
      <c r="A838" s="16" t="s">
        <v>3219</v>
      </c>
      <c r="B838" s="16" t="s">
        <v>1077</v>
      </c>
      <c r="C838" s="32">
        <v>0</v>
      </c>
      <c r="D838" s="32">
        <v>0</v>
      </c>
      <c r="E838" s="19">
        <v>4</v>
      </c>
      <c r="F838" s="19">
        <v>0</v>
      </c>
      <c r="G838" s="33">
        <v>0</v>
      </c>
      <c r="H838" s="32">
        <v>0</v>
      </c>
      <c r="I838" s="32">
        <v>0</v>
      </c>
      <c r="J838" s="16" t="s">
        <v>5514</v>
      </c>
      <c r="K838" s="16" t="s">
        <v>5515</v>
      </c>
      <c r="L838" s="16" t="s">
        <v>3941</v>
      </c>
    </row>
    <row r="839" spans="1:12" ht="19.5" customHeight="1" x14ac:dyDescent="0.35">
      <c r="A839" s="16" t="s">
        <v>3221</v>
      </c>
      <c r="B839" s="16" t="s">
        <v>1084</v>
      </c>
      <c r="C839" s="32">
        <v>0</v>
      </c>
      <c r="D839" s="32">
        <v>0</v>
      </c>
      <c r="E839" s="19">
        <v>4</v>
      </c>
      <c r="F839" s="19">
        <v>0</v>
      </c>
      <c r="G839" s="33">
        <v>0</v>
      </c>
      <c r="H839" s="32">
        <v>0</v>
      </c>
      <c r="I839" s="32">
        <v>0</v>
      </c>
      <c r="J839" s="16" t="s">
        <v>5516</v>
      </c>
      <c r="K839" s="16" t="s">
        <v>5517</v>
      </c>
      <c r="L839" s="16" t="s">
        <v>4253</v>
      </c>
    </row>
    <row r="840" spans="1:12" ht="19.5" customHeight="1" x14ac:dyDescent="0.35">
      <c r="A840" s="16" t="s">
        <v>3223</v>
      </c>
      <c r="B840" s="16" t="s">
        <v>909</v>
      </c>
      <c r="C840" s="32">
        <v>0</v>
      </c>
      <c r="D840" s="32">
        <v>0</v>
      </c>
      <c r="E840" s="19">
        <v>4</v>
      </c>
      <c r="F840" s="19">
        <v>0</v>
      </c>
      <c r="G840" s="33">
        <v>0</v>
      </c>
      <c r="H840" s="32">
        <v>0</v>
      </c>
      <c r="I840" s="32">
        <v>0</v>
      </c>
      <c r="J840" s="16" t="s">
        <v>5518</v>
      </c>
      <c r="K840" s="16" t="s">
        <v>5519</v>
      </c>
      <c r="L840" s="16" t="s">
        <v>4052</v>
      </c>
    </row>
    <row r="841" spans="1:12" ht="19.5" customHeight="1" x14ac:dyDescent="0.35">
      <c r="A841" s="16" t="s">
        <v>3225</v>
      </c>
      <c r="B841" s="16" t="s">
        <v>963</v>
      </c>
      <c r="C841" s="32">
        <v>0</v>
      </c>
      <c r="D841" s="32">
        <v>0</v>
      </c>
      <c r="E841" s="19">
        <v>4</v>
      </c>
      <c r="F841" s="19">
        <v>0</v>
      </c>
      <c r="G841" s="33">
        <v>0</v>
      </c>
      <c r="H841" s="32">
        <v>0</v>
      </c>
      <c r="I841" s="32">
        <v>0</v>
      </c>
      <c r="J841" s="16" t="s">
        <v>5520</v>
      </c>
      <c r="K841" s="16" t="s">
        <v>5521</v>
      </c>
      <c r="L841" s="16" t="s">
        <v>4253</v>
      </c>
    </row>
    <row r="842" spans="1:12" ht="19.5" customHeight="1" x14ac:dyDescent="0.35">
      <c r="A842" s="16" t="s">
        <v>3227</v>
      </c>
      <c r="B842" s="16" t="s">
        <v>1817</v>
      </c>
      <c r="C842" s="32">
        <v>0</v>
      </c>
      <c r="D842" s="32">
        <v>0</v>
      </c>
      <c r="E842" s="19">
        <v>4</v>
      </c>
      <c r="F842" s="19">
        <v>1</v>
      </c>
      <c r="G842" s="33">
        <v>0.25</v>
      </c>
      <c r="H842" s="32">
        <v>0</v>
      </c>
      <c r="I842" s="32">
        <v>0</v>
      </c>
      <c r="J842" s="16" t="s">
        <v>4757</v>
      </c>
      <c r="K842" s="16" t="s">
        <v>5522</v>
      </c>
      <c r="L842" s="16" t="s">
        <v>4052</v>
      </c>
    </row>
    <row r="843" spans="1:12" ht="19.5" customHeight="1" x14ac:dyDescent="0.35">
      <c r="A843" s="16" t="s">
        <v>3228</v>
      </c>
      <c r="B843" s="16" t="s">
        <v>989</v>
      </c>
      <c r="C843" s="32">
        <v>0</v>
      </c>
      <c r="D843" s="32">
        <v>0</v>
      </c>
      <c r="E843" s="19">
        <v>4</v>
      </c>
      <c r="F843" s="19">
        <v>0</v>
      </c>
      <c r="G843" s="33">
        <v>0</v>
      </c>
      <c r="H843" s="32">
        <v>0</v>
      </c>
      <c r="I843" s="32">
        <v>0</v>
      </c>
      <c r="J843" s="16" t="s">
        <v>5131</v>
      </c>
      <c r="K843" s="16" t="s">
        <v>5523</v>
      </c>
      <c r="L843" s="16" t="s">
        <v>5294</v>
      </c>
    </row>
    <row r="844" spans="1:12" ht="19.5" customHeight="1" x14ac:dyDescent="0.35">
      <c r="A844" s="16" t="s">
        <v>3229</v>
      </c>
      <c r="B844" s="16" t="s">
        <v>921</v>
      </c>
      <c r="C844" s="32">
        <v>0</v>
      </c>
      <c r="D844" s="32">
        <v>0</v>
      </c>
      <c r="E844" s="19">
        <v>4</v>
      </c>
      <c r="F844" s="19">
        <v>0</v>
      </c>
      <c r="G844" s="33">
        <v>0</v>
      </c>
      <c r="H844" s="32">
        <v>0</v>
      </c>
      <c r="I844" s="32">
        <v>0</v>
      </c>
      <c r="J844" s="16" t="s">
        <v>5524</v>
      </c>
      <c r="K844" s="16" t="s">
        <v>5525</v>
      </c>
      <c r="L844" s="16" t="s">
        <v>4052</v>
      </c>
    </row>
    <row r="845" spans="1:12" ht="19.5" customHeight="1" x14ac:dyDescent="0.35">
      <c r="A845" s="16" t="s">
        <v>3231</v>
      </c>
      <c r="B845" s="16" t="s">
        <v>1009</v>
      </c>
      <c r="C845" s="32">
        <v>0</v>
      </c>
      <c r="D845" s="32">
        <v>0</v>
      </c>
      <c r="E845" s="19">
        <v>4</v>
      </c>
      <c r="F845" s="19">
        <v>0</v>
      </c>
      <c r="G845" s="33">
        <v>0</v>
      </c>
      <c r="H845" s="32">
        <v>0</v>
      </c>
      <c r="I845" s="32">
        <v>0</v>
      </c>
      <c r="J845" s="16" t="s">
        <v>5511</v>
      </c>
      <c r="K845" s="16" t="s">
        <v>5526</v>
      </c>
      <c r="L845" s="16" t="s">
        <v>4052</v>
      </c>
    </row>
    <row r="846" spans="1:12" ht="19.5" customHeight="1" x14ac:dyDescent="0.35">
      <c r="A846" s="16" t="s">
        <v>3232</v>
      </c>
      <c r="B846" s="16" t="s">
        <v>1122</v>
      </c>
      <c r="C846" s="32">
        <v>0</v>
      </c>
      <c r="D846" s="32">
        <v>0</v>
      </c>
      <c r="E846" s="19">
        <v>4</v>
      </c>
      <c r="F846" s="19">
        <v>0</v>
      </c>
      <c r="G846" s="33">
        <v>0</v>
      </c>
      <c r="H846" s="32">
        <v>0</v>
      </c>
      <c r="I846" s="32">
        <v>0</v>
      </c>
      <c r="J846" s="16" t="s">
        <v>5527</v>
      </c>
      <c r="K846" s="16" t="s">
        <v>5528</v>
      </c>
      <c r="L846" s="16" t="s">
        <v>4604</v>
      </c>
    </row>
    <row r="847" spans="1:12" ht="19.5" customHeight="1" x14ac:dyDescent="0.35">
      <c r="A847" s="16" t="s">
        <v>3234</v>
      </c>
      <c r="B847" s="16" t="s">
        <v>1077</v>
      </c>
      <c r="C847" s="32">
        <v>0</v>
      </c>
      <c r="D847" s="32">
        <v>0</v>
      </c>
      <c r="E847" s="19">
        <v>4</v>
      </c>
      <c r="F847" s="19">
        <v>0</v>
      </c>
      <c r="G847" s="33">
        <v>0</v>
      </c>
      <c r="H847" s="32">
        <v>0</v>
      </c>
      <c r="I847" s="32">
        <v>0</v>
      </c>
      <c r="J847" s="16" t="s">
        <v>5529</v>
      </c>
      <c r="K847" s="16" t="s">
        <v>5530</v>
      </c>
      <c r="L847" s="16" t="s">
        <v>4214</v>
      </c>
    </row>
    <row r="848" spans="1:12" ht="19.5" customHeight="1" x14ac:dyDescent="0.35">
      <c r="A848" s="16" t="s">
        <v>3236</v>
      </c>
      <c r="B848" s="16" t="s">
        <v>963</v>
      </c>
      <c r="C848" s="32">
        <v>0</v>
      </c>
      <c r="D848" s="32">
        <v>0</v>
      </c>
      <c r="E848" s="19">
        <v>4</v>
      </c>
      <c r="F848" s="19">
        <v>0</v>
      </c>
      <c r="G848" s="33">
        <v>0</v>
      </c>
      <c r="H848" s="32">
        <v>0</v>
      </c>
      <c r="I848" s="32">
        <v>0</v>
      </c>
      <c r="J848" s="16" t="s">
        <v>5520</v>
      </c>
      <c r="K848" s="16" t="s">
        <v>5531</v>
      </c>
      <c r="L848" s="16" t="s">
        <v>4839</v>
      </c>
    </row>
    <row r="849" spans="1:12" ht="19.5" customHeight="1" x14ac:dyDescent="0.35">
      <c r="A849" s="16" t="s">
        <v>3237</v>
      </c>
      <c r="B849" s="16" t="s">
        <v>921</v>
      </c>
      <c r="C849" s="32">
        <v>0</v>
      </c>
      <c r="D849" s="32">
        <v>0</v>
      </c>
      <c r="E849" s="19">
        <v>4</v>
      </c>
      <c r="F849" s="19">
        <v>0</v>
      </c>
      <c r="G849" s="33">
        <v>0</v>
      </c>
      <c r="H849" s="32">
        <v>0</v>
      </c>
      <c r="I849" s="32">
        <v>0</v>
      </c>
      <c r="J849" s="16" t="s">
        <v>5532</v>
      </c>
      <c r="K849" s="16" t="s">
        <v>5533</v>
      </c>
      <c r="L849" s="16" t="s">
        <v>5014</v>
      </c>
    </row>
    <row r="850" spans="1:12" ht="19.5" customHeight="1" x14ac:dyDescent="0.35">
      <c r="A850" s="16" t="s">
        <v>3239</v>
      </c>
      <c r="B850" s="16" t="s">
        <v>1122</v>
      </c>
      <c r="C850" s="32">
        <v>0</v>
      </c>
      <c r="D850" s="32">
        <v>0</v>
      </c>
      <c r="E850" s="19">
        <v>4</v>
      </c>
      <c r="F850" s="19">
        <v>0</v>
      </c>
      <c r="G850" s="33">
        <v>0</v>
      </c>
      <c r="H850" s="32">
        <v>0</v>
      </c>
      <c r="I850" s="32">
        <v>0</v>
      </c>
      <c r="J850" s="16" t="s">
        <v>5509</v>
      </c>
      <c r="K850" s="16" t="s">
        <v>5534</v>
      </c>
      <c r="L850" s="16" t="s">
        <v>4214</v>
      </c>
    </row>
    <row r="851" spans="1:12" ht="19.5" customHeight="1" x14ac:dyDescent="0.35">
      <c r="A851" s="16" t="s">
        <v>3240</v>
      </c>
      <c r="B851" s="16" t="s">
        <v>1077</v>
      </c>
      <c r="C851" s="32">
        <v>0</v>
      </c>
      <c r="D851" s="32">
        <v>0</v>
      </c>
      <c r="E851" s="19">
        <v>4</v>
      </c>
      <c r="F851" s="19">
        <v>0</v>
      </c>
      <c r="G851" s="33">
        <v>0</v>
      </c>
      <c r="H851" s="32">
        <v>0</v>
      </c>
      <c r="I851" s="32">
        <v>0</v>
      </c>
      <c r="J851" s="16" t="s">
        <v>5535</v>
      </c>
      <c r="K851" s="16" t="s">
        <v>5536</v>
      </c>
      <c r="L851" s="16" t="s">
        <v>4214</v>
      </c>
    </row>
    <row r="852" spans="1:12" ht="19.5" customHeight="1" x14ac:dyDescent="0.35">
      <c r="A852" s="16" t="s">
        <v>3242</v>
      </c>
      <c r="B852" s="16" t="s">
        <v>1143</v>
      </c>
      <c r="C852" s="32">
        <v>0</v>
      </c>
      <c r="D852" s="32">
        <v>0</v>
      </c>
      <c r="E852" s="19">
        <v>4</v>
      </c>
      <c r="F852" s="19">
        <v>1</v>
      </c>
      <c r="G852" s="33">
        <v>0.25</v>
      </c>
      <c r="H852" s="32">
        <v>0</v>
      </c>
      <c r="I852" s="32">
        <v>0</v>
      </c>
      <c r="J852" s="16" t="s">
        <v>5529</v>
      </c>
      <c r="K852" s="16" t="s">
        <v>5537</v>
      </c>
      <c r="L852" s="16" t="s">
        <v>4534</v>
      </c>
    </row>
    <row r="853" spans="1:12" ht="19.5" customHeight="1" x14ac:dyDescent="0.35">
      <c r="A853" s="16" t="s">
        <v>3243</v>
      </c>
      <c r="B853" s="16" t="s">
        <v>1077</v>
      </c>
      <c r="C853" s="32">
        <v>0</v>
      </c>
      <c r="D853" s="32">
        <v>0</v>
      </c>
      <c r="E853" s="19">
        <v>4</v>
      </c>
      <c r="F853" s="19">
        <v>0</v>
      </c>
      <c r="G853" s="33">
        <v>0</v>
      </c>
      <c r="H853" s="32">
        <v>0</v>
      </c>
      <c r="I853" s="32">
        <v>0</v>
      </c>
      <c r="J853" s="16" t="s">
        <v>5538</v>
      </c>
      <c r="K853" s="16" t="s">
        <v>5539</v>
      </c>
      <c r="L853" s="16" t="s">
        <v>4360</v>
      </c>
    </row>
    <row r="854" spans="1:12" ht="19.5" customHeight="1" x14ac:dyDescent="0.35">
      <c r="A854" s="16" t="s">
        <v>3245</v>
      </c>
      <c r="B854" s="16" t="s">
        <v>1077</v>
      </c>
      <c r="C854" s="32">
        <v>0</v>
      </c>
      <c r="D854" s="32">
        <v>0</v>
      </c>
      <c r="E854" s="19">
        <v>4</v>
      </c>
      <c r="F854" s="19">
        <v>0</v>
      </c>
      <c r="G854" s="33">
        <v>0</v>
      </c>
      <c r="H854" s="32">
        <v>0</v>
      </c>
      <c r="I854" s="32">
        <v>0</v>
      </c>
      <c r="J854" s="16" t="s">
        <v>5540</v>
      </c>
      <c r="K854" s="16" t="s">
        <v>5541</v>
      </c>
      <c r="L854" s="16" t="s">
        <v>4360</v>
      </c>
    </row>
    <row r="855" spans="1:12" ht="19.5" customHeight="1" x14ac:dyDescent="0.35">
      <c r="A855" s="16" t="s">
        <v>3247</v>
      </c>
      <c r="B855" s="16" t="s">
        <v>1077</v>
      </c>
      <c r="C855" s="32">
        <v>0</v>
      </c>
      <c r="D855" s="32">
        <v>0</v>
      </c>
      <c r="E855" s="19">
        <v>4</v>
      </c>
      <c r="F855" s="19">
        <v>0</v>
      </c>
      <c r="G855" s="33">
        <v>0</v>
      </c>
      <c r="H855" s="32">
        <v>0</v>
      </c>
      <c r="I855" s="32">
        <v>0</v>
      </c>
      <c r="J855" s="16" t="s">
        <v>5542</v>
      </c>
      <c r="K855" s="16" t="s">
        <v>5543</v>
      </c>
      <c r="L855" s="16" t="s">
        <v>4360</v>
      </c>
    </row>
    <row r="856" spans="1:12" ht="19.5" customHeight="1" x14ac:dyDescent="0.35">
      <c r="A856" s="16" t="s">
        <v>3249</v>
      </c>
      <c r="B856" s="16" t="s">
        <v>1490</v>
      </c>
      <c r="C856" s="32">
        <v>0</v>
      </c>
      <c r="D856" s="32">
        <v>0</v>
      </c>
      <c r="E856" s="19">
        <v>4</v>
      </c>
      <c r="F856" s="19">
        <v>0</v>
      </c>
      <c r="G856" s="33">
        <v>0</v>
      </c>
      <c r="H856" s="32">
        <v>0</v>
      </c>
      <c r="I856" s="32">
        <v>0</v>
      </c>
      <c r="J856" s="16" t="s">
        <v>5544</v>
      </c>
      <c r="K856" s="16" t="s">
        <v>5545</v>
      </c>
      <c r="L856" s="16" t="s">
        <v>4491</v>
      </c>
    </row>
    <row r="857" spans="1:12" ht="19.5" customHeight="1" x14ac:dyDescent="0.35">
      <c r="A857" s="16" t="s">
        <v>3251</v>
      </c>
      <c r="B857" s="16" t="s">
        <v>1494</v>
      </c>
      <c r="C857" s="32">
        <v>0</v>
      </c>
      <c r="D857" s="32">
        <v>0</v>
      </c>
      <c r="E857" s="19">
        <v>4</v>
      </c>
      <c r="F857" s="19">
        <v>0</v>
      </c>
      <c r="G857" s="33">
        <v>0</v>
      </c>
      <c r="H857" s="32">
        <v>0</v>
      </c>
      <c r="I857" s="32">
        <v>0</v>
      </c>
      <c r="J857" s="16" t="s">
        <v>4757</v>
      </c>
      <c r="K857" s="16" t="s">
        <v>5546</v>
      </c>
      <c r="L857" s="16" t="s">
        <v>5031</v>
      </c>
    </row>
    <row r="858" spans="1:12" ht="19.5" customHeight="1" x14ac:dyDescent="0.35">
      <c r="A858" s="16" t="s">
        <v>3252</v>
      </c>
      <c r="B858" s="16" t="s">
        <v>1768</v>
      </c>
      <c r="C858" s="32">
        <v>0</v>
      </c>
      <c r="D858" s="32">
        <v>0</v>
      </c>
      <c r="E858" s="19">
        <v>4</v>
      </c>
      <c r="F858" s="19">
        <v>0</v>
      </c>
      <c r="G858" s="33">
        <v>0</v>
      </c>
      <c r="H858" s="32">
        <v>0</v>
      </c>
      <c r="I858" s="32">
        <v>0</v>
      </c>
      <c r="J858" s="16" t="s">
        <v>5547</v>
      </c>
      <c r="K858" s="16" t="s">
        <v>5548</v>
      </c>
      <c r="L858" s="16" t="s">
        <v>4491</v>
      </c>
    </row>
    <row r="859" spans="1:12" ht="19.5" customHeight="1" x14ac:dyDescent="0.35">
      <c r="A859" s="16" t="s">
        <v>3254</v>
      </c>
      <c r="B859" s="16" t="s">
        <v>1143</v>
      </c>
      <c r="C859" s="32">
        <v>0</v>
      </c>
      <c r="D859" s="32">
        <v>0</v>
      </c>
      <c r="E859" s="19">
        <v>3</v>
      </c>
      <c r="F859" s="19">
        <v>0</v>
      </c>
      <c r="G859" s="33">
        <v>0</v>
      </c>
      <c r="H859" s="32">
        <v>0</v>
      </c>
      <c r="I859" s="32">
        <v>0</v>
      </c>
      <c r="J859" s="16" t="s">
        <v>5549</v>
      </c>
      <c r="K859" s="16" t="s">
        <v>5550</v>
      </c>
      <c r="L859" s="16" t="s">
        <v>4253</v>
      </c>
    </row>
    <row r="860" spans="1:12" ht="19.5" customHeight="1" x14ac:dyDescent="0.35">
      <c r="A860" s="16" t="s">
        <v>3256</v>
      </c>
      <c r="B860" s="16" t="s">
        <v>1817</v>
      </c>
      <c r="C860" s="32">
        <v>0</v>
      </c>
      <c r="D860" s="32">
        <v>0</v>
      </c>
      <c r="E860" s="19">
        <v>3</v>
      </c>
      <c r="F860" s="19">
        <v>0</v>
      </c>
      <c r="G860" s="33">
        <v>0</v>
      </c>
      <c r="H860" s="32">
        <v>0</v>
      </c>
      <c r="I860" s="32">
        <v>0</v>
      </c>
      <c r="J860" s="16" t="s">
        <v>4931</v>
      </c>
      <c r="K860" s="16" t="s">
        <v>5551</v>
      </c>
      <c r="L860" s="16" t="s">
        <v>4253</v>
      </c>
    </row>
    <row r="861" spans="1:12" ht="19.5" customHeight="1" x14ac:dyDescent="0.35">
      <c r="A861" s="16" t="s">
        <v>3257</v>
      </c>
      <c r="B861" s="16" t="s">
        <v>1690</v>
      </c>
      <c r="C861" s="32">
        <v>0</v>
      </c>
      <c r="D861" s="32">
        <v>0</v>
      </c>
      <c r="E861" s="19">
        <v>3</v>
      </c>
      <c r="F861" s="19">
        <v>1</v>
      </c>
      <c r="G861" s="33">
        <v>0.33333333333333298</v>
      </c>
      <c r="H861" s="32">
        <v>0</v>
      </c>
      <c r="I861" s="32">
        <v>0</v>
      </c>
      <c r="J861" s="16" t="s">
        <v>4984</v>
      </c>
      <c r="K861" s="16" t="s">
        <v>5552</v>
      </c>
      <c r="L861" s="16" t="s">
        <v>4349</v>
      </c>
    </row>
    <row r="862" spans="1:12" ht="19.5" customHeight="1" x14ac:dyDescent="0.35">
      <c r="A862" s="16" t="s">
        <v>3258</v>
      </c>
      <c r="B862" s="16" t="s">
        <v>1697</v>
      </c>
      <c r="C862" s="32">
        <v>0</v>
      </c>
      <c r="D862" s="32">
        <v>0</v>
      </c>
      <c r="E862" s="19">
        <v>3</v>
      </c>
      <c r="F862" s="19">
        <v>0</v>
      </c>
      <c r="G862" s="33">
        <v>0</v>
      </c>
      <c r="H862" s="32">
        <v>0</v>
      </c>
      <c r="I862" s="32">
        <v>0</v>
      </c>
      <c r="J862" s="16" t="s">
        <v>5372</v>
      </c>
      <c r="K862" s="16" t="s">
        <v>5553</v>
      </c>
      <c r="L862" s="16" t="s">
        <v>4253</v>
      </c>
    </row>
    <row r="863" spans="1:12" ht="19.5" customHeight="1" x14ac:dyDescent="0.35">
      <c r="A863" s="16" t="s">
        <v>3259</v>
      </c>
      <c r="B863" s="16" t="s">
        <v>1731</v>
      </c>
      <c r="C863" s="32">
        <v>0</v>
      </c>
      <c r="D863" s="32">
        <v>0</v>
      </c>
      <c r="E863" s="19">
        <v>3</v>
      </c>
      <c r="F863" s="19">
        <v>0</v>
      </c>
      <c r="G863" s="33">
        <v>0</v>
      </c>
      <c r="H863" s="32">
        <v>0</v>
      </c>
      <c r="I863" s="32">
        <v>0</v>
      </c>
      <c r="J863" s="16" t="s">
        <v>5554</v>
      </c>
      <c r="K863" s="16" t="s">
        <v>5555</v>
      </c>
      <c r="L863" s="16" t="s">
        <v>4534</v>
      </c>
    </row>
    <row r="864" spans="1:12" ht="19.5" customHeight="1" x14ac:dyDescent="0.35">
      <c r="A864" s="16" t="s">
        <v>3261</v>
      </c>
      <c r="B864" s="16" t="s">
        <v>1240</v>
      </c>
      <c r="C864" s="32">
        <v>0</v>
      </c>
      <c r="D864" s="32">
        <v>0</v>
      </c>
      <c r="E864" s="19">
        <v>3</v>
      </c>
      <c r="F864" s="19">
        <v>0</v>
      </c>
      <c r="G864" s="33">
        <v>0</v>
      </c>
      <c r="H864" s="32">
        <v>0</v>
      </c>
      <c r="I864" s="32">
        <v>0</v>
      </c>
      <c r="J864" s="16" t="s">
        <v>5372</v>
      </c>
      <c r="K864" s="16" t="s">
        <v>5556</v>
      </c>
      <c r="L864" s="16" t="s">
        <v>4871</v>
      </c>
    </row>
    <row r="865" spans="1:12" ht="19.5" customHeight="1" x14ac:dyDescent="0.35">
      <c r="A865" s="16" t="s">
        <v>3262</v>
      </c>
      <c r="B865" s="16" t="s">
        <v>1299</v>
      </c>
      <c r="C865" s="32">
        <v>0</v>
      </c>
      <c r="D865" s="32">
        <v>0</v>
      </c>
      <c r="E865" s="19">
        <v>3</v>
      </c>
      <c r="F865" s="19">
        <v>0</v>
      </c>
      <c r="G865" s="33">
        <v>0</v>
      </c>
      <c r="H865" s="32">
        <v>0</v>
      </c>
      <c r="I865" s="32">
        <v>0</v>
      </c>
      <c r="J865" s="16" t="s">
        <v>5557</v>
      </c>
      <c r="K865" s="16" t="s">
        <v>5558</v>
      </c>
      <c r="L865" s="16" t="s">
        <v>4871</v>
      </c>
    </row>
    <row r="866" spans="1:12" ht="19.5" customHeight="1" x14ac:dyDescent="0.35">
      <c r="A866" s="16" t="s">
        <v>3264</v>
      </c>
      <c r="B866" s="16" t="s">
        <v>2602</v>
      </c>
      <c r="C866" s="32">
        <v>0</v>
      </c>
      <c r="D866" s="32">
        <v>0</v>
      </c>
      <c r="E866" s="19">
        <v>3</v>
      </c>
      <c r="F866" s="19">
        <v>0</v>
      </c>
      <c r="G866" s="33">
        <v>0</v>
      </c>
      <c r="H866" s="32">
        <v>0</v>
      </c>
      <c r="I866" s="32">
        <v>0</v>
      </c>
      <c r="J866" s="16" t="s">
        <v>5559</v>
      </c>
      <c r="K866" s="16" t="s">
        <v>5560</v>
      </c>
      <c r="L866" s="16" t="s">
        <v>3941</v>
      </c>
    </row>
    <row r="867" spans="1:12" ht="19.5" customHeight="1" x14ac:dyDescent="0.35">
      <c r="A867" s="16" t="s">
        <v>3266</v>
      </c>
      <c r="B867" s="16" t="s">
        <v>1118</v>
      </c>
      <c r="C867" s="32">
        <v>0</v>
      </c>
      <c r="D867" s="32">
        <v>0</v>
      </c>
      <c r="E867" s="19">
        <v>3</v>
      </c>
      <c r="F867" s="19">
        <v>0</v>
      </c>
      <c r="G867" s="33">
        <v>0</v>
      </c>
      <c r="H867" s="32">
        <v>0</v>
      </c>
      <c r="I867" s="32">
        <v>0</v>
      </c>
      <c r="J867" s="16" t="s">
        <v>5277</v>
      </c>
      <c r="K867" s="16" t="s">
        <v>5561</v>
      </c>
      <c r="L867" s="16" t="s">
        <v>4772</v>
      </c>
    </row>
    <row r="868" spans="1:12" ht="19.5" customHeight="1" x14ac:dyDescent="0.35">
      <c r="A868" s="16" t="s">
        <v>3267</v>
      </c>
      <c r="B868" s="16" t="s">
        <v>898</v>
      </c>
      <c r="C868" s="32">
        <v>0</v>
      </c>
      <c r="D868" s="32">
        <v>0</v>
      </c>
      <c r="E868" s="19">
        <v>3</v>
      </c>
      <c r="F868" s="19">
        <v>1</v>
      </c>
      <c r="G868" s="33">
        <v>0.33333333333333298</v>
      </c>
      <c r="H868" s="32">
        <v>0</v>
      </c>
      <c r="I868" s="32">
        <v>0</v>
      </c>
      <c r="J868" s="16" t="s">
        <v>5277</v>
      </c>
      <c r="K868" s="16" t="s">
        <v>5562</v>
      </c>
      <c r="L868" s="16" t="s">
        <v>4349</v>
      </c>
    </row>
    <row r="869" spans="1:12" ht="19.5" customHeight="1" x14ac:dyDescent="0.35">
      <c r="A869" s="16" t="s">
        <v>3268</v>
      </c>
      <c r="B869" s="16" t="s">
        <v>1136</v>
      </c>
      <c r="C869" s="32">
        <v>0</v>
      </c>
      <c r="D869" s="32">
        <v>0</v>
      </c>
      <c r="E869" s="19">
        <v>3</v>
      </c>
      <c r="F869" s="19">
        <v>0</v>
      </c>
      <c r="G869" s="33">
        <v>0</v>
      </c>
      <c r="H869" s="32">
        <v>0</v>
      </c>
      <c r="I869" s="32">
        <v>0</v>
      </c>
      <c r="J869" s="16" t="s">
        <v>4856</v>
      </c>
      <c r="K869" s="16" t="s">
        <v>5563</v>
      </c>
      <c r="L869" s="16" t="s">
        <v>4253</v>
      </c>
    </row>
    <row r="870" spans="1:12" ht="19.5" customHeight="1" x14ac:dyDescent="0.35">
      <c r="A870" s="16" t="s">
        <v>3269</v>
      </c>
      <c r="B870" s="16" t="s">
        <v>1143</v>
      </c>
      <c r="C870" s="32">
        <v>0</v>
      </c>
      <c r="D870" s="32">
        <v>0</v>
      </c>
      <c r="E870" s="19">
        <v>3</v>
      </c>
      <c r="F870" s="19">
        <v>0</v>
      </c>
      <c r="G870" s="33">
        <v>0</v>
      </c>
      <c r="H870" s="32">
        <v>0</v>
      </c>
      <c r="I870" s="32">
        <v>0</v>
      </c>
      <c r="J870" s="16" t="s">
        <v>5564</v>
      </c>
      <c r="K870" s="16" t="s">
        <v>5565</v>
      </c>
      <c r="L870" s="16" t="s">
        <v>5294</v>
      </c>
    </row>
    <row r="871" spans="1:12" ht="19.5" customHeight="1" x14ac:dyDescent="0.35">
      <c r="A871" s="16" t="s">
        <v>3271</v>
      </c>
      <c r="B871" s="16" t="s">
        <v>1299</v>
      </c>
      <c r="C871" s="32">
        <v>0</v>
      </c>
      <c r="D871" s="32">
        <v>0</v>
      </c>
      <c r="E871" s="19">
        <v>3</v>
      </c>
      <c r="F871" s="19">
        <v>0</v>
      </c>
      <c r="G871" s="33">
        <v>0</v>
      </c>
      <c r="H871" s="32">
        <v>0</v>
      </c>
      <c r="I871" s="32">
        <v>0</v>
      </c>
      <c r="J871" s="16" t="s">
        <v>5559</v>
      </c>
      <c r="K871" s="16" t="s">
        <v>5566</v>
      </c>
      <c r="L871" s="16" t="s">
        <v>4253</v>
      </c>
    </row>
    <row r="872" spans="1:12" ht="19.5" customHeight="1" x14ac:dyDescent="0.35">
      <c r="A872" s="16" t="s">
        <v>3272</v>
      </c>
      <c r="B872" s="16" t="s">
        <v>1077</v>
      </c>
      <c r="C872" s="32">
        <v>0</v>
      </c>
      <c r="D872" s="32">
        <v>0</v>
      </c>
      <c r="E872" s="19">
        <v>3</v>
      </c>
      <c r="F872" s="19">
        <v>0</v>
      </c>
      <c r="G872" s="33">
        <v>0</v>
      </c>
      <c r="H872" s="32">
        <v>0</v>
      </c>
      <c r="I872" s="32">
        <v>0</v>
      </c>
      <c r="J872" s="16" t="s">
        <v>4856</v>
      </c>
      <c r="K872" s="16" t="s">
        <v>5567</v>
      </c>
      <c r="L872" s="16" t="s">
        <v>4772</v>
      </c>
    </row>
    <row r="873" spans="1:12" ht="19.5" customHeight="1" x14ac:dyDescent="0.35">
      <c r="A873" s="16" t="s">
        <v>3273</v>
      </c>
      <c r="B873" s="16" t="s">
        <v>1077</v>
      </c>
      <c r="C873" s="32">
        <v>0</v>
      </c>
      <c r="D873" s="32">
        <v>0</v>
      </c>
      <c r="E873" s="19">
        <v>3</v>
      </c>
      <c r="F873" s="19">
        <v>0</v>
      </c>
      <c r="G873" s="33">
        <v>0</v>
      </c>
      <c r="H873" s="32">
        <v>0</v>
      </c>
      <c r="I873" s="32">
        <v>0</v>
      </c>
      <c r="J873" s="16" t="s">
        <v>5568</v>
      </c>
      <c r="K873" s="16" t="s">
        <v>5569</v>
      </c>
      <c r="L873" s="16" t="s">
        <v>4772</v>
      </c>
    </row>
    <row r="874" spans="1:12" ht="19.5" customHeight="1" x14ac:dyDescent="0.35">
      <c r="A874" s="16" t="s">
        <v>3275</v>
      </c>
      <c r="B874" s="16" t="s">
        <v>989</v>
      </c>
      <c r="C874" s="32">
        <v>0</v>
      </c>
      <c r="D874" s="32">
        <v>0</v>
      </c>
      <c r="E874" s="19">
        <v>3</v>
      </c>
      <c r="F874" s="19">
        <v>0</v>
      </c>
      <c r="G874" s="33">
        <v>0</v>
      </c>
      <c r="H874" s="32">
        <v>0</v>
      </c>
      <c r="I874" s="32">
        <v>0</v>
      </c>
      <c r="J874" s="16" t="s">
        <v>5570</v>
      </c>
      <c r="K874" s="16" t="s">
        <v>5571</v>
      </c>
      <c r="L874" s="16" t="s">
        <v>4858</v>
      </c>
    </row>
    <row r="875" spans="1:12" ht="19.5" customHeight="1" x14ac:dyDescent="0.35">
      <c r="A875" s="16" t="s">
        <v>3277</v>
      </c>
      <c r="B875" s="16" t="s">
        <v>1077</v>
      </c>
      <c r="C875" s="32">
        <v>0</v>
      </c>
      <c r="D875" s="32">
        <v>0</v>
      </c>
      <c r="E875" s="19">
        <v>3</v>
      </c>
      <c r="F875" s="19">
        <v>0</v>
      </c>
      <c r="G875" s="33">
        <v>0</v>
      </c>
      <c r="H875" s="32">
        <v>0</v>
      </c>
      <c r="I875" s="32">
        <v>0</v>
      </c>
      <c r="J875" s="16" t="s">
        <v>5572</v>
      </c>
      <c r="K875" s="16" t="s">
        <v>5573</v>
      </c>
      <c r="L875" s="16" t="s">
        <v>4772</v>
      </c>
    </row>
    <row r="876" spans="1:12" ht="19.5" customHeight="1" x14ac:dyDescent="0.35">
      <c r="A876" s="16" t="s">
        <v>3279</v>
      </c>
      <c r="B876" s="16" t="s">
        <v>1077</v>
      </c>
      <c r="C876" s="32">
        <v>0</v>
      </c>
      <c r="D876" s="32">
        <v>0</v>
      </c>
      <c r="E876" s="19">
        <v>3</v>
      </c>
      <c r="F876" s="19">
        <v>0</v>
      </c>
      <c r="G876" s="33">
        <v>0</v>
      </c>
      <c r="H876" s="32">
        <v>0</v>
      </c>
      <c r="I876" s="32">
        <v>0</v>
      </c>
      <c r="J876" s="16" t="s">
        <v>5549</v>
      </c>
      <c r="K876" s="16" t="s">
        <v>5574</v>
      </c>
      <c r="L876" s="16" t="s">
        <v>4253</v>
      </c>
    </row>
    <row r="877" spans="1:12" ht="19.5" customHeight="1" x14ac:dyDescent="0.35">
      <c r="A877" s="16" t="s">
        <v>3280</v>
      </c>
      <c r="B877" s="16" t="s">
        <v>921</v>
      </c>
      <c r="C877" s="32">
        <v>0</v>
      </c>
      <c r="D877" s="32">
        <v>0</v>
      </c>
      <c r="E877" s="19">
        <v>3</v>
      </c>
      <c r="F877" s="19">
        <v>0</v>
      </c>
      <c r="G877" s="33">
        <v>0</v>
      </c>
      <c r="H877" s="32">
        <v>0</v>
      </c>
      <c r="I877" s="32">
        <v>0</v>
      </c>
      <c r="J877" s="16" t="s">
        <v>5549</v>
      </c>
      <c r="K877" s="16" t="s">
        <v>5575</v>
      </c>
      <c r="L877" s="16" t="s">
        <v>4905</v>
      </c>
    </row>
    <row r="878" spans="1:12" ht="19.5" customHeight="1" x14ac:dyDescent="0.35">
      <c r="A878" s="16" t="s">
        <v>3281</v>
      </c>
      <c r="B878" s="16" t="s">
        <v>1659</v>
      </c>
      <c r="C878" s="32">
        <v>0</v>
      </c>
      <c r="D878" s="32">
        <v>0</v>
      </c>
      <c r="E878" s="19">
        <v>3</v>
      </c>
      <c r="F878" s="19">
        <v>1</v>
      </c>
      <c r="G878" s="33">
        <v>0.33333333333333298</v>
      </c>
      <c r="H878" s="32">
        <v>0</v>
      </c>
      <c r="I878" s="32">
        <v>0</v>
      </c>
      <c r="J878" s="16" t="s">
        <v>5576</v>
      </c>
      <c r="K878" s="16" t="s">
        <v>5577</v>
      </c>
      <c r="L878" s="16" t="s">
        <v>4253</v>
      </c>
    </row>
    <row r="879" spans="1:12" ht="19.5" customHeight="1" x14ac:dyDescent="0.35">
      <c r="A879" s="16" t="s">
        <v>3283</v>
      </c>
      <c r="B879" s="16" t="s">
        <v>1659</v>
      </c>
      <c r="C879" s="32">
        <v>0</v>
      </c>
      <c r="D879" s="32">
        <v>0</v>
      </c>
      <c r="E879" s="19">
        <v>3</v>
      </c>
      <c r="F879" s="19">
        <v>0</v>
      </c>
      <c r="G879" s="33">
        <v>0</v>
      </c>
      <c r="H879" s="32">
        <v>0</v>
      </c>
      <c r="I879" s="32">
        <v>0</v>
      </c>
      <c r="J879" s="16" t="s">
        <v>5578</v>
      </c>
      <c r="K879" s="16" t="s">
        <v>5579</v>
      </c>
      <c r="L879" s="16" t="s">
        <v>4253</v>
      </c>
    </row>
    <row r="880" spans="1:12" ht="19.5" customHeight="1" x14ac:dyDescent="0.35">
      <c r="A880" s="16" t="s">
        <v>3285</v>
      </c>
      <c r="B880" s="16" t="s">
        <v>1077</v>
      </c>
      <c r="C880" s="32">
        <v>0</v>
      </c>
      <c r="D880" s="32">
        <v>0</v>
      </c>
      <c r="E880" s="19">
        <v>3</v>
      </c>
      <c r="F880" s="19">
        <v>0</v>
      </c>
      <c r="G880" s="33">
        <v>0</v>
      </c>
      <c r="H880" s="32">
        <v>0</v>
      </c>
      <c r="I880" s="32">
        <v>0</v>
      </c>
      <c r="J880" s="16" t="s">
        <v>5564</v>
      </c>
      <c r="K880" s="16" t="s">
        <v>5580</v>
      </c>
      <c r="L880" s="16" t="s">
        <v>4349</v>
      </c>
    </row>
    <row r="881" spans="1:12" ht="19.5" customHeight="1" x14ac:dyDescent="0.35">
      <c r="A881" s="16" t="s">
        <v>3286</v>
      </c>
      <c r="B881" s="16" t="s">
        <v>959</v>
      </c>
      <c r="C881" s="32">
        <v>0</v>
      </c>
      <c r="D881" s="32">
        <v>0</v>
      </c>
      <c r="E881" s="19">
        <v>3</v>
      </c>
      <c r="F881" s="19">
        <v>0</v>
      </c>
      <c r="G881" s="33">
        <v>0</v>
      </c>
      <c r="H881" s="32">
        <v>0</v>
      </c>
      <c r="I881" s="32">
        <v>0</v>
      </c>
      <c r="J881" s="16" t="s">
        <v>5581</v>
      </c>
      <c r="K881" s="16" t="s">
        <v>5582</v>
      </c>
      <c r="L881" s="16" t="s">
        <v>4604</v>
      </c>
    </row>
    <row r="882" spans="1:12" ht="19.5" customHeight="1" x14ac:dyDescent="0.35">
      <c r="A882" s="16" t="s">
        <v>3288</v>
      </c>
      <c r="B882" s="16" t="s">
        <v>1070</v>
      </c>
      <c r="C882" s="32">
        <v>0</v>
      </c>
      <c r="D882" s="32">
        <v>0</v>
      </c>
      <c r="E882" s="19">
        <v>3</v>
      </c>
      <c r="F882" s="19">
        <v>0</v>
      </c>
      <c r="G882" s="33">
        <v>0</v>
      </c>
      <c r="H882" s="32">
        <v>0</v>
      </c>
      <c r="I882" s="32">
        <v>0</v>
      </c>
      <c r="J882" s="16" t="s">
        <v>5583</v>
      </c>
      <c r="K882" s="16" t="s">
        <v>5584</v>
      </c>
      <c r="L882" s="16" t="s">
        <v>4253</v>
      </c>
    </row>
    <row r="883" spans="1:12" ht="19.5" customHeight="1" x14ac:dyDescent="0.35">
      <c r="A883" s="16" t="s">
        <v>3290</v>
      </c>
      <c r="B883" s="16" t="s">
        <v>996</v>
      </c>
      <c r="C883" s="32">
        <v>0</v>
      </c>
      <c r="D883" s="32">
        <v>0</v>
      </c>
      <c r="E883" s="19">
        <v>3</v>
      </c>
      <c r="F883" s="19">
        <v>0</v>
      </c>
      <c r="G883" s="33">
        <v>0</v>
      </c>
      <c r="H883" s="32">
        <v>0</v>
      </c>
      <c r="I883" s="32">
        <v>0</v>
      </c>
      <c r="J883" s="16" t="s">
        <v>5585</v>
      </c>
      <c r="K883" s="16" t="s">
        <v>5586</v>
      </c>
      <c r="L883" s="16" t="s">
        <v>4253</v>
      </c>
    </row>
    <row r="884" spans="1:12" ht="19.5" customHeight="1" x14ac:dyDescent="0.35">
      <c r="A884" s="16" t="s">
        <v>3292</v>
      </c>
      <c r="B884" s="16" t="s">
        <v>959</v>
      </c>
      <c r="C884" s="32">
        <v>0</v>
      </c>
      <c r="D884" s="32">
        <v>0</v>
      </c>
      <c r="E884" s="19">
        <v>3</v>
      </c>
      <c r="F884" s="19">
        <v>0</v>
      </c>
      <c r="G884" s="33">
        <v>0</v>
      </c>
      <c r="H884" s="32">
        <v>0</v>
      </c>
      <c r="I884" s="32">
        <v>0</v>
      </c>
      <c r="J884" s="16" t="s">
        <v>5549</v>
      </c>
      <c r="K884" s="16" t="s">
        <v>5587</v>
      </c>
      <c r="L884" s="16" t="s">
        <v>4214</v>
      </c>
    </row>
    <row r="885" spans="1:12" ht="19.5" customHeight="1" x14ac:dyDescent="0.35">
      <c r="A885" s="16" t="s">
        <v>3293</v>
      </c>
      <c r="B885" s="16" t="s">
        <v>1077</v>
      </c>
      <c r="C885" s="32">
        <v>0</v>
      </c>
      <c r="D885" s="32">
        <v>0</v>
      </c>
      <c r="E885" s="19">
        <v>3</v>
      </c>
      <c r="F885" s="19">
        <v>0</v>
      </c>
      <c r="G885" s="33">
        <v>0</v>
      </c>
      <c r="H885" s="32">
        <v>0</v>
      </c>
      <c r="I885" s="32">
        <v>0</v>
      </c>
      <c r="J885" s="16" t="s">
        <v>4856</v>
      </c>
      <c r="K885" s="16" t="s">
        <v>5588</v>
      </c>
      <c r="L885" s="16" t="s">
        <v>4214</v>
      </c>
    </row>
    <row r="886" spans="1:12" ht="19.5" customHeight="1" x14ac:dyDescent="0.35">
      <c r="A886" s="16" t="s">
        <v>3294</v>
      </c>
      <c r="B886" s="16" t="s">
        <v>1077</v>
      </c>
      <c r="C886" s="32">
        <v>0</v>
      </c>
      <c r="D886" s="32">
        <v>0</v>
      </c>
      <c r="E886" s="19">
        <v>3</v>
      </c>
      <c r="F886" s="19">
        <v>0</v>
      </c>
      <c r="G886" s="33">
        <v>0</v>
      </c>
      <c r="H886" s="32">
        <v>0</v>
      </c>
      <c r="I886" s="32">
        <v>0</v>
      </c>
      <c r="J886" s="16" t="s">
        <v>5589</v>
      </c>
      <c r="K886" s="16" t="s">
        <v>5590</v>
      </c>
      <c r="L886" s="16" t="s">
        <v>4214</v>
      </c>
    </row>
    <row r="887" spans="1:12" ht="19.5" customHeight="1" x14ac:dyDescent="0.35">
      <c r="A887" s="16" t="s">
        <v>3296</v>
      </c>
      <c r="B887" s="16" t="s">
        <v>1122</v>
      </c>
      <c r="C887" s="32">
        <v>0</v>
      </c>
      <c r="D887" s="32">
        <v>0</v>
      </c>
      <c r="E887" s="19">
        <v>3</v>
      </c>
      <c r="F887" s="19">
        <v>0</v>
      </c>
      <c r="G887" s="33">
        <v>0</v>
      </c>
      <c r="H887" s="32">
        <v>0</v>
      </c>
      <c r="I887" s="32">
        <v>0</v>
      </c>
      <c r="J887" s="16" t="s">
        <v>5286</v>
      </c>
      <c r="K887" s="16" t="s">
        <v>5591</v>
      </c>
      <c r="L887" s="16" t="s">
        <v>4763</v>
      </c>
    </row>
    <row r="888" spans="1:12" ht="19.5" customHeight="1" x14ac:dyDescent="0.35">
      <c r="A888" s="16" t="s">
        <v>3297</v>
      </c>
      <c r="B888" s="16" t="s">
        <v>921</v>
      </c>
      <c r="C888" s="32">
        <v>0</v>
      </c>
      <c r="D888" s="32">
        <v>0</v>
      </c>
      <c r="E888" s="19">
        <v>3</v>
      </c>
      <c r="F888" s="19">
        <v>0</v>
      </c>
      <c r="G888" s="33">
        <v>0</v>
      </c>
      <c r="H888" s="32">
        <v>0</v>
      </c>
      <c r="I888" s="32">
        <v>0</v>
      </c>
      <c r="J888" s="16" t="s">
        <v>5335</v>
      </c>
      <c r="K888" s="16" t="s">
        <v>5592</v>
      </c>
      <c r="L888" s="16" t="s">
        <v>4763</v>
      </c>
    </row>
    <row r="889" spans="1:12" ht="19.5" customHeight="1" x14ac:dyDescent="0.35">
      <c r="A889" s="16" t="s">
        <v>3298</v>
      </c>
      <c r="B889" s="16" t="s">
        <v>963</v>
      </c>
      <c r="C889" s="32">
        <v>0</v>
      </c>
      <c r="D889" s="32">
        <v>0</v>
      </c>
      <c r="E889" s="19">
        <v>3</v>
      </c>
      <c r="F889" s="19">
        <v>0</v>
      </c>
      <c r="G889" s="33">
        <v>0</v>
      </c>
      <c r="H889" s="32">
        <v>0</v>
      </c>
      <c r="I889" s="32">
        <v>0</v>
      </c>
      <c r="J889" s="16" t="s">
        <v>5549</v>
      </c>
      <c r="K889" s="16" t="s">
        <v>5593</v>
      </c>
      <c r="L889" s="16" t="s">
        <v>4839</v>
      </c>
    </row>
    <row r="890" spans="1:12" ht="19.5" customHeight="1" x14ac:dyDescent="0.35">
      <c r="A890" s="16" t="s">
        <v>3299</v>
      </c>
      <c r="B890" s="16" t="s">
        <v>1122</v>
      </c>
      <c r="C890" s="32">
        <v>0</v>
      </c>
      <c r="D890" s="32">
        <v>0</v>
      </c>
      <c r="E890" s="19">
        <v>3</v>
      </c>
      <c r="F890" s="19">
        <v>0</v>
      </c>
      <c r="G890" s="33">
        <v>0</v>
      </c>
      <c r="H890" s="32">
        <v>0</v>
      </c>
      <c r="I890" s="32">
        <v>0</v>
      </c>
      <c r="J890" s="16" t="s">
        <v>5568</v>
      </c>
      <c r="K890" s="16" t="s">
        <v>5594</v>
      </c>
      <c r="L890" s="16" t="s">
        <v>4839</v>
      </c>
    </row>
    <row r="891" spans="1:12" ht="19.5" customHeight="1" x14ac:dyDescent="0.35">
      <c r="A891" s="16" t="s">
        <v>3300</v>
      </c>
      <c r="B891" s="16" t="s">
        <v>1077</v>
      </c>
      <c r="C891" s="32">
        <v>0</v>
      </c>
      <c r="D891" s="32">
        <v>0</v>
      </c>
      <c r="E891" s="19">
        <v>3</v>
      </c>
      <c r="F891" s="19">
        <v>0</v>
      </c>
      <c r="G891" s="33">
        <v>0</v>
      </c>
      <c r="H891" s="32">
        <v>0</v>
      </c>
      <c r="I891" s="32">
        <v>0</v>
      </c>
      <c r="J891" s="16" t="s">
        <v>5595</v>
      </c>
      <c r="K891" s="16" t="s">
        <v>5596</v>
      </c>
      <c r="L891" s="16" t="s">
        <v>4871</v>
      </c>
    </row>
    <row r="892" spans="1:12" ht="19.5" customHeight="1" x14ac:dyDescent="0.35">
      <c r="A892" s="16" t="s">
        <v>3302</v>
      </c>
      <c r="B892" s="16" t="s">
        <v>1077</v>
      </c>
      <c r="C892" s="32">
        <v>0</v>
      </c>
      <c r="D892" s="32">
        <v>0</v>
      </c>
      <c r="E892" s="19">
        <v>3</v>
      </c>
      <c r="F892" s="19">
        <v>0</v>
      </c>
      <c r="G892" s="33">
        <v>0</v>
      </c>
      <c r="H892" s="32">
        <v>0</v>
      </c>
      <c r="I892" s="32">
        <v>0</v>
      </c>
      <c r="J892" s="16" t="s">
        <v>5589</v>
      </c>
      <c r="K892" s="16" t="s">
        <v>5597</v>
      </c>
      <c r="L892" s="16" t="s">
        <v>4871</v>
      </c>
    </row>
    <row r="893" spans="1:12" ht="19.5" customHeight="1" x14ac:dyDescent="0.35">
      <c r="A893" s="16" t="s">
        <v>3303</v>
      </c>
      <c r="B893" s="16" t="s">
        <v>1122</v>
      </c>
      <c r="C893" s="32">
        <v>0</v>
      </c>
      <c r="D893" s="32">
        <v>0</v>
      </c>
      <c r="E893" s="19">
        <v>3</v>
      </c>
      <c r="F893" s="19">
        <v>0</v>
      </c>
      <c r="G893" s="33">
        <v>0</v>
      </c>
      <c r="H893" s="32">
        <v>0</v>
      </c>
      <c r="I893" s="32">
        <v>0</v>
      </c>
      <c r="J893" s="16" t="s">
        <v>5549</v>
      </c>
      <c r="K893" s="16" t="s">
        <v>5598</v>
      </c>
      <c r="L893" s="16" t="s">
        <v>4871</v>
      </c>
    </row>
    <row r="894" spans="1:12" ht="19.5" customHeight="1" x14ac:dyDescent="0.35">
      <c r="A894" s="16" t="s">
        <v>3304</v>
      </c>
      <c r="B894" s="16" t="s">
        <v>1077</v>
      </c>
      <c r="C894" s="32">
        <v>0</v>
      </c>
      <c r="D894" s="32">
        <v>0</v>
      </c>
      <c r="E894" s="19">
        <v>3</v>
      </c>
      <c r="F894" s="19">
        <v>0</v>
      </c>
      <c r="G894" s="33">
        <v>0</v>
      </c>
      <c r="H894" s="32">
        <v>0</v>
      </c>
      <c r="I894" s="32">
        <v>0</v>
      </c>
      <c r="J894" s="16" t="s">
        <v>5549</v>
      </c>
      <c r="K894" s="16" t="s">
        <v>5599</v>
      </c>
      <c r="L894" s="16" t="s">
        <v>4360</v>
      </c>
    </row>
    <row r="895" spans="1:12" ht="19.5" customHeight="1" x14ac:dyDescent="0.35">
      <c r="A895" s="16" t="s">
        <v>3305</v>
      </c>
      <c r="B895" s="16" t="s">
        <v>1077</v>
      </c>
      <c r="C895" s="32">
        <v>0</v>
      </c>
      <c r="D895" s="32">
        <v>0</v>
      </c>
      <c r="E895" s="19">
        <v>3</v>
      </c>
      <c r="F895" s="19">
        <v>0</v>
      </c>
      <c r="G895" s="33">
        <v>0</v>
      </c>
      <c r="H895" s="32">
        <v>0</v>
      </c>
      <c r="I895" s="32">
        <v>0</v>
      </c>
      <c r="J895" s="16" t="s">
        <v>5568</v>
      </c>
      <c r="K895" s="16" t="s">
        <v>5600</v>
      </c>
      <c r="L895" s="16" t="s">
        <v>4360</v>
      </c>
    </row>
    <row r="896" spans="1:12" ht="19.5" customHeight="1" x14ac:dyDescent="0.35">
      <c r="A896" s="16" t="s">
        <v>3306</v>
      </c>
      <c r="B896" s="16" t="s">
        <v>1077</v>
      </c>
      <c r="C896" s="32">
        <v>0</v>
      </c>
      <c r="D896" s="32">
        <v>0</v>
      </c>
      <c r="E896" s="19">
        <v>3</v>
      </c>
      <c r="F896" s="19">
        <v>1</v>
      </c>
      <c r="G896" s="33">
        <v>0.33333333333333298</v>
      </c>
      <c r="H896" s="32">
        <v>0</v>
      </c>
      <c r="I896" s="32">
        <v>0</v>
      </c>
      <c r="J896" s="16" t="s">
        <v>5601</v>
      </c>
      <c r="K896" s="16" t="s">
        <v>5602</v>
      </c>
      <c r="L896" s="16" t="s">
        <v>4360</v>
      </c>
    </row>
    <row r="897" spans="1:12" ht="19.5" customHeight="1" x14ac:dyDescent="0.35">
      <c r="A897" s="16" t="s">
        <v>3308</v>
      </c>
      <c r="B897" s="16" t="s">
        <v>1122</v>
      </c>
      <c r="C897" s="32">
        <v>0</v>
      </c>
      <c r="D897" s="32">
        <v>0</v>
      </c>
      <c r="E897" s="19">
        <v>3</v>
      </c>
      <c r="F897" s="19">
        <v>0</v>
      </c>
      <c r="G897" s="33">
        <v>0</v>
      </c>
      <c r="H897" s="32">
        <v>0</v>
      </c>
      <c r="I897" s="32">
        <v>0</v>
      </c>
      <c r="J897" s="16" t="s">
        <v>5603</v>
      </c>
      <c r="K897" s="16" t="s">
        <v>5604</v>
      </c>
      <c r="L897" s="16" t="s">
        <v>4491</v>
      </c>
    </row>
    <row r="898" spans="1:12" ht="19.5" customHeight="1" x14ac:dyDescent="0.35">
      <c r="A898" s="16" t="s">
        <v>3310</v>
      </c>
      <c r="B898" s="16" t="s">
        <v>1817</v>
      </c>
      <c r="C898" s="32">
        <v>0</v>
      </c>
      <c r="D898" s="32">
        <v>0</v>
      </c>
      <c r="E898" s="19">
        <v>2</v>
      </c>
      <c r="F898" s="19">
        <v>0</v>
      </c>
      <c r="G898" s="33">
        <v>0</v>
      </c>
      <c r="H898" s="32">
        <v>0</v>
      </c>
      <c r="I898" s="32">
        <v>0</v>
      </c>
      <c r="J898" s="16" t="s">
        <v>5193</v>
      </c>
      <c r="K898" s="16" t="s">
        <v>5605</v>
      </c>
      <c r="L898" s="16" t="s">
        <v>4772</v>
      </c>
    </row>
    <row r="899" spans="1:12" ht="19.5" customHeight="1" x14ac:dyDescent="0.35">
      <c r="A899" s="16" t="s">
        <v>3311</v>
      </c>
      <c r="B899" s="16" t="s">
        <v>909</v>
      </c>
      <c r="C899" s="32">
        <v>0</v>
      </c>
      <c r="D899" s="32">
        <v>0</v>
      </c>
      <c r="E899" s="19">
        <v>2</v>
      </c>
      <c r="F899" s="19">
        <v>0</v>
      </c>
      <c r="G899" s="33">
        <v>0</v>
      </c>
      <c r="H899" s="32">
        <v>0</v>
      </c>
      <c r="I899" s="32">
        <v>0</v>
      </c>
      <c r="J899" s="16" t="s">
        <v>5127</v>
      </c>
      <c r="K899" s="16" t="s">
        <v>5606</v>
      </c>
      <c r="L899" s="16" t="s">
        <v>4772</v>
      </c>
    </row>
    <row r="900" spans="1:12" ht="19.5" customHeight="1" x14ac:dyDescent="0.35">
      <c r="A900" s="16" t="s">
        <v>3312</v>
      </c>
      <c r="B900" s="16" t="s">
        <v>1143</v>
      </c>
      <c r="C900" s="32">
        <v>0</v>
      </c>
      <c r="D900" s="32">
        <v>0</v>
      </c>
      <c r="E900" s="19">
        <v>2</v>
      </c>
      <c r="F900" s="19">
        <v>0</v>
      </c>
      <c r="G900" s="33">
        <v>0</v>
      </c>
      <c r="H900" s="32">
        <v>0</v>
      </c>
      <c r="I900" s="32">
        <v>0</v>
      </c>
      <c r="J900" s="16" t="s">
        <v>5607</v>
      </c>
      <c r="K900" s="16" t="s">
        <v>5608</v>
      </c>
      <c r="L900" s="16" t="s">
        <v>4644</v>
      </c>
    </row>
    <row r="901" spans="1:12" ht="19.5" customHeight="1" x14ac:dyDescent="0.35">
      <c r="A901" s="16" t="s">
        <v>3314</v>
      </c>
      <c r="B901" s="16" t="s">
        <v>921</v>
      </c>
      <c r="C901" s="32">
        <v>0</v>
      </c>
      <c r="D901" s="32">
        <v>0</v>
      </c>
      <c r="E901" s="19">
        <v>2</v>
      </c>
      <c r="F901" s="19">
        <v>0</v>
      </c>
      <c r="G901" s="33">
        <v>0</v>
      </c>
      <c r="H901" s="32">
        <v>0</v>
      </c>
      <c r="I901" s="32">
        <v>0</v>
      </c>
      <c r="J901" s="16" t="s">
        <v>5609</v>
      </c>
      <c r="K901" s="16" t="s">
        <v>5610</v>
      </c>
      <c r="L901" s="16" t="s">
        <v>4686</v>
      </c>
    </row>
    <row r="902" spans="1:12" ht="19.5" customHeight="1" x14ac:dyDescent="0.35">
      <c r="A902" s="16" t="s">
        <v>3316</v>
      </c>
      <c r="B902" s="16" t="s">
        <v>1077</v>
      </c>
      <c r="C902" s="32">
        <v>0</v>
      </c>
      <c r="D902" s="32">
        <v>0</v>
      </c>
      <c r="E902" s="19">
        <v>2</v>
      </c>
      <c r="F902" s="19">
        <v>0</v>
      </c>
      <c r="G902" s="33">
        <v>0</v>
      </c>
      <c r="H902" s="32">
        <v>0</v>
      </c>
      <c r="I902" s="32">
        <v>0</v>
      </c>
      <c r="J902" s="16" t="s">
        <v>5292</v>
      </c>
      <c r="K902" s="16" t="s">
        <v>5611</v>
      </c>
      <c r="L902" s="16" t="s">
        <v>4214</v>
      </c>
    </row>
    <row r="903" spans="1:12" ht="19.5" customHeight="1" x14ac:dyDescent="0.35">
      <c r="A903" s="16" t="s">
        <v>3317</v>
      </c>
      <c r="B903" s="16" t="s">
        <v>1077</v>
      </c>
      <c r="C903" s="32">
        <v>0</v>
      </c>
      <c r="D903" s="32">
        <v>0</v>
      </c>
      <c r="E903" s="19">
        <v>2</v>
      </c>
      <c r="F903" s="19">
        <v>0</v>
      </c>
      <c r="G903" s="33">
        <v>0</v>
      </c>
      <c r="H903" s="32">
        <v>0</v>
      </c>
      <c r="I903" s="32">
        <v>0</v>
      </c>
      <c r="J903" s="16" t="s">
        <v>5612</v>
      </c>
      <c r="K903" s="16" t="s">
        <v>5613</v>
      </c>
      <c r="L903" s="16" t="s">
        <v>4360</v>
      </c>
    </row>
    <row r="904" spans="1:12" ht="19.5" customHeight="1" x14ac:dyDescent="0.35">
      <c r="A904" s="16" t="s">
        <v>3319</v>
      </c>
      <c r="B904" s="16" t="s">
        <v>3198</v>
      </c>
      <c r="C904" s="32">
        <v>0</v>
      </c>
      <c r="D904" s="32">
        <v>0</v>
      </c>
      <c r="E904" s="19">
        <v>2</v>
      </c>
      <c r="F904" s="19">
        <v>0</v>
      </c>
      <c r="G904" s="33">
        <v>0</v>
      </c>
      <c r="H904" s="32">
        <v>0</v>
      </c>
      <c r="I904" s="32">
        <v>0</v>
      </c>
      <c r="J904" s="16" t="s">
        <v>5614</v>
      </c>
      <c r="K904" s="16" t="s">
        <v>5615</v>
      </c>
      <c r="L904" s="16" t="s">
        <v>4772</v>
      </c>
    </row>
    <row r="905" spans="1:12" ht="19.5" customHeight="1" x14ac:dyDescent="0.35">
      <c r="A905" s="16" t="s">
        <v>3321</v>
      </c>
      <c r="B905" s="16" t="s">
        <v>1118</v>
      </c>
      <c r="C905" s="32">
        <v>0</v>
      </c>
      <c r="D905" s="32">
        <v>0</v>
      </c>
      <c r="E905" s="19">
        <v>2</v>
      </c>
      <c r="F905" s="19">
        <v>0</v>
      </c>
      <c r="G905" s="33">
        <v>0</v>
      </c>
      <c r="H905" s="32">
        <v>0</v>
      </c>
      <c r="I905" s="32">
        <v>0</v>
      </c>
      <c r="J905" s="16" t="s">
        <v>4553</v>
      </c>
      <c r="K905" s="16" t="s">
        <v>5616</v>
      </c>
      <c r="L905" s="16" t="s">
        <v>4253</v>
      </c>
    </row>
    <row r="906" spans="1:12" ht="19.5" customHeight="1" x14ac:dyDescent="0.35">
      <c r="A906" s="16" t="s">
        <v>3322</v>
      </c>
      <c r="B906" s="16" t="s">
        <v>1690</v>
      </c>
      <c r="C906" s="32">
        <v>0</v>
      </c>
      <c r="D906" s="32">
        <v>0</v>
      </c>
      <c r="E906" s="19">
        <v>2</v>
      </c>
      <c r="F906" s="19">
        <v>0</v>
      </c>
      <c r="G906" s="33">
        <v>0</v>
      </c>
      <c r="H906" s="32">
        <v>0</v>
      </c>
      <c r="I906" s="32">
        <v>0</v>
      </c>
      <c r="J906" s="16" t="s">
        <v>5292</v>
      </c>
      <c r="K906" s="16" t="s">
        <v>5617</v>
      </c>
      <c r="L906" s="16" t="s">
        <v>4253</v>
      </c>
    </row>
    <row r="907" spans="1:12" ht="19.5" customHeight="1" x14ac:dyDescent="0.35">
      <c r="A907" s="16" t="s">
        <v>3323</v>
      </c>
      <c r="B907" s="16" t="s">
        <v>1136</v>
      </c>
      <c r="C907" s="32">
        <v>0</v>
      </c>
      <c r="D907" s="32">
        <v>0</v>
      </c>
      <c r="E907" s="19">
        <v>2</v>
      </c>
      <c r="F907" s="19">
        <v>0</v>
      </c>
      <c r="G907" s="33">
        <v>0</v>
      </c>
      <c r="H907" s="32">
        <v>0</v>
      </c>
      <c r="I907" s="32">
        <v>0</v>
      </c>
      <c r="J907" s="16" t="s">
        <v>5121</v>
      </c>
      <c r="K907" s="16" t="s">
        <v>5618</v>
      </c>
      <c r="L907" s="16" t="s">
        <v>4604</v>
      </c>
    </row>
    <row r="908" spans="1:12" ht="19.5" customHeight="1" x14ac:dyDescent="0.35">
      <c r="A908" s="16" t="s">
        <v>3324</v>
      </c>
      <c r="B908" s="16" t="s">
        <v>1101</v>
      </c>
      <c r="C908" s="32">
        <v>0</v>
      </c>
      <c r="D908" s="32">
        <v>0</v>
      </c>
      <c r="E908" s="19">
        <v>2</v>
      </c>
      <c r="F908" s="19">
        <v>1</v>
      </c>
      <c r="G908" s="33">
        <v>0.5</v>
      </c>
      <c r="H908" s="32">
        <v>0</v>
      </c>
      <c r="I908" s="32">
        <v>0</v>
      </c>
      <c r="J908" s="16" t="s">
        <v>5619</v>
      </c>
      <c r="K908" s="16" t="s">
        <v>5620</v>
      </c>
      <c r="L908" s="16" t="s">
        <v>4925</v>
      </c>
    </row>
    <row r="909" spans="1:12" ht="19.5" customHeight="1" x14ac:dyDescent="0.35">
      <c r="A909" s="16" t="s">
        <v>3326</v>
      </c>
      <c r="B909" s="16" t="s">
        <v>2257</v>
      </c>
      <c r="C909" s="32">
        <v>0</v>
      </c>
      <c r="D909" s="32">
        <v>0</v>
      </c>
      <c r="E909" s="19">
        <v>2</v>
      </c>
      <c r="F909" s="19">
        <v>1</v>
      </c>
      <c r="G909" s="33">
        <v>0.5</v>
      </c>
      <c r="H909" s="32">
        <v>0</v>
      </c>
      <c r="I909" s="32">
        <v>0</v>
      </c>
      <c r="J909" s="16" t="s">
        <v>5296</v>
      </c>
      <c r="K909" s="16" t="s">
        <v>5621</v>
      </c>
      <c r="L909" s="16" t="s">
        <v>5014</v>
      </c>
    </row>
    <row r="910" spans="1:12" ht="19.5" customHeight="1" x14ac:dyDescent="0.35">
      <c r="A910" s="16" t="s">
        <v>3327</v>
      </c>
      <c r="B910" s="16" t="s">
        <v>1212</v>
      </c>
      <c r="C910" s="32">
        <v>0</v>
      </c>
      <c r="D910" s="32">
        <v>0</v>
      </c>
      <c r="E910" s="19">
        <v>2</v>
      </c>
      <c r="F910" s="19">
        <v>1</v>
      </c>
      <c r="G910" s="33">
        <v>0.5</v>
      </c>
      <c r="H910" s="32">
        <v>0</v>
      </c>
      <c r="I910" s="32">
        <v>0</v>
      </c>
      <c r="J910" s="16" t="s">
        <v>5193</v>
      </c>
      <c r="K910" s="16" t="s">
        <v>5622</v>
      </c>
      <c r="L910" s="16" t="s">
        <v>4673</v>
      </c>
    </row>
    <row r="911" spans="1:12" ht="19.5" customHeight="1" x14ac:dyDescent="0.35">
      <c r="A911" s="16" t="s">
        <v>3328</v>
      </c>
      <c r="B911" s="16" t="s">
        <v>1091</v>
      </c>
      <c r="C911" s="32">
        <v>0</v>
      </c>
      <c r="D911" s="32">
        <v>0</v>
      </c>
      <c r="E911" s="19">
        <v>2</v>
      </c>
      <c r="F911" s="19">
        <v>0</v>
      </c>
      <c r="G911" s="33">
        <v>0</v>
      </c>
      <c r="H911" s="32">
        <v>0</v>
      </c>
      <c r="I911" s="32">
        <v>0</v>
      </c>
      <c r="J911" s="16" t="s">
        <v>5170</v>
      </c>
      <c r="K911" s="16" t="s">
        <v>5623</v>
      </c>
      <c r="L911" s="16" t="s">
        <v>4253</v>
      </c>
    </row>
    <row r="912" spans="1:12" ht="19.5" customHeight="1" x14ac:dyDescent="0.35">
      <c r="A912" s="16" t="s">
        <v>3329</v>
      </c>
      <c r="B912" s="16" t="s">
        <v>1143</v>
      </c>
      <c r="C912" s="32">
        <v>0</v>
      </c>
      <c r="D912" s="32">
        <v>0</v>
      </c>
      <c r="E912" s="19">
        <v>2</v>
      </c>
      <c r="F912" s="19">
        <v>0</v>
      </c>
      <c r="G912" s="33">
        <v>0</v>
      </c>
      <c r="H912" s="32">
        <v>0</v>
      </c>
      <c r="I912" s="32">
        <v>0</v>
      </c>
      <c r="J912" s="16" t="s">
        <v>5624</v>
      </c>
      <c r="K912" s="16" t="s">
        <v>5625</v>
      </c>
      <c r="L912" s="16" t="s">
        <v>4253</v>
      </c>
    </row>
    <row r="913" spans="1:12" ht="19.5" customHeight="1" x14ac:dyDescent="0.35">
      <c r="A913" s="16" t="s">
        <v>3331</v>
      </c>
      <c r="B913" s="16" t="s">
        <v>2792</v>
      </c>
      <c r="C913" s="32">
        <v>0</v>
      </c>
      <c r="D913" s="32">
        <v>0</v>
      </c>
      <c r="E913" s="19">
        <v>2</v>
      </c>
      <c r="F913" s="19">
        <v>0</v>
      </c>
      <c r="G913" s="33">
        <v>0</v>
      </c>
      <c r="H913" s="32">
        <v>0</v>
      </c>
      <c r="I913" s="32">
        <v>0</v>
      </c>
      <c r="J913" s="16" t="s">
        <v>5170</v>
      </c>
      <c r="K913" s="16" t="s">
        <v>5626</v>
      </c>
      <c r="L913" s="16" t="s">
        <v>4772</v>
      </c>
    </row>
    <row r="914" spans="1:12" ht="19.5" customHeight="1" x14ac:dyDescent="0.35">
      <c r="A914" s="16" t="s">
        <v>3332</v>
      </c>
      <c r="B914" s="16" t="s">
        <v>1768</v>
      </c>
      <c r="C914" s="32">
        <v>0</v>
      </c>
      <c r="D914" s="32">
        <v>0</v>
      </c>
      <c r="E914" s="19">
        <v>2</v>
      </c>
      <c r="F914" s="19">
        <v>1</v>
      </c>
      <c r="G914" s="33">
        <v>0.5</v>
      </c>
      <c r="H914" s="32">
        <v>0</v>
      </c>
      <c r="I914" s="32">
        <v>0</v>
      </c>
      <c r="J914" s="16" t="s">
        <v>5170</v>
      </c>
      <c r="K914" s="16" t="s">
        <v>5627</v>
      </c>
      <c r="L914" s="16" t="s">
        <v>4253</v>
      </c>
    </row>
    <row r="915" spans="1:12" ht="19.5" customHeight="1" x14ac:dyDescent="0.35">
      <c r="A915" s="16" t="s">
        <v>3333</v>
      </c>
      <c r="B915" s="16" t="s">
        <v>913</v>
      </c>
      <c r="C915" s="32">
        <v>0</v>
      </c>
      <c r="D915" s="32">
        <v>0</v>
      </c>
      <c r="E915" s="19">
        <v>2</v>
      </c>
      <c r="F915" s="19">
        <v>0</v>
      </c>
      <c r="G915" s="33">
        <v>0</v>
      </c>
      <c r="H915" s="32">
        <v>0</v>
      </c>
      <c r="I915" s="32">
        <v>0</v>
      </c>
      <c r="J915" s="16" t="s">
        <v>5193</v>
      </c>
      <c r="K915" s="16" t="s">
        <v>5628</v>
      </c>
      <c r="L915" s="16" t="s">
        <v>5294</v>
      </c>
    </row>
    <row r="916" spans="1:12" ht="19.5" customHeight="1" x14ac:dyDescent="0.35">
      <c r="A916" s="16" t="s">
        <v>3334</v>
      </c>
      <c r="B916" s="16" t="s">
        <v>913</v>
      </c>
      <c r="C916" s="32">
        <v>0</v>
      </c>
      <c r="D916" s="32">
        <v>0</v>
      </c>
      <c r="E916" s="19">
        <v>2</v>
      </c>
      <c r="F916" s="19">
        <v>0</v>
      </c>
      <c r="G916" s="33">
        <v>0</v>
      </c>
      <c r="H916" s="32">
        <v>0</v>
      </c>
      <c r="I916" s="32">
        <v>0</v>
      </c>
      <c r="J916" s="16" t="s">
        <v>5127</v>
      </c>
      <c r="K916" s="16" t="s">
        <v>5629</v>
      </c>
      <c r="L916" s="16" t="s">
        <v>4772</v>
      </c>
    </row>
    <row r="917" spans="1:12" ht="19.5" customHeight="1" x14ac:dyDescent="0.35">
      <c r="A917" s="16" t="s">
        <v>3335</v>
      </c>
      <c r="B917" s="16" t="s">
        <v>1143</v>
      </c>
      <c r="C917" s="32">
        <v>0</v>
      </c>
      <c r="D917" s="32">
        <v>0</v>
      </c>
      <c r="E917" s="19">
        <v>2</v>
      </c>
      <c r="F917" s="19">
        <v>0</v>
      </c>
      <c r="G917" s="33">
        <v>0</v>
      </c>
      <c r="H917" s="32">
        <v>0</v>
      </c>
      <c r="I917" s="32">
        <v>0</v>
      </c>
      <c r="J917" s="16" t="s">
        <v>5292</v>
      </c>
      <c r="K917" s="16" t="s">
        <v>5630</v>
      </c>
      <c r="L917" s="16" t="s">
        <v>4253</v>
      </c>
    </row>
    <row r="918" spans="1:12" ht="19.5" customHeight="1" x14ac:dyDescent="0.35">
      <c r="A918" s="16" t="s">
        <v>3336</v>
      </c>
      <c r="B918" s="16" t="s">
        <v>1659</v>
      </c>
      <c r="C918" s="32">
        <v>0</v>
      </c>
      <c r="D918" s="32">
        <v>0</v>
      </c>
      <c r="E918" s="19">
        <v>2</v>
      </c>
      <c r="F918" s="19">
        <v>0</v>
      </c>
      <c r="G918" s="33">
        <v>0</v>
      </c>
      <c r="H918" s="32">
        <v>0</v>
      </c>
      <c r="I918" s="32">
        <v>0</v>
      </c>
      <c r="J918" s="16" t="s">
        <v>5292</v>
      </c>
      <c r="K918" s="16" t="s">
        <v>5631</v>
      </c>
      <c r="L918" s="16" t="s">
        <v>4253</v>
      </c>
    </row>
    <row r="919" spans="1:12" ht="19.5" customHeight="1" x14ac:dyDescent="0.35">
      <c r="A919" s="16" t="s">
        <v>3337</v>
      </c>
      <c r="B919" s="16" t="s">
        <v>963</v>
      </c>
      <c r="C919" s="32">
        <v>0</v>
      </c>
      <c r="D919" s="32">
        <v>0</v>
      </c>
      <c r="E919" s="19">
        <v>2</v>
      </c>
      <c r="F919" s="19">
        <v>0</v>
      </c>
      <c r="G919" s="33">
        <v>0</v>
      </c>
      <c r="H919" s="32">
        <v>0</v>
      </c>
      <c r="I919" s="32">
        <v>0</v>
      </c>
      <c r="J919" s="16" t="s">
        <v>5632</v>
      </c>
      <c r="K919" s="16" t="s">
        <v>5633</v>
      </c>
      <c r="L919" s="16" t="s">
        <v>4772</v>
      </c>
    </row>
    <row r="920" spans="1:12" ht="19.5" customHeight="1" x14ac:dyDescent="0.35">
      <c r="A920" s="16" t="s">
        <v>3339</v>
      </c>
      <c r="B920" s="16" t="s">
        <v>1084</v>
      </c>
      <c r="C920" s="32">
        <v>0</v>
      </c>
      <c r="D920" s="32">
        <v>0</v>
      </c>
      <c r="E920" s="19">
        <v>2</v>
      </c>
      <c r="F920" s="19">
        <v>0</v>
      </c>
      <c r="G920" s="33">
        <v>0</v>
      </c>
      <c r="H920" s="32">
        <v>0</v>
      </c>
      <c r="I920" s="32">
        <v>0</v>
      </c>
      <c r="J920" s="16" t="s">
        <v>5634</v>
      </c>
      <c r="K920" s="16" t="s">
        <v>5635</v>
      </c>
      <c r="L920" s="16" t="s">
        <v>4604</v>
      </c>
    </row>
    <row r="921" spans="1:12" ht="19.5" customHeight="1" x14ac:dyDescent="0.35">
      <c r="A921" s="16" t="s">
        <v>3341</v>
      </c>
      <c r="B921" s="16" t="s">
        <v>1122</v>
      </c>
      <c r="C921" s="32">
        <v>0</v>
      </c>
      <c r="D921" s="32">
        <v>0</v>
      </c>
      <c r="E921" s="19">
        <v>2</v>
      </c>
      <c r="F921" s="19">
        <v>0</v>
      </c>
      <c r="G921" s="33">
        <v>0</v>
      </c>
      <c r="H921" s="32">
        <v>0</v>
      </c>
      <c r="I921" s="32">
        <v>0</v>
      </c>
      <c r="J921" s="16" t="s">
        <v>5636</v>
      </c>
      <c r="K921" s="16" t="s">
        <v>5637</v>
      </c>
      <c r="L921" s="16" t="s">
        <v>4253</v>
      </c>
    </row>
    <row r="922" spans="1:12" ht="19.5" customHeight="1" x14ac:dyDescent="0.35">
      <c r="A922" s="16" t="s">
        <v>3343</v>
      </c>
      <c r="B922" s="16" t="s">
        <v>921</v>
      </c>
      <c r="C922" s="32">
        <v>0</v>
      </c>
      <c r="D922" s="32">
        <v>0</v>
      </c>
      <c r="E922" s="19">
        <v>2</v>
      </c>
      <c r="F922" s="19">
        <v>0</v>
      </c>
      <c r="G922" s="33">
        <v>0</v>
      </c>
      <c r="H922" s="32">
        <v>0</v>
      </c>
      <c r="I922" s="32">
        <v>0</v>
      </c>
      <c r="J922" s="16" t="s">
        <v>5638</v>
      </c>
      <c r="K922" s="16" t="s">
        <v>5639</v>
      </c>
      <c r="L922" s="16" t="s">
        <v>4604</v>
      </c>
    </row>
    <row r="923" spans="1:12" ht="19.5" customHeight="1" x14ac:dyDescent="0.35">
      <c r="A923" s="16" t="s">
        <v>3345</v>
      </c>
      <c r="B923" s="16" t="s">
        <v>1143</v>
      </c>
      <c r="C923" s="32">
        <v>0</v>
      </c>
      <c r="D923" s="32">
        <v>0</v>
      </c>
      <c r="E923" s="19">
        <v>2</v>
      </c>
      <c r="F923" s="19">
        <v>0</v>
      </c>
      <c r="G923" s="33">
        <v>0</v>
      </c>
      <c r="H923" s="32">
        <v>0</v>
      </c>
      <c r="I923" s="32">
        <v>0</v>
      </c>
      <c r="J923" s="16" t="s">
        <v>5292</v>
      </c>
      <c r="K923" s="16" t="s">
        <v>5640</v>
      </c>
      <c r="L923" s="16" t="s">
        <v>4253</v>
      </c>
    </row>
    <row r="924" spans="1:12" ht="19.5" customHeight="1" x14ac:dyDescent="0.35">
      <c r="A924" s="16" t="s">
        <v>3346</v>
      </c>
      <c r="B924" s="16" t="s">
        <v>1077</v>
      </c>
      <c r="C924" s="32">
        <v>0</v>
      </c>
      <c r="D924" s="32">
        <v>0</v>
      </c>
      <c r="E924" s="19">
        <v>2</v>
      </c>
      <c r="F924" s="19">
        <v>0</v>
      </c>
      <c r="G924" s="33">
        <v>0</v>
      </c>
      <c r="H924" s="32">
        <v>0</v>
      </c>
      <c r="I924" s="32">
        <v>0</v>
      </c>
      <c r="J924" s="16" t="s">
        <v>5641</v>
      </c>
      <c r="K924" s="16" t="s">
        <v>5642</v>
      </c>
      <c r="L924" s="16" t="s">
        <v>4253</v>
      </c>
    </row>
    <row r="925" spans="1:12" ht="19.5" customHeight="1" x14ac:dyDescent="0.35">
      <c r="A925" s="16" t="s">
        <v>3348</v>
      </c>
      <c r="B925" s="16" t="s">
        <v>1157</v>
      </c>
      <c r="C925" s="32">
        <v>0</v>
      </c>
      <c r="D925" s="32">
        <v>0</v>
      </c>
      <c r="E925" s="19">
        <v>2</v>
      </c>
      <c r="F925" s="19">
        <v>0</v>
      </c>
      <c r="G925" s="33">
        <v>0</v>
      </c>
      <c r="H925" s="32">
        <v>0</v>
      </c>
      <c r="I925" s="32">
        <v>0</v>
      </c>
      <c r="J925" s="16" t="s">
        <v>5643</v>
      </c>
      <c r="K925" s="16" t="s">
        <v>5644</v>
      </c>
      <c r="L925" s="16" t="s">
        <v>4253</v>
      </c>
    </row>
    <row r="926" spans="1:12" ht="19.5" customHeight="1" x14ac:dyDescent="0.35">
      <c r="A926" s="16" t="s">
        <v>3350</v>
      </c>
      <c r="B926" s="16" t="s">
        <v>996</v>
      </c>
      <c r="C926" s="32">
        <v>0</v>
      </c>
      <c r="D926" s="32">
        <v>0</v>
      </c>
      <c r="E926" s="19">
        <v>2</v>
      </c>
      <c r="F926" s="19">
        <v>0</v>
      </c>
      <c r="G926" s="33">
        <v>0</v>
      </c>
      <c r="H926" s="32">
        <v>0</v>
      </c>
      <c r="I926" s="32">
        <v>0</v>
      </c>
      <c r="J926" s="16" t="s">
        <v>5127</v>
      </c>
      <c r="K926" s="16" t="s">
        <v>5645</v>
      </c>
      <c r="L926" s="16" t="s">
        <v>4253</v>
      </c>
    </row>
    <row r="927" spans="1:12" ht="19.5" customHeight="1" x14ac:dyDescent="0.35">
      <c r="A927" s="16" t="s">
        <v>3351</v>
      </c>
      <c r="B927" s="16" t="s">
        <v>2792</v>
      </c>
      <c r="C927" s="32">
        <v>0</v>
      </c>
      <c r="D927" s="32">
        <v>0</v>
      </c>
      <c r="E927" s="19">
        <v>2</v>
      </c>
      <c r="F927" s="19">
        <v>0</v>
      </c>
      <c r="G927" s="33">
        <v>0</v>
      </c>
      <c r="H927" s="32">
        <v>0</v>
      </c>
      <c r="I927" s="32">
        <v>0</v>
      </c>
      <c r="J927" s="16" t="s">
        <v>5646</v>
      </c>
      <c r="K927" s="16" t="s">
        <v>5647</v>
      </c>
      <c r="L927" s="16" t="s">
        <v>4772</v>
      </c>
    </row>
    <row r="928" spans="1:12" ht="19.5" customHeight="1" x14ac:dyDescent="0.35">
      <c r="A928" s="16" t="s">
        <v>3353</v>
      </c>
      <c r="B928" s="16" t="s">
        <v>913</v>
      </c>
      <c r="C928" s="32">
        <v>0</v>
      </c>
      <c r="D928" s="32">
        <v>0</v>
      </c>
      <c r="E928" s="19">
        <v>2</v>
      </c>
      <c r="F928" s="19">
        <v>0</v>
      </c>
      <c r="G928" s="33">
        <v>0</v>
      </c>
      <c r="H928" s="32">
        <v>0</v>
      </c>
      <c r="I928" s="32">
        <v>0</v>
      </c>
      <c r="J928" s="16" t="s">
        <v>5127</v>
      </c>
      <c r="K928" s="16" t="s">
        <v>5648</v>
      </c>
      <c r="L928" s="16" t="s">
        <v>4214</v>
      </c>
    </row>
    <row r="929" spans="1:12" ht="19.5" customHeight="1" x14ac:dyDescent="0.35">
      <c r="A929" s="16" t="s">
        <v>3354</v>
      </c>
      <c r="B929" s="16" t="s">
        <v>1101</v>
      </c>
      <c r="C929" s="32">
        <v>0</v>
      </c>
      <c r="D929" s="32">
        <v>0</v>
      </c>
      <c r="E929" s="19">
        <v>2</v>
      </c>
      <c r="F929" s="19">
        <v>0</v>
      </c>
      <c r="G929" s="33">
        <v>0</v>
      </c>
      <c r="H929" s="32">
        <v>0</v>
      </c>
      <c r="I929" s="32">
        <v>0</v>
      </c>
      <c r="J929" s="16" t="s">
        <v>5193</v>
      </c>
      <c r="K929" s="16" t="s">
        <v>5649</v>
      </c>
      <c r="L929" s="16" t="s">
        <v>4686</v>
      </c>
    </row>
    <row r="930" spans="1:12" ht="19.5" customHeight="1" x14ac:dyDescent="0.35">
      <c r="A930" s="16" t="s">
        <v>3355</v>
      </c>
      <c r="B930" s="16" t="s">
        <v>921</v>
      </c>
      <c r="C930" s="32">
        <v>0</v>
      </c>
      <c r="D930" s="32">
        <v>0</v>
      </c>
      <c r="E930" s="19">
        <v>2</v>
      </c>
      <c r="F930" s="19">
        <v>0</v>
      </c>
      <c r="G930" s="33">
        <v>0</v>
      </c>
      <c r="H930" s="32">
        <v>0</v>
      </c>
      <c r="I930" s="32">
        <v>0</v>
      </c>
      <c r="J930" s="16" t="s">
        <v>5650</v>
      </c>
      <c r="K930" s="16" t="s">
        <v>5651</v>
      </c>
      <c r="L930" s="16" t="s">
        <v>4214</v>
      </c>
    </row>
    <row r="931" spans="1:12" ht="19.5" customHeight="1" x14ac:dyDescent="0.35">
      <c r="A931" s="16" t="s">
        <v>3357</v>
      </c>
      <c r="B931" s="16" t="s">
        <v>1070</v>
      </c>
      <c r="C931" s="32">
        <v>0</v>
      </c>
      <c r="D931" s="32">
        <v>0</v>
      </c>
      <c r="E931" s="19">
        <v>2</v>
      </c>
      <c r="F931" s="19">
        <v>0</v>
      </c>
      <c r="G931" s="33">
        <v>0</v>
      </c>
      <c r="H931" s="32">
        <v>0</v>
      </c>
      <c r="I931" s="32">
        <v>0</v>
      </c>
      <c r="J931" s="16" t="s">
        <v>5609</v>
      </c>
      <c r="K931" s="16" t="s">
        <v>5652</v>
      </c>
      <c r="L931" s="16" t="s">
        <v>4910</v>
      </c>
    </row>
    <row r="932" spans="1:12" ht="19.5" customHeight="1" x14ac:dyDescent="0.35">
      <c r="A932" s="16" t="s">
        <v>3358</v>
      </c>
      <c r="B932" s="16" t="s">
        <v>1817</v>
      </c>
      <c r="C932" s="32">
        <v>0</v>
      </c>
      <c r="D932" s="32">
        <v>0</v>
      </c>
      <c r="E932" s="19">
        <v>2</v>
      </c>
      <c r="F932" s="19">
        <v>0</v>
      </c>
      <c r="G932" s="33">
        <v>0</v>
      </c>
      <c r="H932" s="32">
        <v>0</v>
      </c>
      <c r="I932" s="32">
        <v>0</v>
      </c>
      <c r="J932" s="16" t="s">
        <v>5653</v>
      </c>
      <c r="K932" s="16" t="s">
        <v>5654</v>
      </c>
      <c r="L932" s="16" t="s">
        <v>4686</v>
      </c>
    </row>
    <row r="933" spans="1:12" ht="19.5" customHeight="1" x14ac:dyDescent="0.35">
      <c r="A933" s="16" t="s">
        <v>3360</v>
      </c>
      <c r="B933" s="16" t="s">
        <v>1009</v>
      </c>
      <c r="C933" s="32">
        <v>0</v>
      </c>
      <c r="D933" s="32">
        <v>0</v>
      </c>
      <c r="E933" s="19">
        <v>2</v>
      </c>
      <c r="F933" s="19">
        <v>1</v>
      </c>
      <c r="G933" s="33">
        <v>0.5</v>
      </c>
      <c r="H933" s="32">
        <v>0</v>
      </c>
      <c r="I933" s="32">
        <v>0</v>
      </c>
      <c r="J933" s="16" t="s">
        <v>5296</v>
      </c>
      <c r="K933" s="16" t="s">
        <v>5655</v>
      </c>
      <c r="L933" s="16" t="s">
        <v>4910</v>
      </c>
    </row>
    <row r="934" spans="1:12" ht="19.5" customHeight="1" x14ac:dyDescent="0.35">
      <c r="A934" s="16" t="s">
        <v>3361</v>
      </c>
      <c r="B934" s="16" t="s">
        <v>921</v>
      </c>
      <c r="C934" s="32">
        <v>0</v>
      </c>
      <c r="D934" s="32">
        <v>0</v>
      </c>
      <c r="E934" s="19">
        <v>2</v>
      </c>
      <c r="F934" s="19">
        <v>0</v>
      </c>
      <c r="G934" s="33">
        <v>0</v>
      </c>
      <c r="H934" s="32">
        <v>0</v>
      </c>
      <c r="I934" s="32">
        <v>0</v>
      </c>
      <c r="J934" s="16" t="s">
        <v>5638</v>
      </c>
      <c r="K934" s="16" t="s">
        <v>5656</v>
      </c>
      <c r="L934" s="16" t="s">
        <v>4214</v>
      </c>
    </row>
    <row r="935" spans="1:12" ht="19.5" customHeight="1" x14ac:dyDescent="0.35">
      <c r="A935" s="16" t="s">
        <v>3362</v>
      </c>
      <c r="B935" s="16" t="s">
        <v>989</v>
      </c>
      <c r="C935" s="32">
        <v>0</v>
      </c>
      <c r="D935" s="32">
        <v>0</v>
      </c>
      <c r="E935" s="19">
        <v>2</v>
      </c>
      <c r="F935" s="19">
        <v>0</v>
      </c>
      <c r="G935" s="33">
        <v>0</v>
      </c>
      <c r="H935" s="32">
        <v>0</v>
      </c>
      <c r="I935" s="32">
        <v>0</v>
      </c>
      <c r="J935" s="16" t="s">
        <v>5657</v>
      </c>
      <c r="K935" s="16" t="s">
        <v>5658</v>
      </c>
      <c r="L935" s="16" t="s">
        <v>4686</v>
      </c>
    </row>
    <row r="936" spans="1:12" ht="19.5" customHeight="1" x14ac:dyDescent="0.35">
      <c r="A936" s="16" t="s">
        <v>3364</v>
      </c>
      <c r="B936" s="16" t="s">
        <v>1817</v>
      </c>
      <c r="C936" s="32">
        <v>0</v>
      </c>
      <c r="D936" s="32">
        <v>0</v>
      </c>
      <c r="E936" s="19">
        <v>2</v>
      </c>
      <c r="F936" s="19">
        <v>0</v>
      </c>
      <c r="G936" s="33">
        <v>0</v>
      </c>
      <c r="H936" s="32">
        <v>0</v>
      </c>
      <c r="I936" s="32">
        <v>0</v>
      </c>
      <c r="J936" s="16" t="s">
        <v>4553</v>
      </c>
      <c r="K936" s="16" t="s">
        <v>5659</v>
      </c>
      <c r="L936" s="16" t="s">
        <v>4910</v>
      </c>
    </row>
    <row r="937" spans="1:12" ht="19.5" customHeight="1" x14ac:dyDescent="0.35">
      <c r="A937" s="16" t="s">
        <v>3365</v>
      </c>
      <c r="B937" s="16" t="s">
        <v>2792</v>
      </c>
      <c r="C937" s="32">
        <v>0</v>
      </c>
      <c r="D937" s="32">
        <v>0</v>
      </c>
      <c r="E937" s="19">
        <v>2</v>
      </c>
      <c r="F937" s="19">
        <v>0</v>
      </c>
      <c r="G937" s="33">
        <v>0</v>
      </c>
      <c r="H937" s="32">
        <v>0</v>
      </c>
      <c r="I937" s="32">
        <v>0</v>
      </c>
      <c r="J937" s="16" t="s">
        <v>5170</v>
      </c>
      <c r="K937" s="16" t="s">
        <v>5660</v>
      </c>
      <c r="L937" s="16" t="s">
        <v>4686</v>
      </c>
    </row>
    <row r="938" spans="1:12" ht="19.5" customHeight="1" x14ac:dyDescent="0.35">
      <c r="A938" s="16" t="s">
        <v>3366</v>
      </c>
      <c r="B938" s="16" t="s">
        <v>1122</v>
      </c>
      <c r="C938" s="32">
        <v>0</v>
      </c>
      <c r="D938" s="32">
        <v>0</v>
      </c>
      <c r="E938" s="19">
        <v>2</v>
      </c>
      <c r="F938" s="19">
        <v>0</v>
      </c>
      <c r="G938" s="33">
        <v>0</v>
      </c>
      <c r="H938" s="32">
        <v>0</v>
      </c>
      <c r="I938" s="32">
        <v>0</v>
      </c>
      <c r="J938" s="16" t="s">
        <v>5292</v>
      </c>
      <c r="K938" s="16" t="s">
        <v>5661</v>
      </c>
      <c r="L938" s="16" t="s">
        <v>4214</v>
      </c>
    </row>
    <row r="939" spans="1:12" ht="19.5" customHeight="1" x14ac:dyDescent="0.35">
      <c r="A939" s="16" t="s">
        <v>3367</v>
      </c>
      <c r="B939" s="16" t="s">
        <v>1077</v>
      </c>
      <c r="C939" s="32">
        <v>0</v>
      </c>
      <c r="D939" s="32">
        <v>0</v>
      </c>
      <c r="E939" s="19">
        <v>2</v>
      </c>
      <c r="F939" s="19">
        <v>0</v>
      </c>
      <c r="G939" s="33">
        <v>0</v>
      </c>
      <c r="H939" s="32">
        <v>0</v>
      </c>
      <c r="I939" s="32">
        <v>0</v>
      </c>
      <c r="J939" s="16" t="s">
        <v>5047</v>
      </c>
      <c r="K939" s="16" t="s">
        <v>5662</v>
      </c>
      <c r="L939" s="16" t="s">
        <v>4214</v>
      </c>
    </row>
    <row r="940" spans="1:12" ht="19.5" customHeight="1" x14ac:dyDescent="0.35">
      <c r="A940" s="16" t="s">
        <v>3368</v>
      </c>
      <c r="B940" s="16" t="s">
        <v>1136</v>
      </c>
      <c r="C940" s="32">
        <v>0</v>
      </c>
      <c r="D940" s="32">
        <v>0</v>
      </c>
      <c r="E940" s="19">
        <v>2</v>
      </c>
      <c r="F940" s="19">
        <v>0</v>
      </c>
      <c r="G940" s="33">
        <v>0</v>
      </c>
      <c r="H940" s="32">
        <v>0</v>
      </c>
      <c r="I940" s="32">
        <v>0</v>
      </c>
      <c r="J940" s="16" t="s">
        <v>5290</v>
      </c>
      <c r="K940" s="16" t="s">
        <v>5663</v>
      </c>
      <c r="L940" s="16" t="s">
        <v>4214</v>
      </c>
    </row>
    <row r="941" spans="1:12" ht="19.5" customHeight="1" x14ac:dyDescent="0.35">
      <c r="A941" s="16" t="s">
        <v>3369</v>
      </c>
      <c r="B941" s="16" t="s">
        <v>1009</v>
      </c>
      <c r="C941" s="32">
        <v>0</v>
      </c>
      <c r="D941" s="32">
        <v>0</v>
      </c>
      <c r="E941" s="19">
        <v>2</v>
      </c>
      <c r="F941" s="19">
        <v>0</v>
      </c>
      <c r="G941" s="33">
        <v>0</v>
      </c>
      <c r="H941" s="32">
        <v>0</v>
      </c>
      <c r="I941" s="32">
        <v>0</v>
      </c>
      <c r="J941" s="16" t="s">
        <v>4553</v>
      </c>
      <c r="K941" s="16" t="s">
        <v>5664</v>
      </c>
      <c r="L941" s="16" t="s">
        <v>4214</v>
      </c>
    </row>
    <row r="942" spans="1:12" ht="19.5" customHeight="1" x14ac:dyDescent="0.35">
      <c r="A942" s="16" t="s">
        <v>3370</v>
      </c>
      <c r="B942" s="16" t="s">
        <v>989</v>
      </c>
      <c r="C942" s="32">
        <v>0</v>
      </c>
      <c r="D942" s="32">
        <v>0</v>
      </c>
      <c r="E942" s="19">
        <v>2</v>
      </c>
      <c r="F942" s="19">
        <v>0</v>
      </c>
      <c r="G942" s="33">
        <v>0</v>
      </c>
      <c r="H942" s="32">
        <v>0</v>
      </c>
      <c r="I942" s="32">
        <v>0</v>
      </c>
      <c r="J942" s="16" t="s">
        <v>5127</v>
      </c>
      <c r="K942" s="16" t="s">
        <v>5665</v>
      </c>
      <c r="L942" s="16" t="s">
        <v>5014</v>
      </c>
    </row>
    <row r="943" spans="1:12" ht="19.5" customHeight="1" x14ac:dyDescent="0.35">
      <c r="A943" s="16" t="s">
        <v>3371</v>
      </c>
      <c r="B943" s="16" t="s">
        <v>963</v>
      </c>
      <c r="C943" s="32">
        <v>0</v>
      </c>
      <c r="D943" s="32">
        <v>0</v>
      </c>
      <c r="E943" s="19">
        <v>2</v>
      </c>
      <c r="F943" s="19">
        <v>0</v>
      </c>
      <c r="G943" s="33">
        <v>0</v>
      </c>
      <c r="H943" s="32">
        <v>0</v>
      </c>
      <c r="I943" s="32">
        <v>0</v>
      </c>
      <c r="J943" s="16" t="s">
        <v>5666</v>
      </c>
      <c r="K943" s="16" t="s">
        <v>5667</v>
      </c>
      <c r="L943" s="16" t="s">
        <v>4871</v>
      </c>
    </row>
    <row r="944" spans="1:12" ht="19.5" customHeight="1" x14ac:dyDescent="0.35">
      <c r="A944" s="16" t="s">
        <v>3373</v>
      </c>
      <c r="B944" s="16" t="s">
        <v>921</v>
      </c>
      <c r="C944" s="32">
        <v>0</v>
      </c>
      <c r="D944" s="32">
        <v>0</v>
      </c>
      <c r="E944" s="19">
        <v>2</v>
      </c>
      <c r="F944" s="19">
        <v>0</v>
      </c>
      <c r="G944" s="33">
        <v>0</v>
      </c>
      <c r="H944" s="32">
        <v>0</v>
      </c>
      <c r="I944" s="32">
        <v>0</v>
      </c>
      <c r="J944" s="16" t="s">
        <v>5650</v>
      </c>
      <c r="K944" s="16" t="s">
        <v>5668</v>
      </c>
      <c r="L944" s="16" t="s">
        <v>4925</v>
      </c>
    </row>
    <row r="945" spans="1:12" ht="19.5" customHeight="1" x14ac:dyDescent="0.35">
      <c r="A945" s="16" t="s">
        <v>3374</v>
      </c>
      <c r="B945" s="16" t="s">
        <v>989</v>
      </c>
      <c r="C945" s="32">
        <v>0</v>
      </c>
      <c r="D945" s="32">
        <v>0</v>
      </c>
      <c r="E945" s="19">
        <v>2</v>
      </c>
      <c r="F945" s="19">
        <v>1</v>
      </c>
      <c r="G945" s="33">
        <v>0.5</v>
      </c>
      <c r="H945" s="32">
        <v>0</v>
      </c>
      <c r="I945" s="32">
        <v>0</v>
      </c>
      <c r="J945" s="16" t="s">
        <v>5193</v>
      </c>
      <c r="K945" s="16" t="s">
        <v>5669</v>
      </c>
      <c r="L945" s="16" t="s">
        <v>4871</v>
      </c>
    </row>
    <row r="946" spans="1:12" ht="19.5" customHeight="1" x14ac:dyDescent="0.35">
      <c r="A946" s="16" t="s">
        <v>3375</v>
      </c>
      <c r="B946" s="16" t="s">
        <v>3052</v>
      </c>
      <c r="C946" s="32">
        <v>0</v>
      </c>
      <c r="D946" s="32">
        <v>0</v>
      </c>
      <c r="E946" s="19">
        <v>2</v>
      </c>
      <c r="F946" s="19">
        <v>0</v>
      </c>
      <c r="G946" s="33">
        <v>0</v>
      </c>
      <c r="H946" s="32">
        <v>0</v>
      </c>
      <c r="I946" s="32">
        <v>0</v>
      </c>
      <c r="J946" s="16" t="s">
        <v>5670</v>
      </c>
      <c r="K946" s="16" t="s">
        <v>5671</v>
      </c>
      <c r="L946" s="16" t="s">
        <v>4871</v>
      </c>
    </row>
    <row r="947" spans="1:12" ht="19.5" customHeight="1" x14ac:dyDescent="0.35">
      <c r="A947" s="16" t="s">
        <v>3377</v>
      </c>
      <c r="B947" s="16" t="s">
        <v>1494</v>
      </c>
      <c r="C947" s="32">
        <v>0</v>
      </c>
      <c r="D947" s="32">
        <v>0</v>
      </c>
      <c r="E947" s="19">
        <v>2</v>
      </c>
      <c r="F947" s="19">
        <v>0</v>
      </c>
      <c r="G947" s="33">
        <v>0</v>
      </c>
      <c r="H947" s="32">
        <v>0</v>
      </c>
      <c r="I947" s="32">
        <v>0</v>
      </c>
      <c r="J947" s="16" t="s">
        <v>5672</v>
      </c>
      <c r="K947" s="16" t="s">
        <v>5673</v>
      </c>
      <c r="L947" s="16" t="s">
        <v>4925</v>
      </c>
    </row>
    <row r="948" spans="1:12" ht="19.5" customHeight="1" x14ac:dyDescent="0.35">
      <c r="A948" s="16" t="s">
        <v>3379</v>
      </c>
      <c r="B948" s="16" t="s">
        <v>921</v>
      </c>
      <c r="C948" s="32">
        <v>0</v>
      </c>
      <c r="D948" s="32">
        <v>0</v>
      </c>
      <c r="E948" s="19">
        <v>2</v>
      </c>
      <c r="F948" s="19">
        <v>0</v>
      </c>
      <c r="G948" s="33">
        <v>0</v>
      </c>
      <c r="H948" s="32">
        <v>0</v>
      </c>
      <c r="I948" s="32">
        <v>0</v>
      </c>
      <c r="J948" s="16" t="s">
        <v>5674</v>
      </c>
      <c r="K948" s="16" t="s">
        <v>5675</v>
      </c>
      <c r="L948" s="16" t="s">
        <v>4925</v>
      </c>
    </row>
    <row r="949" spans="1:12" ht="19.5" customHeight="1" x14ac:dyDescent="0.35">
      <c r="A949" s="16" t="s">
        <v>3381</v>
      </c>
      <c r="B949" s="16" t="s">
        <v>989</v>
      </c>
      <c r="C949" s="32">
        <v>0</v>
      </c>
      <c r="D949" s="32">
        <v>0</v>
      </c>
      <c r="E949" s="19">
        <v>2</v>
      </c>
      <c r="F949" s="19">
        <v>1</v>
      </c>
      <c r="G949" s="33">
        <v>0.5</v>
      </c>
      <c r="H949" s="32">
        <v>0</v>
      </c>
      <c r="I949" s="32">
        <v>0</v>
      </c>
      <c r="J949" s="16" t="s">
        <v>5676</v>
      </c>
      <c r="K949" s="16" t="s">
        <v>5677</v>
      </c>
      <c r="L949" s="16" t="s">
        <v>4925</v>
      </c>
    </row>
    <row r="950" spans="1:12" ht="19.5" customHeight="1" x14ac:dyDescent="0.35">
      <c r="A950" s="16" t="s">
        <v>3383</v>
      </c>
      <c r="B950" s="16" t="s">
        <v>1101</v>
      </c>
      <c r="C950" s="32">
        <v>0</v>
      </c>
      <c r="D950" s="32">
        <v>0</v>
      </c>
      <c r="E950" s="19">
        <v>2</v>
      </c>
      <c r="F950" s="19">
        <v>0</v>
      </c>
      <c r="G950" s="33">
        <v>0</v>
      </c>
      <c r="H950" s="32">
        <v>0</v>
      </c>
      <c r="I950" s="32">
        <v>0</v>
      </c>
      <c r="J950" s="16" t="s">
        <v>5678</v>
      </c>
      <c r="K950" s="16" t="s">
        <v>5679</v>
      </c>
      <c r="L950" s="16" t="s">
        <v>4871</v>
      </c>
    </row>
    <row r="951" spans="1:12" ht="19.5" customHeight="1" x14ac:dyDescent="0.35">
      <c r="A951" s="16" t="s">
        <v>3385</v>
      </c>
      <c r="B951" s="16" t="s">
        <v>1077</v>
      </c>
      <c r="C951" s="32">
        <v>0</v>
      </c>
      <c r="D951" s="32">
        <v>0</v>
      </c>
      <c r="E951" s="19">
        <v>2</v>
      </c>
      <c r="F951" s="19">
        <v>0</v>
      </c>
      <c r="G951" s="33">
        <v>0</v>
      </c>
      <c r="H951" s="32">
        <v>0</v>
      </c>
      <c r="I951" s="32">
        <v>0</v>
      </c>
      <c r="J951" s="16" t="s">
        <v>5680</v>
      </c>
      <c r="K951" s="16" t="s">
        <v>5681</v>
      </c>
      <c r="L951" s="16" t="s">
        <v>4360</v>
      </c>
    </row>
    <row r="952" spans="1:12" ht="19.5" customHeight="1" x14ac:dyDescent="0.35">
      <c r="A952" s="16" t="s">
        <v>3387</v>
      </c>
      <c r="B952" s="16" t="s">
        <v>1077</v>
      </c>
      <c r="C952" s="32">
        <v>0</v>
      </c>
      <c r="D952" s="32">
        <v>0</v>
      </c>
      <c r="E952" s="19">
        <v>2</v>
      </c>
      <c r="F952" s="19">
        <v>0</v>
      </c>
      <c r="G952" s="33">
        <v>0</v>
      </c>
      <c r="H952" s="32">
        <v>0</v>
      </c>
      <c r="I952" s="32">
        <v>0</v>
      </c>
      <c r="J952" s="16" t="s">
        <v>5176</v>
      </c>
      <c r="K952" s="16" t="s">
        <v>5682</v>
      </c>
      <c r="L952" s="16" t="s">
        <v>4360</v>
      </c>
    </row>
    <row r="953" spans="1:12" ht="19.5" customHeight="1" x14ac:dyDescent="0.35">
      <c r="A953" s="16" t="s">
        <v>3388</v>
      </c>
      <c r="B953" s="16" t="s">
        <v>1077</v>
      </c>
      <c r="C953" s="32">
        <v>0</v>
      </c>
      <c r="D953" s="32">
        <v>0</v>
      </c>
      <c r="E953" s="19">
        <v>2</v>
      </c>
      <c r="F953" s="19">
        <v>0</v>
      </c>
      <c r="G953" s="33">
        <v>0</v>
      </c>
      <c r="H953" s="32">
        <v>0</v>
      </c>
      <c r="I953" s="32">
        <v>0</v>
      </c>
      <c r="J953" s="16" t="s">
        <v>5047</v>
      </c>
      <c r="K953" s="16" t="s">
        <v>5683</v>
      </c>
      <c r="L953" s="16" t="s">
        <v>4360</v>
      </c>
    </row>
    <row r="954" spans="1:12" ht="19.5" customHeight="1" x14ac:dyDescent="0.35">
      <c r="A954" s="16" t="s">
        <v>3389</v>
      </c>
      <c r="B954" s="16" t="s">
        <v>1077</v>
      </c>
      <c r="C954" s="32">
        <v>0</v>
      </c>
      <c r="D954" s="32">
        <v>0</v>
      </c>
      <c r="E954" s="19">
        <v>2</v>
      </c>
      <c r="F954" s="19">
        <v>0</v>
      </c>
      <c r="G954" s="33">
        <v>0</v>
      </c>
      <c r="H954" s="32">
        <v>0</v>
      </c>
      <c r="I954" s="32">
        <v>0</v>
      </c>
      <c r="J954" s="16" t="s">
        <v>5047</v>
      </c>
      <c r="K954" s="16" t="s">
        <v>5684</v>
      </c>
      <c r="L954" s="16" t="s">
        <v>4360</v>
      </c>
    </row>
    <row r="955" spans="1:12" ht="19.5" customHeight="1" x14ac:dyDescent="0.35">
      <c r="A955" s="16" t="s">
        <v>3390</v>
      </c>
      <c r="B955" s="16" t="s">
        <v>963</v>
      </c>
      <c r="C955" s="32">
        <v>0</v>
      </c>
      <c r="D955" s="32">
        <v>0</v>
      </c>
      <c r="E955" s="19">
        <v>2</v>
      </c>
      <c r="F955" s="19">
        <v>0</v>
      </c>
      <c r="G955" s="33">
        <v>0</v>
      </c>
      <c r="H955" s="32">
        <v>0</v>
      </c>
      <c r="I955" s="32">
        <v>0</v>
      </c>
      <c r="J955" s="16" t="s">
        <v>5290</v>
      </c>
      <c r="K955" s="16" t="s">
        <v>5685</v>
      </c>
      <c r="L955" s="16" t="s">
        <v>4491</v>
      </c>
    </row>
    <row r="956" spans="1:12" ht="19.5" customHeight="1" x14ac:dyDescent="0.35">
      <c r="A956" s="16" t="s">
        <v>3391</v>
      </c>
      <c r="B956" s="16" t="s">
        <v>1817</v>
      </c>
      <c r="C956" s="32">
        <v>0</v>
      </c>
      <c r="D956" s="32">
        <v>0</v>
      </c>
      <c r="E956" s="19">
        <v>2</v>
      </c>
      <c r="F956" s="19">
        <v>0</v>
      </c>
      <c r="G956" s="33">
        <v>0</v>
      </c>
      <c r="H956" s="32">
        <v>0</v>
      </c>
      <c r="I956" s="32">
        <v>0</v>
      </c>
      <c r="J956" s="16" t="s">
        <v>5170</v>
      </c>
      <c r="K956" s="16" t="s">
        <v>5686</v>
      </c>
      <c r="L956" s="16" t="s">
        <v>4491</v>
      </c>
    </row>
    <row r="957" spans="1:12" ht="19.5" customHeight="1" x14ac:dyDescent="0.35">
      <c r="A957" s="16" t="s">
        <v>3392</v>
      </c>
      <c r="B957" s="16" t="s">
        <v>1077</v>
      </c>
      <c r="C957" s="32">
        <v>0</v>
      </c>
      <c r="D957" s="32">
        <v>0</v>
      </c>
      <c r="E957" s="19">
        <v>2</v>
      </c>
      <c r="F957" s="19">
        <v>0</v>
      </c>
      <c r="G957" s="33">
        <v>0</v>
      </c>
      <c r="H957" s="32">
        <v>0</v>
      </c>
      <c r="I957" s="32">
        <v>0</v>
      </c>
      <c r="J957" s="16" t="s">
        <v>5193</v>
      </c>
      <c r="K957" s="16" t="s">
        <v>5687</v>
      </c>
      <c r="L957" s="16" t="s">
        <v>4360</v>
      </c>
    </row>
    <row r="958" spans="1:12" ht="19.5" customHeight="1" x14ac:dyDescent="0.35">
      <c r="A958" s="16" t="s">
        <v>3393</v>
      </c>
      <c r="B958" s="16" t="s">
        <v>1143</v>
      </c>
      <c r="C958" s="32">
        <v>0</v>
      </c>
      <c r="D958" s="32">
        <v>0</v>
      </c>
      <c r="E958" s="19">
        <v>2</v>
      </c>
      <c r="F958" s="19">
        <v>1</v>
      </c>
      <c r="G958" s="33">
        <v>0.5</v>
      </c>
      <c r="H958" s="32">
        <v>0</v>
      </c>
      <c r="I958" s="32">
        <v>0</v>
      </c>
      <c r="J958" s="16" t="s">
        <v>5292</v>
      </c>
      <c r="K958" s="16" t="s">
        <v>5688</v>
      </c>
      <c r="L958" s="16" t="s">
        <v>5014</v>
      </c>
    </row>
    <row r="959" spans="1:12" ht="19.5" customHeight="1" x14ac:dyDescent="0.35">
      <c r="A959" s="16" t="s">
        <v>3394</v>
      </c>
      <c r="B959" s="16" t="s">
        <v>1582</v>
      </c>
      <c r="C959" s="32">
        <v>0</v>
      </c>
      <c r="D959" s="32">
        <v>0</v>
      </c>
      <c r="E959" s="19">
        <v>2</v>
      </c>
      <c r="F959" s="19">
        <v>0</v>
      </c>
      <c r="G959" s="33">
        <v>0</v>
      </c>
      <c r="H959" s="32">
        <v>0</v>
      </c>
      <c r="I959" s="32">
        <v>0</v>
      </c>
      <c r="J959" s="16" t="s">
        <v>5193</v>
      </c>
      <c r="K959" s="16" t="s">
        <v>5689</v>
      </c>
      <c r="L959" s="16" t="s">
        <v>4673</v>
      </c>
    </row>
    <row r="960" spans="1:12" ht="19.5" customHeight="1" x14ac:dyDescent="0.35">
      <c r="A960" s="16" t="s">
        <v>3395</v>
      </c>
      <c r="B960" s="16" t="s">
        <v>925</v>
      </c>
      <c r="C960" s="32">
        <v>0</v>
      </c>
      <c r="D960" s="32">
        <v>0</v>
      </c>
      <c r="E960" s="19">
        <v>2</v>
      </c>
      <c r="F960" s="19">
        <v>0</v>
      </c>
      <c r="G960" s="33">
        <v>0</v>
      </c>
      <c r="H960" s="32">
        <v>0</v>
      </c>
      <c r="I960" s="32">
        <v>0</v>
      </c>
      <c r="J960" s="16" t="s">
        <v>5690</v>
      </c>
      <c r="K960" s="16" t="s">
        <v>5691</v>
      </c>
      <c r="L960" s="16" t="s">
        <v>4772</v>
      </c>
    </row>
    <row r="961" spans="1:12" ht="19.5" customHeight="1" x14ac:dyDescent="0.35">
      <c r="A961" s="16" t="s">
        <v>3397</v>
      </c>
      <c r="B961" s="16" t="s">
        <v>2160</v>
      </c>
      <c r="C961" s="32">
        <v>0</v>
      </c>
      <c r="D961" s="32">
        <v>0</v>
      </c>
      <c r="E961" s="19">
        <v>2</v>
      </c>
      <c r="F961" s="19">
        <v>0</v>
      </c>
      <c r="G961" s="33">
        <v>0</v>
      </c>
      <c r="H961" s="32">
        <v>0</v>
      </c>
      <c r="I961" s="32">
        <v>0</v>
      </c>
      <c r="J961" s="16" t="s">
        <v>5170</v>
      </c>
      <c r="K961" s="16" t="s">
        <v>5692</v>
      </c>
      <c r="L961" s="16" t="s">
        <v>4644</v>
      </c>
    </row>
    <row r="962" spans="1:12" ht="19.5" customHeight="1" x14ac:dyDescent="0.35">
      <c r="A962" s="16" t="s">
        <v>3398</v>
      </c>
      <c r="B962" s="16" t="s">
        <v>1077</v>
      </c>
      <c r="C962" s="32">
        <v>0</v>
      </c>
      <c r="D962" s="32">
        <v>0</v>
      </c>
      <c r="E962" s="19">
        <v>2</v>
      </c>
      <c r="F962" s="19">
        <v>0</v>
      </c>
      <c r="G962" s="33">
        <v>0</v>
      </c>
      <c r="H962" s="32">
        <v>0</v>
      </c>
      <c r="I962" s="32">
        <v>0</v>
      </c>
      <c r="J962" s="16" t="s">
        <v>5047</v>
      </c>
      <c r="K962" s="16" t="s">
        <v>5693</v>
      </c>
      <c r="L962" s="16" t="s">
        <v>4871</v>
      </c>
    </row>
    <row r="963" spans="1:12" ht="19.5" customHeight="1" x14ac:dyDescent="0.35">
      <c r="A963" s="16" t="s">
        <v>3399</v>
      </c>
      <c r="B963" s="16" t="s">
        <v>1490</v>
      </c>
      <c r="C963" s="32">
        <v>0</v>
      </c>
      <c r="D963" s="32">
        <v>0</v>
      </c>
      <c r="E963" s="19">
        <v>2</v>
      </c>
      <c r="F963" s="19">
        <v>0</v>
      </c>
      <c r="G963" s="33">
        <v>0</v>
      </c>
      <c r="H963" s="32">
        <v>0</v>
      </c>
      <c r="I963" s="32">
        <v>0</v>
      </c>
      <c r="J963" s="16" t="s">
        <v>5170</v>
      </c>
      <c r="K963" s="16" t="s">
        <v>5694</v>
      </c>
      <c r="L963" s="16" t="s">
        <v>4360</v>
      </c>
    </row>
    <row r="964" spans="1:12" ht="19.5" customHeight="1" x14ac:dyDescent="0.35">
      <c r="A964" s="16" t="s">
        <v>3400</v>
      </c>
      <c r="B964" s="16" t="s">
        <v>1077</v>
      </c>
      <c r="C964" s="32">
        <v>0</v>
      </c>
      <c r="D964" s="32">
        <v>0</v>
      </c>
      <c r="E964" s="19">
        <v>2</v>
      </c>
      <c r="F964" s="19">
        <v>0</v>
      </c>
      <c r="G964" s="33">
        <v>0</v>
      </c>
      <c r="H964" s="32">
        <v>0</v>
      </c>
      <c r="I964" s="32">
        <v>0</v>
      </c>
      <c r="J964" s="16" t="s">
        <v>5695</v>
      </c>
      <c r="K964" s="16" t="s">
        <v>5696</v>
      </c>
      <c r="L964" s="16" t="s">
        <v>4360</v>
      </c>
    </row>
    <row r="965" spans="1:12" ht="19.5" customHeight="1" x14ac:dyDescent="0.35">
      <c r="A965" s="16" t="s">
        <v>3402</v>
      </c>
      <c r="B965" s="16"/>
      <c r="C965" s="32">
        <v>0</v>
      </c>
      <c r="D965" s="32">
        <v>0</v>
      </c>
      <c r="E965" s="19">
        <v>2</v>
      </c>
      <c r="F965" s="19">
        <v>0</v>
      </c>
      <c r="G965" s="33">
        <v>0</v>
      </c>
      <c r="H965" s="32">
        <v>0</v>
      </c>
      <c r="I965" s="32">
        <v>0</v>
      </c>
      <c r="J965" s="16" t="s">
        <v>5292</v>
      </c>
      <c r="K965" s="16"/>
      <c r="L965" s="16"/>
    </row>
    <row r="966" spans="1:12" ht="19.5" customHeight="1" x14ac:dyDescent="0.35">
      <c r="A966" s="16" t="s">
        <v>3403</v>
      </c>
      <c r="B966" s="16" t="s">
        <v>3404</v>
      </c>
      <c r="C966" s="32">
        <v>0</v>
      </c>
      <c r="D966" s="32">
        <v>0</v>
      </c>
      <c r="E966" s="19">
        <v>1</v>
      </c>
      <c r="F966" s="19">
        <v>0</v>
      </c>
      <c r="G966" s="33">
        <v>0</v>
      </c>
      <c r="H966" s="32">
        <v>0</v>
      </c>
      <c r="I966" s="32">
        <v>0</v>
      </c>
      <c r="J966" s="16" t="s">
        <v>5067</v>
      </c>
      <c r="K966" s="16" t="s">
        <v>5697</v>
      </c>
      <c r="L966" s="16" t="s">
        <v>4686</v>
      </c>
    </row>
    <row r="967" spans="1:12" ht="19.5" customHeight="1" x14ac:dyDescent="0.35">
      <c r="A967" s="16" t="s">
        <v>3405</v>
      </c>
      <c r="B967" s="16" t="s">
        <v>1240</v>
      </c>
      <c r="C967" s="32">
        <v>0</v>
      </c>
      <c r="D967" s="32">
        <v>0</v>
      </c>
      <c r="E967" s="19">
        <v>1</v>
      </c>
      <c r="F967" s="19">
        <v>0</v>
      </c>
      <c r="G967" s="33">
        <v>0</v>
      </c>
      <c r="H967" s="32">
        <v>0</v>
      </c>
      <c r="I967" s="32">
        <v>0</v>
      </c>
      <c r="J967" s="16" t="s">
        <v>4927</v>
      </c>
      <c r="K967" s="16" t="s">
        <v>5698</v>
      </c>
      <c r="L967" s="16" t="s">
        <v>4686</v>
      </c>
    </row>
    <row r="968" spans="1:12" ht="19.5" customHeight="1" x14ac:dyDescent="0.35">
      <c r="A968" s="16" t="s">
        <v>3406</v>
      </c>
      <c r="B968" s="16" t="s">
        <v>1009</v>
      </c>
      <c r="C968" s="32">
        <v>0</v>
      </c>
      <c r="D968" s="32">
        <v>0</v>
      </c>
      <c r="E968" s="19">
        <v>1</v>
      </c>
      <c r="F968" s="19">
        <v>0</v>
      </c>
      <c r="G968" s="33">
        <v>0</v>
      </c>
      <c r="H968" s="32">
        <v>0</v>
      </c>
      <c r="I968" s="32">
        <v>0</v>
      </c>
      <c r="J968" s="16" t="s">
        <v>4927</v>
      </c>
      <c r="K968" s="16" t="s">
        <v>5699</v>
      </c>
      <c r="L968" s="16" t="s">
        <v>4871</v>
      </c>
    </row>
    <row r="969" spans="1:12" ht="19.5" customHeight="1" x14ac:dyDescent="0.35">
      <c r="A969" s="16" t="s">
        <v>3407</v>
      </c>
      <c r="B969" s="16" t="s">
        <v>1009</v>
      </c>
      <c r="C969" s="32">
        <v>0</v>
      </c>
      <c r="D969" s="32">
        <v>0</v>
      </c>
      <c r="E969" s="19">
        <v>1</v>
      </c>
      <c r="F969" s="19">
        <v>0</v>
      </c>
      <c r="G969" s="33">
        <v>0</v>
      </c>
      <c r="H969" s="32">
        <v>0</v>
      </c>
      <c r="I969" s="32">
        <v>0</v>
      </c>
      <c r="J969" s="16" t="s">
        <v>5301</v>
      </c>
      <c r="K969" s="16" t="s">
        <v>5700</v>
      </c>
      <c r="L969" s="16" t="s">
        <v>4673</v>
      </c>
    </row>
    <row r="970" spans="1:12" ht="19.5" customHeight="1" x14ac:dyDescent="0.35">
      <c r="A970" s="16" t="s">
        <v>3408</v>
      </c>
      <c r="B970" s="16" t="s">
        <v>909</v>
      </c>
      <c r="C970" s="32">
        <v>0</v>
      </c>
      <c r="D970" s="32">
        <v>0</v>
      </c>
      <c r="E970" s="19">
        <v>1</v>
      </c>
      <c r="F970" s="19">
        <v>0</v>
      </c>
      <c r="G970" s="33">
        <v>0</v>
      </c>
      <c r="H970" s="32">
        <v>0</v>
      </c>
      <c r="I970" s="32">
        <v>0</v>
      </c>
      <c r="J970" s="16" t="s">
        <v>4770</v>
      </c>
      <c r="K970" s="16" t="s">
        <v>5701</v>
      </c>
      <c r="L970" s="16" t="s">
        <v>4772</v>
      </c>
    </row>
    <row r="971" spans="1:12" ht="19.5" customHeight="1" x14ac:dyDescent="0.35">
      <c r="A971" s="16" t="s">
        <v>3409</v>
      </c>
      <c r="B971" s="16" t="s">
        <v>946</v>
      </c>
      <c r="C971" s="32">
        <v>0</v>
      </c>
      <c r="D971" s="32">
        <v>0</v>
      </c>
      <c r="E971" s="19">
        <v>1</v>
      </c>
      <c r="F971" s="19">
        <v>0</v>
      </c>
      <c r="G971" s="33">
        <v>0</v>
      </c>
      <c r="H971" s="32">
        <v>0</v>
      </c>
      <c r="I971" s="32">
        <v>0</v>
      </c>
      <c r="J971" s="16" t="s">
        <v>4770</v>
      </c>
      <c r="K971" s="16" t="s">
        <v>5702</v>
      </c>
      <c r="L971" s="16" t="s">
        <v>4673</v>
      </c>
    </row>
    <row r="972" spans="1:12" ht="19.5" customHeight="1" x14ac:dyDescent="0.35">
      <c r="A972" s="16" t="s">
        <v>3410</v>
      </c>
      <c r="B972" s="16" t="s">
        <v>3411</v>
      </c>
      <c r="C972" s="32">
        <v>0</v>
      </c>
      <c r="D972" s="32">
        <v>0</v>
      </c>
      <c r="E972" s="19">
        <v>1</v>
      </c>
      <c r="F972" s="19">
        <v>0</v>
      </c>
      <c r="G972" s="33">
        <v>0</v>
      </c>
      <c r="H972" s="32">
        <v>0</v>
      </c>
      <c r="I972" s="32">
        <v>0</v>
      </c>
      <c r="J972" s="16" t="s">
        <v>4770</v>
      </c>
      <c r="K972" s="16" t="s">
        <v>5703</v>
      </c>
      <c r="L972" s="16" t="s">
        <v>4871</v>
      </c>
    </row>
    <row r="973" spans="1:12" ht="19.5" customHeight="1" x14ac:dyDescent="0.35">
      <c r="A973" s="16" t="s">
        <v>3412</v>
      </c>
      <c r="B973" s="16" t="s">
        <v>3413</v>
      </c>
      <c r="C973" s="32">
        <v>0</v>
      </c>
      <c r="D973" s="32">
        <v>0</v>
      </c>
      <c r="E973" s="19">
        <v>1</v>
      </c>
      <c r="F973" s="19">
        <v>0</v>
      </c>
      <c r="G973" s="33">
        <v>0</v>
      </c>
      <c r="H973" s="32">
        <v>0</v>
      </c>
      <c r="I973" s="32">
        <v>0</v>
      </c>
      <c r="J973" s="16" t="s">
        <v>4770</v>
      </c>
      <c r="K973" s="16" t="s">
        <v>5704</v>
      </c>
      <c r="L973" s="16" t="s">
        <v>4772</v>
      </c>
    </row>
    <row r="974" spans="1:12" ht="19.5" customHeight="1" x14ac:dyDescent="0.35">
      <c r="A974" s="16" t="s">
        <v>3414</v>
      </c>
      <c r="B974" s="16" t="s">
        <v>2971</v>
      </c>
      <c r="C974" s="32">
        <v>0</v>
      </c>
      <c r="D974" s="32">
        <v>0</v>
      </c>
      <c r="E974" s="19">
        <v>1</v>
      </c>
      <c r="F974" s="19">
        <v>0</v>
      </c>
      <c r="G974" s="33">
        <v>0</v>
      </c>
      <c r="H974" s="32">
        <v>0</v>
      </c>
      <c r="I974" s="32">
        <v>0</v>
      </c>
      <c r="J974" s="16" t="s">
        <v>4770</v>
      </c>
      <c r="K974" s="16" t="s">
        <v>5705</v>
      </c>
      <c r="L974" s="16" t="s">
        <v>4686</v>
      </c>
    </row>
    <row r="975" spans="1:12" ht="19.5" customHeight="1" x14ac:dyDescent="0.35">
      <c r="A975" s="16" t="s">
        <v>3415</v>
      </c>
      <c r="B975" s="16" t="s">
        <v>1136</v>
      </c>
      <c r="C975" s="32">
        <v>0</v>
      </c>
      <c r="D975" s="32">
        <v>0</v>
      </c>
      <c r="E975" s="19">
        <v>1</v>
      </c>
      <c r="F975" s="19">
        <v>0</v>
      </c>
      <c r="G975" s="33">
        <v>0</v>
      </c>
      <c r="H975" s="32">
        <v>0</v>
      </c>
      <c r="I975" s="32">
        <v>0</v>
      </c>
      <c r="J975" s="16" t="s">
        <v>5301</v>
      </c>
      <c r="K975" s="16" t="s">
        <v>5706</v>
      </c>
      <c r="L975" s="16" t="s">
        <v>4360</v>
      </c>
    </row>
    <row r="976" spans="1:12" ht="19.5" customHeight="1" x14ac:dyDescent="0.35">
      <c r="A976" s="16" t="s">
        <v>3416</v>
      </c>
      <c r="B976" s="16" t="s">
        <v>1136</v>
      </c>
      <c r="C976" s="32">
        <v>0</v>
      </c>
      <c r="D976" s="32">
        <v>0</v>
      </c>
      <c r="E976" s="19">
        <v>1</v>
      </c>
      <c r="F976" s="19">
        <v>0</v>
      </c>
      <c r="G976" s="33">
        <v>0</v>
      </c>
      <c r="H976" s="32">
        <v>0</v>
      </c>
      <c r="I976" s="32">
        <v>0</v>
      </c>
      <c r="J976" s="16" t="s">
        <v>5301</v>
      </c>
      <c r="K976" s="16" t="s">
        <v>5706</v>
      </c>
      <c r="L976" s="16" t="s">
        <v>4360</v>
      </c>
    </row>
    <row r="977" spans="1:12" ht="19.5" customHeight="1" x14ac:dyDescent="0.35">
      <c r="A977" s="16" t="s">
        <v>3417</v>
      </c>
      <c r="B977" s="16" t="s">
        <v>905</v>
      </c>
      <c r="C977" s="32">
        <v>0</v>
      </c>
      <c r="D977" s="32">
        <v>0</v>
      </c>
      <c r="E977" s="19">
        <v>1</v>
      </c>
      <c r="F977" s="19">
        <v>0</v>
      </c>
      <c r="G977" s="33">
        <v>0</v>
      </c>
      <c r="H977" s="32">
        <v>0</v>
      </c>
      <c r="I977" s="32">
        <v>0</v>
      </c>
      <c r="J977" s="16" t="s">
        <v>5099</v>
      </c>
      <c r="K977" s="16" t="s">
        <v>5707</v>
      </c>
      <c r="L977" s="16" t="s">
        <v>4686</v>
      </c>
    </row>
    <row r="978" spans="1:12" ht="19.5" customHeight="1" x14ac:dyDescent="0.35">
      <c r="A978" s="16" t="s">
        <v>3418</v>
      </c>
      <c r="B978" s="16" t="s">
        <v>1118</v>
      </c>
      <c r="C978" s="32">
        <v>0</v>
      </c>
      <c r="D978" s="32">
        <v>0</v>
      </c>
      <c r="E978" s="19">
        <v>1</v>
      </c>
      <c r="F978" s="19">
        <v>0</v>
      </c>
      <c r="G978" s="33">
        <v>0</v>
      </c>
      <c r="H978" s="32">
        <v>0</v>
      </c>
      <c r="I978" s="32">
        <v>0</v>
      </c>
      <c r="J978" s="16" t="s">
        <v>4927</v>
      </c>
      <c r="K978" s="16" t="s">
        <v>5708</v>
      </c>
      <c r="L978" s="16" t="s">
        <v>4686</v>
      </c>
    </row>
    <row r="979" spans="1:12" ht="19.5" customHeight="1" x14ac:dyDescent="0.35">
      <c r="A979" s="16" t="s">
        <v>3419</v>
      </c>
      <c r="B979" s="16" t="s">
        <v>3404</v>
      </c>
      <c r="C979" s="32">
        <v>0</v>
      </c>
      <c r="D979" s="32">
        <v>0</v>
      </c>
      <c r="E979" s="19">
        <v>1</v>
      </c>
      <c r="F979" s="19">
        <v>0</v>
      </c>
      <c r="G979" s="33">
        <v>0</v>
      </c>
      <c r="H979" s="32">
        <v>0</v>
      </c>
      <c r="I979" s="32">
        <v>0</v>
      </c>
      <c r="J979" s="16" t="s">
        <v>5196</v>
      </c>
      <c r="K979" s="16" t="s">
        <v>5709</v>
      </c>
      <c r="L979" s="16" t="s">
        <v>4772</v>
      </c>
    </row>
    <row r="980" spans="1:12" ht="19.5" customHeight="1" x14ac:dyDescent="0.35">
      <c r="A980" s="16" t="s">
        <v>3420</v>
      </c>
      <c r="B980" s="16" t="s">
        <v>1118</v>
      </c>
      <c r="C980" s="32">
        <v>0</v>
      </c>
      <c r="D980" s="32">
        <v>0</v>
      </c>
      <c r="E980" s="19">
        <v>1</v>
      </c>
      <c r="F980" s="19">
        <v>0</v>
      </c>
      <c r="G980" s="33">
        <v>0</v>
      </c>
      <c r="H980" s="32">
        <v>0</v>
      </c>
      <c r="I980" s="32">
        <v>0</v>
      </c>
      <c r="J980" s="16" t="s">
        <v>5301</v>
      </c>
      <c r="K980" s="16" t="s">
        <v>5710</v>
      </c>
      <c r="L980" s="16" t="s">
        <v>4673</v>
      </c>
    </row>
    <row r="981" spans="1:12" ht="19.5" customHeight="1" x14ac:dyDescent="0.35">
      <c r="A981" s="16" t="s">
        <v>3421</v>
      </c>
      <c r="B981" s="16" t="s">
        <v>3404</v>
      </c>
      <c r="C981" s="32">
        <v>0</v>
      </c>
      <c r="D981" s="32">
        <v>0</v>
      </c>
      <c r="E981" s="19">
        <v>1</v>
      </c>
      <c r="F981" s="19">
        <v>0</v>
      </c>
      <c r="G981" s="33">
        <v>0</v>
      </c>
      <c r="H981" s="32">
        <v>0</v>
      </c>
      <c r="I981" s="32">
        <v>0</v>
      </c>
      <c r="J981" s="16" t="s">
        <v>5196</v>
      </c>
      <c r="K981" s="16" t="s">
        <v>5711</v>
      </c>
      <c r="L981" s="16" t="s">
        <v>4360</v>
      </c>
    </row>
    <row r="982" spans="1:12" ht="19.5" customHeight="1" x14ac:dyDescent="0.35">
      <c r="A982" s="16" t="s">
        <v>3422</v>
      </c>
      <c r="B982" s="16" t="s">
        <v>1118</v>
      </c>
      <c r="C982" s="32">
        <v>0</v>
      </c>
      <c r="D982" s="32">
        <v>0</v>
      </c>
      <c r="E982" s="19">
        <v>1</v>
      </c>
      <c r="F982" s="19">
        <v>0</v>
      </c>
      <c r="G982" s="33">
        <v>0</v>
      </c>
      <c r="H982" s="32">
        <v>0</v>
      </c>
      <c r="I982" s="32">
        <v>0</v>
      </c>
      <c r="J982" s="16" t="s">
        <v>4770</v>
      </c>
      <c r="K982" s="16" t="s">
        <v>5712</v>
      </c>
      <c r="L982" s="16" t="s">
        <v>4772</v>
      </c>
    </row>
    <row r="983" spans="1:12" ht="19.5" customHeight="1" x14ac:dyDescent="0.35">
      <c r="A983" s="16" t="s">
        <v>3423</v>
      </c>
      <c r="B983" s="16" t="s">
        <v>1143</v>
      </c>
      <c r="C983" s="32">
        <v>0</v>
      </c>
      <c r="D983" s="32">
        <v>0</v>
      </c>
      <c r="E983" s="19">
        <v>1</v>
      </c>
      <c r="F983" s="19">
        <v>0</v>
      </c>
      <c r="G983" s="33">
        <v>0</v>
      </c>
      <c r="H983" s="32">
        <v>0</v>
      </c>
      <c r="I983" s="32">
        <v>0</v>
      </c>
      <c r="J983" s="16" t="s">
        <v>5316</v>
      </c>
      <c r="K983" s="16" t="s">
        <v>5713</v>
      </c>
      <c r="L983" s="16" t="s">
        <v>4871</v>
      </c>
    </row>
    <row r="984" spans="1:12" ht="19.5" customHeight="1" x14ac:dyDescent="0.35">
      <c r="A984" s="16" t="s">
        <v>3424</v>
      </c>
      <c r="B984" s="16" t="s">
        <v>929</v>
      </c>
      <c r="C984" s="32">
        <v>0</v>
      </c>
      <c r="D984" s="32">
        <v>0</v>
      </c>
      <c r="E984" s="19">
        <v>1</v>
      </c>
      <c r="F984" s="19">
        <v>0</v>
      </c>
      <c r="G984" s="33">
        <v>0</v>
      </c>
      <c r="H984" s="32">
        <v>0</v>
      </c>
      <c r="I984" s="32">
        <v>0</v>
      </c>
      <c r="J984" s="16" t="s">
        <v>5196</v>
      </c>
      <c r="K984" s="16" t="s">
        <v>5714</v>
      </c>
      <c r="L984" s="16" t="s">
        <v>4686</v>
      </c>
    </row>
    <row r="985" spans="1:12" ht="19.5" customHeight="1" x14ac:dyDescent="0.35">
      <c r="A985" s="16" t="s">
        <v>3425</v>
      </c>
      <c r="B985" s="16" t="s">
        <v>1077</v>
      </c>
      <c r="C985" s="32">
        <v>0</v>
      </c>
      <c r="D985" s="32">
        <v>0</v>
      </c>
      <c r="E985" s="19">
        <v>1</v>
      </c>
      <c r="F985" s="19">
        <v>0</v>
      </c>
      <c r="G985" s="33">
        <v>0</v>
      </c>
      <c r="H985" s="32">
        <v>0</v>
      </c>
      <c r="I985" s="32">
        <v>0</v>
      </c>
      <c r="J985" s="16" t="s">
        <v>4770</v>
      </c>
      <c r="K985" s="16" t="s">
        <v>5715</v>
      </c>
      <c r="L985" s="16" t="s">
        <v>4871</v>
      </c>
    </row>
    <row r="986" spans="1:12" ht="19.5" customHeight="1" x14ac:dyDescent="0.35">
      <c r="A986" s="16" t="s">
        <v>3426</v>
      </c>
      <c r="B986" s="16" t="s">
        <v>1077</v>
      </c>
      <c r="C986" s="32">
        <v>0</v>
      </c>
      <c r="D986" s="32">
        <v>0</v>
      </c>
      <c r="E986" s="19">
        <v>1</v>
      </c>
      <c r="F986" s="19">
        <v>0</v>
      </c>
      <c r="G986" s="33">
        <v>0</v>
      </c>
      <c r="H986" s="32">
        <v>0</v>
      </c>
      <c r="I986" s="32">
        <v>0</v>
      </c>
      <c r="J986" s="16" t="s">
        <v>5067</v>
      </c>
      <c r="K986" s="16" t="s">
        <v>5716</v>
      </c>
      <c r="L986" s="16" t="s">
        <v>4360</v>
      </c>
    </row>
    <row r="987" spans="1:12" ht="19.5" customHeight="1" x14ac:dyDescent="0.35">
      <c r="A987" s="16" t="s">
        <v>3427</v>
      </c>
      <c r="B987" s="16" t="s">
        <v>2257</v>
      </c>
      <c r="C987" s="32">
        <v>0</v>
      </c>
      <c r="D987" s="32">
        <v>0</v>
      </c>
      <c r="E987" s="19">
        <v>1</v>
      </c>
      <c r="F987" s="19">
        <v>0</v>
      </c>
      <c r="G987" s="33">
        <v>0</v>
      </c>
      <c r="H987" s="32">
        <v>0</v>
      </c>
      <c r="I987" s="32">
        <v>0</v>
      </c>
      <c r="J987" s="16" t="s">
        <v>4927</v>
      </c>
      <c r="K987" s="16" t="s">
        <v>5717</v>
      </c>
      <c r="L987" s="16" t="s">
        <v>4360</v>
      </c>
    </row>
    <row r="988" spans="1:12" ht="19.5" customHeight="1" x14ac:dyDescent="0.35">
      <c r="A988" s="16" t="s">
        <v>3428</v>
      </c>
      <c r="B988" s="16" t="s">
        <v>1817</v>
      </c>
      <c r="C988" s="32">
        <v>0</v>
      </c>
      <c r="D988" s="32">
        <v>0</v>
      </c>
      <c r="E988" s="19">
        <v>1</v>
      </c>
      <c r="F988" s="19">
        <v>0</v>
      </c>
      <c r="G988" s="33">
        <v>0</v>
      </c>
      <c r="H988" s="32">
        <v>0</v>
      </c>
      <c r="I988" s="32">
        <v>0</v>
      </c>
      <c r="J988" s="16" t="s">
        <v>5178</v>
      </c>
      <c r="K988" s="16" t="s">
        <v>5718</v>
      </c>
      <c r="L988" s="16" t="s">
        <v>4686</v>
      </c>
    </row>
    <row r="989" spans="1:12" ht="19.5" customHeight="1" x14ac:dyDescent="0.35">
      <c r="A989" s="16" t="s">
        <v>3429</v>
      </c>
      <c r="B989" s="16" t="s">
        <v>1817</v>
      </c>
      <c r="C989" s="32">
        <v>0</v>
      </c>
      <c r="D989" s="32">
        <v>0</v>
      </c>
      <c r="E989" s="19">
        <v>1</v>
      </c>
      <c r="F989" s="19">
        <v>0</v>
      </c>
      <c r="G989" s="33">
        <v>0</v>
      </c>
      <c r="H989" s="32">
        <v>0</v>
      </c>
      <c r="I989" s="32">
        <v>0</v>
      </c>
      <c r="J989" s="16" t="s">
        <v>4927</v>
      </c>
      <c r="K989" s="16" t="s">
        <v>5719</v>
      </c>
      <c r="L989" s="16" t="s">
        <v>4772</v>
      </c>
    </row>
    <row r="990" spans="1:12" ht="19.5" customHeight="1" x14ac:dyDescent="0.35">
      <c r="A990" s="16" t="s">
        <v>3430</v>
      </c>
      <c r="B990" s="16" t="s">
        <v>2602</v>
      </c>
      <c r="C990" s="32">
        <v>0</v>
      </c>
      <c r="D990" s="32">
        <v>0</v>
      </c>
      <c r="E990" s="19">
        <v>1</v>
      </c>
      <c r="F990" s="19">
        <v>0</v>
      </c>
      <c r="G990" s="33">
        <v>0</v>
      </c>
      <c r="H990" s="32">
        <v>0</v>
      </c>
      <c r="I990" s="32">
        <v>0</v>
      </c>
      <c r="J990" s="16" t="s">
        <v>4770</v>
      </c>
      <c r="K990" s="16" t="s">
        <v>5720</v>
      </c>
      <c r="L990" s="16" t="s">
        <v>4772</v>
      </c>
    </row>
    <row r="991" spans="1:12" ht="19.5" customHeight="1" x14ac:dyDescent="0.35">
      <c r="A991" s="16" t="s">
        <v>3431</v>
      </c>
      <c r="B991" s="16" t="s">
        <v>1690</v>
      </c>
      <c r="C991" s="32">
        <v>0</v>
      </c>
      <c r="D991" s="32">
        <v>0</v>
      </c>
      <c r="E991" s="19">
        <v>1</v>
      </c>
      <c r="F991" s="19">
        <v>0</v>
      </c>
      <c r="G991" s="33">
        <v>0</v>
      </c>
      <c r="H991" s="32">
        <v>0</v>
      </c>
      <c r="I991" s="32">
        <v>0</v>
      </c>
      <c r="J991" s="16" t="s">
        <v>5178</v>
      </c>
      <c r="K991" s="16" t="s">
        <v>5721</v>
      </c>
      <c r="L991" s="16" t="s">
        <v>4871</v>
      </c>
    </row>
    <row r="992" spans="1:12" ht="19.5" customHeight="1" x14ac:dyDescent="0.35">
      <c r="A992" s="16" t="s">
        <v>3432</v>
      </c>
      <c r="B992" s="16" t="s">
        <v>1136</v>
      </c>
      <c r="C992" s="32">
        <v>0</v>
      </c>
      <c r="D992" s="32">
        <v>0</v>
      </c>
      <c r="E992" s="19">
        <v>1</v>
      </c>
      <c r="F992" s="19">
        <v>0</v>
      </c>
      <c r="G992" s="33">
        <v>0</v>
      </c>
      <c r="H992" s="32">
        <v>0</v>
      </c>
      <c r="I992" s="32">
        <v>0</v>
      </c>
      <c r="J992" s="16" t="s">
        <v>4684</v>
      </c>
      <c r="K992" s="16" t="s">
        <v>5722</v>
      </c>
      <c r="L992" s="16" t="s">
        <v>4772</v>
      </c>
    </row>
    <row r="993" spans="1:12" ht="19.5" customHeight="1" x14ac:dyDescent="0.35">
      <c r="A993" s="16" t="s">
        <v>3433</v>
      </c>
      <c r="B993" s="16" t="s">
        <v>913</v>
      </c>
      <c r="C993" s="32">
        <v>0</v>
      </c>
      <c r="D993" s="32">
        <v>0</v>
      </c>
      <c r="E993" s="19">
        <v>1</v>
      </c>
      <c r="F993" s="19">
        <v>0</v>
      </c>
      <c r="G993" s="33">
        <v>0</v>
      </c>
      <c r="H993" s="32">
        <v>0</v>
      </c>
      <c r="I993" s="32">
        <v>0</v>
      </c>
      <c r="J993" s="16" t="s">
        <v>5099</v>
      </c>
      <c r="K993" s="16" t="s">
        <v>5723</v>
      </c>
      <c r="L993" s="16" t="s">
        <v>4673</v>
      </c>
    </row>
    <row r="994" spans="1:12" ht="19.5" customHeight="1" x14ac:dyDescent="0.35">
      <c r="A994" s="16" t="s">
        <v>3434</v>
      </c>
      <c r="B994" s="16" t="s">
        <v>1817</v>
      </c>
      <c r="C994" s="32">
        <v>0</v>
      </c>
      <c r="D994" s="32">
        <v>0</v>
      </c>
      <c r="E994" s="19">
        <v>1</v>
      </c>
      <c r="F994" s="19">
        <v>0</v>
      </c>
      <c r="G994" s="33">
        <v>0</v>
      </c>
      <c r="H994" s="32">
        <v>0</v>
      </c>
      <c r="I994" s="32">
        <v>0</v>
      </c>
      <c r="J994" s="16" t="s">
        <v>5067</v>
      </c>
      <c r="K994" s="16" t="s">
        <v>5724</v>
      </c>
      <c r="L994" s="16" t="s">
        <v>4772</v>
      </c>
    </row>
    <row r="995" spans="1:12" ht="19.5" customHeight="1" x14ac:dyDescent="0.35">
      <c r="A995" s="16" t="s">
        <v>3435</v>
      </c>
      <c r="B995" s="16" t="s">
        <v>1077</v>
      </c>
      <c r="C995" s="32">
        <v>0</v>
      </c>
      <c r="D995" s="32">
        <v>0</v>
      </c>
      <c r="E995" s="19">
        <v>1</v>
      </c>
      <c r="F995" s="19">
        <v>0</v>
      </c>
      <c r="G995" s="33">
        <v>0</v>
      </c>
      <c r="H995" s="32">
        <v>0</v>
      </c>
      <c r="I995" s="32">
        <v>0</v>
      </c>
      <c r="J995" s="16" t="s">
        <v>4927</v>
      </c>
      <c r="K995" s="16" t="s">
        <v>5725</v>
      </c>
      <c r="L995" s="16" t="s">
        <v>4772</v>
      </c>
    </row>
    <row r="996" spans="1:12" ht="19.5" customHeight="1" x14ac:dyDescent="0.35">
      <c r="A996" s="16" t="s">
        <v>3436</v>
      </c>
      <c r="B996" s="16" t="s">
        <v>2257</v>
      </c>
      <c r="C996" s="32">
        <v>0</v>
      </c>
      <c r="D996" s="32">
        <v>0</v>
      </c>
      <c r="E996" s="19">
        <v>1</v>
      </c>
      <c r="F996" s="19">
        <v>0</v>
      </c>
      <c r="G996" s="33">
        <v>0</v>
      </c>
      <c r="H996" s="32">
        <v>0</v>
      </c>
      <c r="I996" s="32">
        <v>0</v>
      </c>
      <c r="J996" s="16" t="s">
        <v>4927</v>
      </c>
      <c r="K996" s="16" t="s">
        <v>5726</v>
      </c>
      <c r="L996" s="16" t="s">
        <v>4360</v>
      </c>
    </row>
    <row r="997" spans="1:12" ht="19.5" customHeight="1" x14ac:dyDescent="0.35">
      <c r="A997" s="16" t="s">
        <v>3437</v>
      </c>
      <c r="B997" s="16" t="s">
        <v>2257</v>
      </c>
      <c r="C997" s="32">
        <v>0</v>
      </c>
      <c r="D997" s="32">
        <v>0</v>
      </c>
      <c r="E997" s="19">
        <v>1</v>
      </c>
      <c r="F997" s="19">
        <v>0</v>
      </c>
      <c r="G997" s="33">
        <v>0</v>
      </c>
      <c r="H997" s="32">
        <v>0</v>
      </c>
      <c r="I997" s="32">
        <v>0</v>
      </c>
      <c r="J997" s="16" t="s">
        <v>4684</v>
      </c>
      <c r="K997" s="16" t="s">
        <v>5727</v>
      </c>
      <c r="L997" s="16" t="s">
        <v>4871</v>
      </c>
    </row>
    <row r="998" spans="1:12" ht="19.5" customHeight="1" x14ac:dyDescent="0.35">
      <c r="A998" s="16" t="s">
        <v>3438</v>
      </c>
      <c r="B998" s="16" t="s">
        <v>2598</v>
      </c>
      <c r="C998" s="32">
        <v>0</v>
      </c>
      <c r="D998" s="32">
        <v>0</v>
      </c>
      <c r="E998" s="19">
        <v>1</v>
      </c>
      <c r="F998" s="19">
        <v>1</v>
      </c>
      <c r="G998" s="33">
        <v>1</v>
      </c>
      <c r="H998" s="32">
        <v>0</v>
      </c>
      <c r="I998" s="32">
        <v>0</v>
      </c>
      <c r="J998" s="16" t="s">
        <v>4927</v>
      </c>
      <c r="K998" s="16" t="s">
        <v>5728</v>
      </c>
      <c r="L998" s="16" t="s">
        <v>4360</v>
      </c>
    </row>
    <row r="999" spans="1:12" ht="19.5" customHeight="1" x14ac:dyDescent="0.35">
      <c r="A999" s="16" t="s">
        <v>3439</v>
      </c>
      <c r="B999" s="16" t="s">
        <v>2598</v>
      </c>
      <c r="C999" s="32">
        <v>0</v>
      </c>
      <c r="D999" s="32">
        <v>0</v>
      </c>
      <c r="E999" s="19">
        <v>1</v>
      </c>
      <c r="F999" s="19">
        <v>1</v>
      </c>
      <c r="G999" s="33">
        <v>1</v>
      </c>
      <c r="H999" s="32">
        <v>0</v>
      </c>
      <c r="I999" s="32">
        <v>0</v>
      </c>
      <c r="J999" s="16" t="s">
        <v>4927</v>
      </c>
      <c r="K999" s="16" t="s">
        <v>5729</v>
      </c>
      <c r="L999" s="16" t="s">
        <v>4360</v>
      </c>
    </row>
    <row r="1000" spans="1:12" ht="19.5" customHeight="1" x14ac:dyDescent="0.35">
      <c r="A1000" s="16" t="s">
        <v>3440</v>
      </c>
      <c r="B1000" s="16" t="s">
        <v>1077</v>
      </c>
      <c r="C1000" s="32">
        <v>0</v>
      </c>
      <c r="D1000" s="32">
        <v>0</v>
      </c>
      <c r="E1000" s="19">
        <v>1</v>
      </c>
      <c r="F1000" s="19">
        <v>1</v>
      </c>
      <c r="G1000" s="33">
        <v>1</v>
      </c>
      <c r="H1000" s="32">
        <v>0</v>
      </c>
      <c r="I1000" s="32">
        <v>0</v>
      </c>
      <c r="J1000" s="16" t="s">
        <v>4770</v>
      </c>
      <c r="K1000" s="16" t="s">
        <v>5730</v>
      </c>
      <c r="L1000" s="16" t="s">
        <v>4871</v>
      </c>
    </row>
    <row r="1001" spans="1:12" ht="19.5" customHeight="1" x14ac:dyDescent="0.35">
      <c r="A1001" s="16" t="s">
        <v>3441</v>
      </c>
      <c r="B1001" s="16" t="s">
        <v>1143</v>
      </c>
      <c r="C1001" s="32">
        <v>0</v>
      </c>
      <c r="D1001" s="32">
        <v>0</v>
      </c>
      <c r="E1001" s="19">
        <v>1</v>
      </c>
      <c r="F1001" s="19">
        <v>1</v>
      </c>
      <c r="G1001" s="33">
        <v>1</v>
      </c>
      <c r="H1001" s="32">
        <v>0</v>
      </c>
      <c r="I1001" s="32">
        <v>0</v>
      </c>
      <c r="J1001" s="16" t="s">
        <v>4770</v>
      </c>
      <c r="K1001" s="16" t="s">
        <v>5731</v>
      </c>
      <c r="L1001" s="16" t="s">
        <v>4686</v>
      </c>
    </row>
    <row r="1002" spans="1:12" ht="19.5" customHeight="1" x14ac:dyDescent="0.35">
      <c r="A1002" s="16" t="s">
        <v>3442</v>
      </c>
      <c r="B1002" s="16" t="s">
        <v>1143</v>
      </c>
      <c r="C1002" s="32">
        <v>0</v>
      </c>
      <c r="D1002" s="32">
        <v>0</v>
      </c>
      <c r="E1002" s="19">
        <v>1</v>
      </c>
      <c r="F1002" s="19">
        <v>1</v>
      </c>
      <c r="G1002" s="33">
        <v>1</v>
      </c>
      <c r="H1002" s="32">
        <v>0</v>
      </c>
      <c r="I1002" s="32">
        <v>0</v>
      </c>
      <c r="J1002" s="16" t="s">
        <v>4770</v>
      </c>
      <c r="K1002" s="16" t="s">
        <v>5732</v>
      </c>
      <c r="L1002" s="16" t="s">
        <v>4673</v>
      </c>
    </row>
    <row r="1003" spans="1:12" ht="19.5" customHeight="1" x14ac:dyDescent="0.35">
      <c r="A1003" s="16" t="s">
        <v>3443</v>
      </c>
      <c r="B1003" s="16" t="s">
        <v>2792</v>
      </c>
      <c r="C1003" s="32">
        <v>0</v>
      </c>
      <c r="D1003" s="32">
        <v>0</v>
      </c>
      <c r="E1003" s="19">
        <v>1</v>
      </c>
      <c r="F1003" s="19">
        <v>1</v>
      </c>
      <c r="G1003" s="33">
        <v>1</v>
      </c>
      <c r="H1003" s="32">
        <v>0</v>
      </c>
      <c r="I1003" s="32">
        <v>0</v>
      </c>
      <c r="J1003" s="16" t="s">
        <v>5067</v>
      </c>
      <c r="K1003" s="16" t="s">
        <v>5733</v>
      </c>
      <c r="L1003" s="16" t="s">
        <v>4772</v>
      </c>
    </row>
    <row r="1004" spans="1:12" ht="19.5" customHeight="1" x14ac:dyDescent="0.35">
      <c r="A1004" s="16" t="s">
        <v>3444</v>
      </c>
      <c r="B1004" s="16" t="s">
        <v>1817</v>
      </c>
      <c r="C1004" s="32">
        <v>0</v>
      </c>
      <c r="D1004" s="32">
        <v>0</v>
      </c>
      <c r="E1004" s="19">
        <v>1</v>
      </c>
      <c r="F1004" s="19">
        <v>1</v>
      </c>
      <c r="G1004" s="33">
        <v>1</v>
      </c>
      <c r="H1004" s="32">
        <v>0</v>
      </c>
      <c r="I1004" s="32">
        <v>0</v>
      </c>
      <c r="J1004" s="16" t="s">
        <v>5301</v>
      </c>
      <c r="K1004" s="16" t="s">
        <v>5734</v>
      </c>
      <c r="L1004" s="16" t="s">
        <v>4686</v>
      </c>
    </row>
    <row r="1005" spans="1:12" ht="19.5" customHeight="1" x14ac:dyDescent="0.35">
      <c r="A1005" s="16" t="s">
        <v>3445</v>
      </c>
      <c r="B1005" s="16" t="s">
        <v>1817</v>
      </c>
      <c r="C1005" s="32">
        <v>0</v>
      </c>
      <c r="D1005" s="32">
        <v>0</v>
      </c>
      <c r="E1005" s="19">
        <v>1</v>
      </c>
      <c r="F1005" s="19">
        <v>1</v>
      </c>
      <c r="G1005" s="33">
        <v>1</v>
      </c>
      <c r="H1005" s="32">
        <v>0</v>
      </c>
      <c r="I1005" s="32">
        <v>0</v>
      </c>
      <c r="J1005" s="16" t="s">
        <v>4927</v>
      </c>
      <c r="K1005" s="16" t="s">
        <v>5735</v>
      </c>
      <c r="L1005" s="16" t="s">
        <v>4871</v>
      </c>
    </row>
    <row r="1006" spans="1:12" ht="19.5" customHeight="1" x14ac:dyDescent="0.35">
      <c r="A1006" s="16" t="s">
        <v>3446</v>
      </c>
      <c r="B1006" s="16" t="s">
        <v>1091</v>
      </c>
      <c r="C1006" s="32">
        <v>0</v>
      </c>
      <c r="D1006" s="32">
        <v>0</v>
      </c>
      <c r="E1006" s="19">
        <v>1</v>
      </c>
      <c r="F1006" s="19">
        <v>0</v>
      </c>
      <c r="G1006" s="33">
        <v>0</v>
      </c>
      <c r="H1006" s="32">
        <v>0</v>
      </c>
      <c r="I1006" s="32">
        <v>0</v>
      </c>
      <c r="J1006" s="16" t="s">
        <v>5067</v>
      </c>
      <c r="K1006" s="16" t="s">
        <v>5736</v>
      </c>
      <c r="L1006" s="16" t="s">
        <v>4772</v>
      </c>
    </row>
    <row r="1007" spans="1:12" ht="19.5" customHeight="1" x14ac:dyDescent="0.35">
      <c r="A1007" s="16" t="s">
        <v>3447</v>
      </c>
      <c r="B1007" s="16" t="s">
        <v>1136</v>
      </c>
      <c r="C1007" s="32">
        <v>0</v>
      </c>
      <c r="D1007" s="32">
        <v>0</v>
      </c>
      <c r="E1007" s="19">
        <v>1</v>
      </c>
      <c r="F1007" s="19">
        <v>0</v>
      </c>
      <c r="G1007" s="33">
        <v>0</v>
      </c>
      <c r="H1007" s="32">
        <v>0</v>
      </c>
      <c r="I1007" s="32">
        <v>0</v>
      </c>
      <c r="J1007" s="16" t="s">
        <v>4770</v>
      </c>
      <c r="K1007" s="16" t="s">
        <v>5737</v>
      </c>
      <c r="L1007" s="16" t="s">
        <v>4772</v>
      </c>
    </row>
    <row r="1008" spans="1:12" ht="19.5" customHeight="1" x14ac:dyDescent="0.35">
      <c r="A1008" s="16" t="s">
        <v>3448</v>
      </c>
      <c r="B1008" s="16" t="s">
        <v>1143</v>
      </c>
      <c r="C1008" s="32">
        <v>0</v>
      </c>
      <c r="D1008" s="32">
        <v>0</v>
      </c>
      <c r="E1008" s="19">
        <v>1</v>
      </c>
      <c r="F1008" s="19">
        <v>0</v>
      </c>
      <c r="G1008" s="33">
        <v>0</v>
      </c>
      <c r="H1008" s="32">
        <v>0</v>
      </c>
      <c r="I1008" s="32">
        <v>0</v>
      </c>
      <c r="J1008" s="16" t="s">
        <v>4770</v>
      </c>
      <c r="K1008" s="16" t="s">
        <v>5738</v>
      </c>
      <c r="L1008" s="16" t="s">
        <v>4772</v>
      </c>
    </row>
    <row r="1009" spans="1:12" ht="19.5" customHeight="1" x14ac:dyDescent="0.35">
      <c r="A1009" s="16" t="s">
        <v>3449</v>
      </c>
      <c r="B1009" s="16" t="s">
        <v>2971</v>
      </c>
      <c r="C1009" s="32">
        <v>0</v>
      </c>
      <c r="D1009" s="32">
        <v>0</v>
      </c>
      <c r="E1009" s="19">
        <v>1</v>
      </c>
      <c r="F1009" s="19">
        <v>0</v>
      </c>
      <c r="G1009" s="33">
        <v>0</v>
      </c>
      <c r="H1009" s="32">
        <v>0</v>
      </c>
      <c r="I1009" s="32">
        <v>0</v>
      </c>
      <c r="J1009" s="16" t="s">
        <v>4770</v>
      </c>
      <c r="K1009" s="16" t="s">
        <v>5739</v>
      </c>
      <c r="L1009" s="16" t="s">
        <v>4772</v>
      </c>
    </row>
    <row r="1010" spans="1:12" ht="19.5" customHeight="1" x14ac:dyDescent="0.35">
      <c r="A1010" s="16" t="s">
        <v>3450</v>
      </c>
      <c r="B1010" s="16" t="s">
        <v>2971</v>
      </c>
      <c r="C1010" s="32">
        <v>0</v>
      </c>
      <c r="D1010" s="32">
        <v>0</v>
      </c>
      <c r="E1010" s="19">
        <v>1</v>
      </c>
      <c r="F1010" s="19">
        <v>0</v>
      </c>
      <c r="G1010" s="33">
        <v>0</v>
      </c>
      <c r="H1010" s="32">
        <v>0</v>
      </c>
      <c r="I1010" s="32">
        <v>0</v>
      </c>
      <c r="J1010" s="16" t="s">
        <v>4927</v>
      </c>
      <c r="K1010" s="16" t="s">
        <v>5740</v>
      </c>
      <c r="L1010" s="16" t="s">
        <v>4772</v>
      </c>
    </row>
    <row r="1011" spans="1:12" ht="19.5" customHeight="1" x14ac:dyDescent="0.35">
      <c r="A1011" s="16" t="s">
        <v>3451</v>
      </c>
      <c r="B1011" s="16" t="s">
        <v>913</v>
      </c>
      <c r="C1011" s="32">
        <v>0</v>
      </c>
      <c r="D1011" s="32">
        <v>0</v>
      </c>
      <c r="E1011" s="19">
        <v>1</v>
      </c>
      <c r="F1011" s="19">
        <v>0</v>
      </c>
      <c r="G1011" s="33">
        <v>0</v>
      </c>
      <c r="H1011" s="32">
        <v>0</v>
      </c>
      <c r="I1011" s="32">
        <v>0</v>
      </c>
      <c r="J1011" s="16" t="s">
        <v>5301</v>
      </c>
      <c r="K1011" s="16" t="s">
        <v>5741</v>
      </c>
      <c r="L1011" s="16" t="s">
        <v>4772</v>
      </c>
    </row>
    <row r="1012" spans="1:12" ht="19.5" customHeight="1" x14ac:dyDescent="0.35">
      <c r="A1012" s="16" t="s">
        <v>3452</v>
      </c>
      <c r="B1012" s="16" t="s">
        <v>946</v>
      </c>
      <c r="C1012" s="32">
        <v>0</v>
      </c>
      <c r="D1012" s="32">
        <v>0</v>
      </c>
      <c r="E1012" s="19">
        <v>1</v>
      </c>
      <c r="F1012" s="19">
        <v>0</v>
      </c>
      <c r="G1012" s="33">
        <v>0</v>
      </c>
      <c r="H1012" s="32">
        <v>0</v>
      </c>
      <c r="I1012" s="32">
        <v>0</v>
      </c>
      <c r="J1012" s="16" t="s">
        <v>5099</v>
      </c>
      <c r="K1012" s="16" t="s">
        <v>5742</v>
      </c>
      <c r="L1012" s="16" t="s">
        <v>4772</v>
      </c>
    </row>
    <row r="1013" spans="1:12" ht="19.5" customHeight="1" x14ac:dyDescent="0.35">
      <c r="A1013" s="16" t="s">
        <v>3453</v>
      </c>
      <c r="B1013" s="16" t="s">
        <v>1009</v>
      </c>
      <c r="C1013" s="32">
        <v>0</v>
      </c>
      <c r="D1013" s="32">
        <v>0</v>
      </c>
      <c r="E1013" s="19">
        <v>1</v>
      </c>
      <c r="F1013" s="19">
        <v>0</v>
      </c>
      <c r="G1013" s="33">
        <v>0</v>
      </c>
      <c r="H1013" s="32">
        <v>0</v>
      </c>
      <c r="I1013" s="32">
        <v>0</v>
      </c>
      <c r="J1013" s="16" t="s">
        <v>4927</v>
      </c>
      <c r="K1013" s="16" t="s">
        <v>5743</v>
      </c>
      <c r="L1013" s="16" t="s">
        <v>4772</v>
      </c>
    </row>
    <row r="1014" spans="1:12" ht="19.5" customHeight="1" x14ac:dyDescent="0.35">
      <c r="A1014" s="16" t="s">
        <v>3454</v>
      </c>
      <c r="B1014" s="16" t="s">
        <v>946</v>
      </c>
      <c r="C1014" s="32">
        <v>0</v>
      </c>
      <c r="D1014" s="32">
        <v>0</v>
      </c>
      <c r="E1014" s="19">
        <v>1</v>
      </c>
      <c r="F1014" s="19">
        <v>1</v>
      </c>
      <c r="G1014" s="33">
        <v>1</v>
      </c>
      <c r="H1014" s="32">
        <v>0</v>
      </c>
      <c r="I1014" s="32">
        <v>0</v>
      </c>
      <c r="J1014" s="16" t="s">
        <v>4927</v>
      </c>
      <c r="K1014" s="16" t="s">
        <v>5744</v>
      </c>
      <c r="L1014" s="16" t="s">
        <v>4772</v>
      </c>
    </row>
    <row r="1015" spans="1:12" ht="19.5" customHeight="1" x14ac:dyDescent="0.35">
      <c r="A1015" s="16" t="s">
        <v>3455</v>
      </c>
      <c r="B1015" s="16" t="s">
        <v>1157</v>
      </c>
      <c r="C1015" s="32">
        <v>0</v>
      </c>
      <c r="D1015" s="32">
        <v>0</v>
      </c>
      <c r="E1015" s="19">
        <v>1</v>
      </c>
      <c r="F1015" s="19">
        <v>0</v>
      </c>
      <c r="G1015" s="33">
        <v>0</v>
      </c>
      <c r="H1015" s="32">
        <v>0</v>
      </c>
      <c r="I1015" s="32">
        <v>0</v>
      </c>
      <c r="J1015" s="16" t="s">
        <v>4927</v>
      </c>
      <c r="K1015" s="16" t="s">
        <v>5745</v>
      </c>
      <c r="L1015" s="16" t="s">
        <v>4772</v>
      </c>
    </row>
    <row r="1016" spans="1:12" ht="19.5" customHeight="1" x14ac:dyDescent="0.35">
      <c r="A1016" s="16" t="s">
        <v>3456</v>
      </c>
      <c r="B1016" s="16" t="s">
        <v>2971</v>
      </c>
      <c r="C1016" s="32">
        <v>0</v>
      </c>
      <c r="D1016" s="32">
        <v>0</v>
      </c>
      <c r="E1016" s="19">
        <v>1</v>
      </c>
      <c r="F1016" s="19">
        <v>0</v>
      </c>
      <c r="G1016" s="33">
        <v>0</v>
      </c>
      <c r="H1016" s="32">
        <v>0</v>
      </c>
      <c r="I1016" s="32">
        <v>0</v>
      </c>
      <c r="J1016" s="16" t="s">
        <v>5301</v>
      </c>
      <c r="K1016" s="16" t="s">
        <v>5746</v>
      </c>
      <c r="L1016" s="16" t="s">
        <v>4772</v>
      </c>
    </row>
    <row r="1017" spans="1:12" ht="19.5" customHeight="1" x14ac:dyDescent="0.35">
      <c r="A1017" s="16" t="s">
        <v>3457</v>
      </c>
      <c r="B1017" s="16" t="s">
        <v>2602</v>
      </c>
      <c r="C1017" s="32">
        <v>0</v>
      </c>
      <c r="D1017" s="32">
        <v>0</v>
      </c>
      <c r="E1017" s="19">
        <v>1</v>
      </c>
      <c r="F1017" s="19">
        <v>1</v>
      </c>
      <c r="G1017" s="33">
        <v>1</v>
      </c>
      <c r="H1017" s="32">
        <v>0</v>
      </c>
      <c r="I1017" s="32">
        <v>0</v>
      </c>
      <c r="J1017" s="16" t="s">
        <v>4770</v>
      </c>
      <c r="K1017" s="16" t="s">
        <v>5747</v>
      </c>
      <c r="L1017" s="16" t="s">
        <v>4772</v>
      </c>
    </row>
    <row r="1018" spans="1:12" ht="19.5" customHeight="1" x14ac:dyDescent="0.35">
      <c r="A1018" s="16" t="s">
        <v>3458</v>
      </c>
      <c r="B1018" s="16" t="s">
        <v>2971</v>
      </c>
      <c r="C1018" s="32">
        <v>0</v>
      </c>
      <c r="D1018" s="32">
        <v>0</v>
      </c>
      <c r="E1018" s="19">
        <v>1</v>
      </c>
      <c r="F1018" s="19">
        <v>0</v>
      </c>
      <c r="G1018" s="33">
        <v>0</v>
      </c>
      <c r="H1018" s="32">
        <v>0</v>
      </c>
      <c r="I1018" s="32">
        <v>0</v>
      </c>
      <c r="J1018" s="16" t="s">
        <v>4770</v>
      </c>
      <c r="K1018" s="16" t="s">
        <v>5748</v>
      </c>
      <c r="L1018" s="16" t="s">
        <v>4772</v>
      </c>
    </row>
    <row r="1019" spans="1:12" ht="19.5" customHeight="1" x14ac:dyDescent="0.35">
      <c r="A1019" s="16" t="s">
        <v>3459</v>
      </c>
      <c r="B1019" s="16" t="s">
        <v>1240</v>
      </c>
      <c r="C1019" s="32">
        <v>0</v>
      </c>
      <c r="D1019" s="32">
        <v>0</v>
      </c>
      <c r="E1019" s="19">
        <v>1</v>
      </c>
      <c r="F1019" s="19">
        <v>0</v>
      </c>
      <c r="G1019" s="33">
        <v>0</v>
      </c>
      <c r="H1019" s="32">
        <v>0</v>
      </c>
      <c r="I1019" s="32">
        <v>0</v>
      </c>
      <c r="J1019" s="16" t="s">
        <v>5220</v>
      </c>
      <c r="K1019" s="16" t="s">
        <v>5749</v>
      </c>
      <c r="L1019" s="16" t="s">
        <v>4772</v>
      </c>
    </row>
    <row r="1020" spans="1:12" ht="19.5" customHeight="1" x14ac:dyDescent="0.35">
      <c r="A1020" s="16" t="s">
        <v>3460</v>
      </c>
      <c r="B1020" s="16" t="s">
        <v>2971</v>
      </c>
      <c r="C1020" s="32">
        <v>0</v>
      </c>
      <c r="D1020" s="32">
        <v>0</v>
      </c>
      <c r="E1020" s="19">
        <v>1</v>
      </c>
      <c r="F1020" s="19">
        <v>0</v>
      </c>
      <c r="G1020" s="33">
        <v>0</v>
      </c>
      <c r="H1020" s="32">
        <v>0</v>
      </c>
      <c r="I1020" s="32">
        <v>0</v>
      </c>
      <c r="J1020" s="16" t="s">
        <v>5301</v>
      </c>
      <c r="K1020" s="16" t="s">
        <v>5750</v>
      </c>
      <c r="L1020" s="16" t="s">
        <v>4772</v>
      </c>
    </row>
    <row r="1021" spans="1:12" ht="19.5" customHeight="1" x14ac:dyDescent="0.35">
      <c r="A1021" s="16" t="s">
        <v>3461</v>
      </c>
      <c r="B1021" s="16" t="s">
        <v>2971</v>
      </c>
      <c r="C1021" s="32">
        <v>0</v>
      </c>
      <c r="D1021" s="32">
        <v>0</v>
      </c>
      <c r="E1021" s="19">
        <v>1</v>
      </c>
      <c r="F1021" s="19">
        <v>0</v>
      </c>
      <c r="G1021" s="33">
        <v>0</v>
      </c>
      <c r="H1021" s="32">
        <v>0</v>
      </c>
      <c r="I1021" s="32">
        <v>0</v>
      </c>
      <c r="J1021" s="16" t="s">
        <v>4927</v>
      </c>
      <c r="K1021" s="16" t="s">
        <v>5751</v>
      </c>
      <c r="L1021" s="16" t="s">
        <v>4772</v>
      </c>
    </row>
    <row r="1022" spans="1:12" ht="19.5" customHeight="1" x14ac:dyDescent="0.35">
      <c r="A1022" s="16" t="s">
        <v>3462</v>
      </c>
      <c r="B1022" s="16" t="s">
        <v>2971</v>
      </c>
      <c r="C1022" s="32">
        <v>0</v>
      </c>
      <c r="D1022" s="32">
        <v>0</v>
      </c>
      <c r="E1022" s="19">
        <v>1</v>
      </c>
      <c r="F1022" s="19">
        <v>0</v>
      </c>
      <c r="G1022" s="33">
        <v>0</v>
      </c>
      <c r="H1022" s="32">
        <v>0</v>
      </c>
      <c r="I1022" s="32">
        <v>0</v>
      </c>
      <c r="J1022" s="16" t="s">
        <v>4770</v>
      </c>
      <c r="K1022" s="16" t="s">
        <v>5752</v>
      </c>
      <c r="L1022" s="16" t="s">
        <v>4772</v>
      </c>
    </row>
    <row r="1023" spans="1:12" ht="19.5" customHeight="1" x14ac:dyDescent="0.35">
      <c r="A1023" s="16" t="s">
        <v>3463</v>
      </c>
      <c r="B1023" s="16" t="s">
        <v>913</v>
      </c>
      <c r="C1023" s="32">
        <v>0</v>
      </c>
      <c r="D1023" s="32">
        <v>0</v>
      </c>
      <c r="E1023" s="19">
        <v>1</v>
      </c>
      <c r="F1023" s="19">
        <v>0</v>
      </c>
      <c r="G1023" s="33">
        <v>0</v>
      </c>
      <c r="H1023" s="32">
        <v>0</v>
      </c>
      <c r="I1023" s="32">
        <v>0</v>
      </c>
      <c r="J1023" s="16" t="s">
        <v>5099</v>
      </c>
      <c r="K1023" s="16" t="s">
        <v>5753</v>
      </c>
      <c r="L1023" s="16" t="s">
        <v>4772</v>
      </c>
    </row>
    <row r="1024" spans="1:12" ht="19.5" customHeight="1" x14ac:dyDescent="0.35">
      <c r="A1024" s="16" t="s">
        <v>3464</v>
      </c>
      <c r="B1024" s="16" t="s">
        <v>1077</v>
      </c>
      <c r="C1024" s="32">
        <v>0</v>
      </c>
      <c r="D1024" s="32">
        <v>0</v>
      </c>
      <c r="E1024" s="19">
        <v>1</v>
      </c>
      <c r="F1024" s="19">
        <v>0</v>
      </c>
      <c r="G1024" s="33">
        <v>0</v>
      </c>
      <c r="H1024" s="32">
        <v>0</v>
      </c>
      <c r="I1024" s="32">
        <v>0</v>
      </c>
      <c r="J1024" s="16" t="s">
        <v>4770</v>
      </c>
      <c r="K1024" s="16" t="s">
        <v>5754</v>
      </c>
      <c r="L1024" s="16" t="s">
        <v>4772</v>
      </c>
    </row>
    <row r="1025" spans="1:12" ht="19.5" customHeight="1" x14ac:dyDescent="0.35">
      <c r="A1025" s="16" t="s">
        <v>3465</v>
      </c>
      <c r="B1025" s="16" t="s">
        <v>2602</v>
      </c>
      <c r="C1025" s="32">
        <v>0</v>
      </c>
      <c r="D1025" s="32">
        <v>0</v>
      </c>
      <c r="E1025" s="19">
        <v>1</v>
      </c>
      <c r="F1025" s="19">
        <v>0</v>
      </c>
      <c r="G1025" s="33">
        <v>0</v>
      </c>
      <c r="H1025" s="32">
        <v>0</v>
      </c>
      <c r="I1025" s="32">
        <v>0</v>
      </c>
      <c r="J1025" s="16" t="s">
        <v>4770</v>
      </c>
      <c r="K1025" s="16" t="s">
        <v>5755</v>
      </c>
      <c r="L1025" s="16" t="s">
        <v>4772</v>
      </c>
    </row>
    <row r="1026" spans="1:12" ht="19.5" customHeight="1" x14ac:dyDescent="0.35">
      <c r="A1026" s="16" t="s">
        <v>3466</v>
      </c>
      <c r="B1026" s="16" t="s">
        <v>2971</v>
      </c>
      <c r="C1026" s="32">
        <v>0</v>
      </c>
      <c r="D1026" s="32">
        <v>0</v>
      </c>
      <c r="E1026" s="19">
        <v>1</v>
      </c>
      <c r="F1026" s="19">
        <v>0</v>
      </c>
      <c r="G1026" s="33">
        <v>0</v>
      </c>
      <c r="H1026" s="32">
        <v>0</v>
      </c>
      <c r="I1026" s="32">
        <v>0</v>
      </c>
      <c r="J1026" s="16" t="s">
        <v>4770</v>
      </c>
      <c r="K1026" s="16" t="s">
        <v>5756</v>
      </c>
      <c r="L1026" s="16" t="s">
        <v>4772</v>
      </c>
    </row>
    <row r="1027" spans="1:12" ht="19.5" customHeight="1" x14ac:dyDescent="0.35">
      <c r="A1027" s="16" t="s">
        <v>3467</v>
      </c>
      <c r="B1027" s="16" t="s">
        <v>1077</v>
      </c>
      <c r="C1027" s="32">
        <v>0</v>
      </c>
      <c r="D1027" s="32">
        <v>0</v>
      </c>
      <c r="E1027" s="19">
        <v>1</v>
      </c>
      <c r="F1027" s="19">
        <v>0</v>
      </c>
      <c r="G1027" s="33">
        <v>0</v>
      </c>
      <c r="H1027" s="32">
        <v>0</v>
      </c>
      <c r="I1027" s="32">
        <v>0</v>
      </c>
      <c r="J1027" s="16" t="s">
        <v>4770</v>
      </c>
      <c r="K1027" s="16" t="s">
        <v>5757</v>
      </c>
      <c r="L1027" s="16" t="s">
        <v>4772</v>
      </c>
    </row>
    <row r="1028" spans="1:12" ht="19.5" customHeight="1" x14ac:dyDescent="0.35">
      <c r="A1028" s="16" t="s">
        <v>3468</v>
      </c>
      <c r="B1028" s="16" t="s">
        <v>1646</v>
      </c>
      <c r="C1028" s="32">
        <v>0</v>
      </c>
      <c r="D1028" s="32">
        <v>0</v>
      </c>
      <c r="E1028" s="19">
        <v>1</v>
      </c>
      <c r="F1028" s="19">
        <v>0</v>
      </c>
      <c r="G1028" s="33">
        <v>0</v>
      </c>
      <c r="H1028" s="32">
        <v>0</v>
      </c>
      <c r="I1028" s="32">
        <v>0</v>
      </c>
      <c r="J1028" s="16" t="s">
        <v>4770</v>
      </c>
      <c r="K1028" s="16" t="s">
        <v>5720</v>
      </c>
      <c r="L1028" s="16" t="s">
        <v>4772</v>
      </c>
    </row>
    <row r="1029" spans="1:12" ht="19.5" customHeight="1" x14ac:dyDescent="0.35">
      <c r="A1029" s="16" t="s">
        <v>3469</v>
      </c>
      <c r="B1029" s="16" t="s">
        <v>909</v>
      </c>
      <c r="C1029" s="32">
        <v>0</v>
      </c>
      <c r="D1029" s="32">
        <v>0</v>
      </c>
      <c r="E1029" s="19">
        <v>1</v>
      </c>
      <c r="F1029" s="19">
        <v>0</v>
      </c>
      <c r="G1029" s="33">
        <v>0</v>
      </c>
      <c r="H1029" s="32">
        <v>0</v>
      </c>
      <c r="I1029" s="32">
        <v>0</v>
      </c>
      <c r="J1029" s="16" t="s">
        <v>5316</v>
      </c>
      <c r="K1029" s="16" t="s">
        <v>5758</v>
      </c>
      <c r="L1029" s="16" t="s">
        <v>4772</v>
      </c>
    </row>
    <row r="1030" spans="1:12" ht="19.5" customHeight="1" x14ac:dyDescent="0.35">
      <c r="A1030" s="16" t="s">
        <v>3470</v>
      </c>
      <c r="B1030" s="16" t="s">
        <v>909</v>
      </c>
      <c r="C1030" s="32">
        <v>0</v>
      </c>
      <c r="D1030" s="32">
        <v>0</v>
      </c>
      <c r="E1030" s="19">
        <v>1</v>
      </c>
      <c r="F1030" s="19">
        <v>0</v>
      </c>
      <c r="G1030" s="33">
        <v>0</v>
      </c>
      <c r="H1030" s="32">
        <v>0</v>
      </c>
      <c r="I1030" s="32">
        <v>0</v>
      </c>
      <c r="J1030" s="16" t="s">
        <v>4770</v>
      </c>
      <c r="K1030" s="16" t="s">
        <v>5759</v>
      </c>
      <c r="L1030" s="16" t="s">
        <v>4772</v>
      </c>
    </row>
    <row r="1031" spans="1:12" ht="19.5" customHeight="1" x14ac:dyDescent="0.35">
      <c r="A1031" s="16" t="s">
        <v>3471</v>
      </c>
      <c r="B1031" s="16" t="s">
        <v>909</v>
      </c>
      <c r="C1031" s="32">
        <v>0</v>
      </c>
      <c r="D1031" s="32">
        <v>0</v>
      </c>
      <c r="E1031" s="19">
        <v>1</v>
      </c>
      <c r="F1031" s="19">
        <v>0</v>
      </c>
      <c r="G1031" s="33">
        <v>0</v>
      </c>
      <c r="H1031" s="32">
        <v>0</v>
      </c>
      <c r="I1031" s="32">
        <v>0</v>
      </c>
      <c r="J1031" s="16" t="s">
        <v>4770</v>
      </c>
      <c r="K1031" s="16" t="s">
        <v>5760</v>
      </c>
      <c r="L1031" s="16" t="s">
        <v>4772</v>
      </c>
    </row>
    <row r="1032" spans="1:12" ht="19.5" customHeight="1" x14ac:dyDescent="0.35">
      <c r="A1032" s="16" t="s">
        <v>3472</v>
      </c>
      <c r="B1032" s="16" t="s">
        <v>2971</v>
      </c>
      <c r="C1032" s="32">
        <v>0</v>
      </c>
      <c r="D1032" s="32">
        <v>0</v>
      </c>
      <c r="E1032" s="19">
        <v>1</v>
      </c>
      <c r="F1032" s="19">
        <v>0</v>
      </c>
      <c r="G1032" s="33">
        <v>0</v>
      </c>
      <c r="H1032" s="32">
        <v>0</v>
      </c>
      <c r="I1032" s="32">
        <v>0</v>
      </c>
      <c r="J1032" s="16" t="s">
        <v>5099</v>
      </c>
      <c r="K1032" s="16" t="s">
        <v>5761</v>
      </c>
      <c r="L1032" s="16" t="s">
        <v>4772</v>
      </c>
    </row>
    <row r="1033" spans="1:12" ht="19.5" customHeight="1" x14ac:dyDescent="0.35">
      <c r="A1033" s="16" t="s">
        <v>3473</v>
      </c>
      <c r="B1033" s="16" t="s">
        <v>921</v>
      </c>
      <c r="C1033" s="32">
        <v>0</v>
      </c>
      <c r="D1033" s="32">
        <v>0</v>
      </c>
      <c r="E1033" s="19">
        <v>1</v>
      </c>
      <c r="F1033" s="19">
        <v>0</v>
      </c>
      <c r="G1033" s="33">
        <v>0</v>
      </c>
      <c r="H1033" s="32">
        <v>0</v>
      </c>
      <c r="I1033" s="32">
        <v>0</v>
      </c>
      <c r="J1033" s="16" t="s">
        <v>4770</v>
      </c>
      <c r="K1033" s="16" t="s">
        <v>5762</v>
      </c>
      <c r="L1033" s="16" t="s">
        <v>4772</v>
      </c>
    </row>
    <row r="1034" spans="1:12" ht="19.5" customHeight="1" x14ac:dyDescent="0.35">
      <c r="A1034" s="16" t="s">
        <v>3474</v>
      </c>
      <c r="B1034" s="16" t="s">
        <v>1143</v>
      </c>
      <c r="C1034" s="32">
        <v>0</v>
      </c>
      <c r="D1034" s="32">
        <v>0</v>
      </c>
      <c r="E1034" s="19">
        <v>1</v>
      </c>
      <c r="F1034" s="19">
        <v>0</v>
      </c>
      <c r="G1034" s="33">
        <v>0</v>
      </c>
      <c r="H1034" s="32">
        <v>0</v>
      </c>
      <c r="I1034" s="32">
        <v>0</v>
      </c>
      <c r="J1034" s="16" t="s">
        <v>4770</v>
      </c>
      <c r="K1034" s="16" t="s">
        <v>5763</v>
      </c>
      <c r="L1034" s="16" t="s">
        <v>4772</v>
      </c>
    </row>
    <row r="1035" spans="1:12" ht="19.5" customHeight="1" x14ac:dyDescent="0.35">
      <c r="A1035" s="16" t="s">
        <v>3475</v>
      </c>
      <c r="B1035" s="16" t="s">
        <v>2602</v>
      </c>
      <c r="C1035" s="32">
        <v>0</v>
      </c>
      <c r="D1035" s="32">
        <v>0</v>
      </c>
      <c r="E1035" s="19">
        <v>1</v>
      </c>
      <c r="F1035" s="19">
        <v>0</v>
      </c>
      <c r="G1035" s="33">
        <v>0</v>
      </c>
      <c r="H1035" s="32">
        <v>0</v>
      </c>
      <c r="I1035" s="32">
        <v>0</v>
      </c>
      <c r="J1035" s="16" t="s">
        <v>4770</v>
      </c>
      <c r="K1035" s="16" t="s">
        <v>5764</v>
      </c>
      <c r="L1035" s="16" t="s">
        <v>4772</v>
      </c>
    </row>
    <row r="1036" spans="1:12" ht="19.5" customHeight="1" x14ac:dyDescent="0.35">
      <c r="A1036" s="16" t="s">
        <v>3476</v>
      </c>
      <c r="B1036" s="16" t="s">
        <v>1143</v>
      </c>
      <c r="C1036" s="32">
        <v>0</v>
      </c>
      <c r="D1036" s="32">
        <v>0</v>
      </c>
      <c r="E1036" s="19">
        <v>1</v>
      </c>
      <c r="F1036" s="19">
        <v>0</v>
      </c>
      <c r="G1036" s="33">
        <v>0</v>
      </c>
      <c r="H1036" s="32">
        <v>0</v>
      </c>
      <c r="I1036" s="32">
        <v>0</v>
      </c>
      <c r="J1036" s="16" t="s">
        <v>4770</v>
      </c>
      <c r="K1036" s="16" t="s">
        <v>5765</v>
      </c>
      <c r="L1036" s="16" t="s">
        <v>4772</v>
      </c>
    </row>
    <row r="1037" spans="1:12" ht="19.5" customHeight="1" x14ac:dyDescent="0.35">
      <c r="A1037" s="16" t="s">
        <v>3477</v>
      </c>
      <c r="B1037" s="16" t="s">
        <v>2598</v>
      </c>
      <c r="C1037" s="32">
        <v>0</v>
      </c>
      <c r="D1037" s="32">
        <v>0</v>
      </c>
      <c r="E1037" s="19">
        <v>1</v>
      </c>
      <c r="F1037" s="19">
        <v>0</v>
      </c>
      <c r="G1037" s="33">
        <v>0</v>
      </c>
      <c r="H1037" s="32">
        <v>0</v>
      </c>
      <c r="I1037" s="32">
        <v>0</v>
      </c>
      <c r="J1037" s="16" t="s">
        <v>4927</v>
      </c>
      <c r="K1037" s="16" t="s">
        <v>5766</v>
      </c>
      <c r="L1037" s="16" t="s">
        <v>4772</v>
      </c>
    </row>
    <row r="1038" spans="1:12" ht="19.5" customHeight="1" x14ac:dyDescent="0.35">
      <c r="A1038" s="16" t="s">
        <v>3478</v>
      </c>
      <c r="B1038" s="16" t="s">
        <v>909</v>
      </c>
      <c r="C1038" s="32">
        <v>0</v>
      </c>
      <c r="D1038" s="32">
        <v>0</v>
      </c>
      <c r="E1038" s="19">
        <v>1</v>
      </c>
      <c r="F1038" s="19">
        <v>0</v>
      </c>
      <c r="G1038" s="33">
        <v>0</v>
      </c>
      <c r="H1038" s="32">
        <v>0</v>
      </c>
      <c r="I1038" s="32">
        <v>0</v>
      </c>
      <c r="J1038" s="16" t="s">
        <v>4770</v>
      </c>
      <c r="K1038" s="16" t="s">
        <v>5767</v>
      </c>
      <c r="L1038" s="16" t="s">
        <v>4772</v>
      </c>
    </row>
    <row r="1039" spans="1:12" ht="19.5" customHeight="1" x14ac:dyDescent="0.35">
      <c r="A1039" s="16" t="s">
        <v>3479</v>
      </c>
      <c r="B1039" s="16" t="s">
        <v>1122</v>
      </c>
      <c r="C1039" s="32">
        <v>0</v>
      </c>
      <c r="D1039" s="32">
        <v>0</v>
      </c>
      <c r="E1039" s="19">
        <v>1</v>
      </c>
      <c r="F1039" s="19">
        <v>0</v>
      </c>
      <c r="G1039" s="33">
        <v>0</v>
      </c>
      <c r="H1039" s="32">
        <v>0</v>
      </c>
      <c r="I1039" s="32">
        <v>0</v>
      </c>
      <c r="J1039" s="16" t="s">
        <v>4770</v>
      </c>
      <c r="K1039" s="16" t="s">
        <v>5768</v>
      </c>
      <c r="L1039" s="16" t="s">
        <v>4772</v>
      </c>
    </row>
    <row r="1040" spans="1:12" ht="19.5" customHeight="1" x14ac:dyDescent="0.35">
      <c r="A1040" s="16" t="s">
        <v>3480</v>
      </c>
      <c r="B1040" s="16" t="s">
        <v>1122</v>
      </c>
      <c r="C1040" s="32">
        <v>0</v>
      </c>
      <c r="D1040" s="32">
        <v>0</v>
      </c>
      <c r="E1040" s="19">
        <v>1</v>
      </c>
      <c r="F1040" s="19">
        <v>0</v>
      </c>
      <c r="G1040" s="33">
        <v>0</v>
      </c>
      <c r="H1040" s="32">
        <v>0</v>
      </c>
      <c r="I1040" s="32">
        <v>0</v>
      </c>
      <c r="J1040" s="16" t="s">
        <v>4770</v>
      </c>
      <c r="K1040" s="16" t="s">
        <v>5769</v>
      </c>
      <c r="L1040" s="16" t="s">
        <v>4772</v>
      </c>
    </row>
    <row r="1041" spans="1:12" ht="19.5" customHeight="1" x14ac:dyDescent="0.35">
      <c r="A1041" s="16" t="s">
        <v>3481</v>
      </c>
      <c r="B1041" s="16" t="s">
        <v>1050</v>
      </c>
      <c r="C1041" s="32">
        <v>0</v>
      </c>
      <c r="D1041" s="32">
        <v>0</v>
      </c>
      <c r="E1041" s="19">
        <v>1</v>
      </c>
      <c r="F1041" s="19">
        <v>0</v>
      </c>
      <c r="G1041" s="33">
        <v>0</v>
      </c>
      <c r="H1041" s="32">
        <v>0</v>
      </c>
      <c r="I1041" s="32">
        <v>0</v>
      </c>
      <c r="J1041" s="16" t="s">
        <v>5099</v>
      </c>
      <c r="K1041" s="16" t="s">
        <v>5770</v>
      </c>
      <c r="L1041" s="16" t="s">
        <v>4772</v>
      </c>
    </row>
    <row r="1042" spans="1:12" ht="19.5" customHeight="1" x14ac:dyDescent="0.35">
      <c r="A1042" s="16" t="s">
        <v>3482</v>
      </c>
      <c r="B1042" s="16" t="s">
        <v>1157</v>
      </c>
      <c r="C1042" s="32">
        <v>0</v>
      </c>
      <c r="D1042" s="32">
        <v>0</v>
      </c>
      <c r="E1042" s="19">
        <v>1</v>
      </c>
      <c r="F1042" s="19">
        <v>0</v>
      </c>
      <c r="G1042" s="33">
        <v>0</v>
      </c>
      <c r="H1042" s="32">
        <v>0</v>
      </c>
      <c r="I1042" s="32">
        <v>0</v>
      </c>
      <c r="J1042" s="16" t="s">
        <v>4927</v>
      </c>
      <c r="K1042" s="16" t="s">
        <v>5771</v>
      </c>
      <c r="L1042" s="16" t="s">
        <v>4772</v>
      </c>
    </row>
    <row r="1043" spans="1:12" ht="19.5" customHeight="1" x14ac:dyDescent="0.35">
      <c r="A1043" s="16" t="s">
        <v>3483</v>
      </c>
      <c r="B1043" s="16" t="s">
        <v>1009</v>
      </c>
      <c r="C1043" s="32">
        <v>0</v>
      </c>
      <c r="D1043" s="32">
        <v>0</v>
      </c>
      <c r="E1043" s="19">
        <v>1</v>
      </c>
      <c r="F1043" s="19">
        <v>0</v>
      </c>
      <c r="G1043" s="33">
        <v>0</v>
      </c>
      <c r="H1043" s="32">
        <v>0</v>
      </c>
      <c r="I1043" s="32">
        <v>0</v>
      </c>
      <c r="J1043" s="16" t="s">
        <v>4927</v>
      </c>
      <c r="K1043" s="16" t="s">
        <v>5772</v>
      </c>
      <c r="L1043" s="16" t="s">
        <v>4772</v>
      </c>
    </row>
    <row r="1044" spans="1:12" ht="19.5" customHeight="1" x14ac:dyDescent="0.35">
      <c r="A1044" s="16" t="s">
        <v>3484</v>
      </c>
      <c r="B1044" s="16" t="s">
        <v>3411</v>
      </c>
      <c r="C1044" s="32">
        <v>0</v>
      </c>
      <c r="D1044" s="32">
        <v>0</v>
      </c>
      <c r="E1044" s="19">
        <v>1</v>
      </c>
      <c r="F1044" s="19">
        <v>0</v>
      </c>
      <c r="G1044" s="33">
        <v>0</v>
      </c>
      <c r="H1044" s="32">
        <v>0</v>
      </c>
      <c r="I1044" s="32">
        <v>0</v>
      </c>
      <c r="J1044" s="16" t="s">
        <v>4770</v>
      </c>
      <c r="K1044" s="16" t="s">
        <v>5773</v>
      </c>
      <c r="L1044" s="16" t="s">
        <v>4772</v>
      </c>
    </row>
    <row r="1045" spans="1:12" ht="19.5" customHeight="1" x14ac:dyDescent="0.35">
      <c r="A1045" s="16" t="s">
        <v>3485</v>
      </c>
      <c r="B1045" s="16" t="s">
        <v>1659</v>
      </c>
      <c r="C1045" s="32">
        <v>0</v>
      </c>
      <c r="D1045" s="32">
        <v>0</v>
      </c>
      <c r="E1045" s="19">
        <v>1</v>
      </c>
      <c r="F1045" s="19">
        <v>0</v>
      </c>
      <c r="G1045" s="33">
        <v>0</v>
      </c>
      <c r="H1045" s="32">
        <v>0</v>
      </c>
      <c r="I1045" s="32">
        <v>0</v>
      </c>
      <c r="J1045" s="16" t="s">
        <v>4770</v>
      </c>
      <c r="K1045" s="16" t="s">
        <v>5774</v>
      </c>
      <c r="L1045" s="16" t="s">
        <v>4772</v>
      </c>
    </row>
    <row r="1046" spans="1:12" ht="19.5" customHeight="1" x14ac:dyDescent="0.35">
      <c r="A1046" s="16" t="s">
        <v>3486</v>
      </c>
      <c r="B1046" s="16" t="s">
        <v>1084</v>
      </c>
      <c r="C1046" s="32">
        <v>0</v>
      </c>
      <c r="D1046" s="32">
        <v>0</v>
      </c>
      <c r="E1046" s="19">
        <v>1</v>
      </c>
      <c r="F1046" s="19">
        <v>0</v>
      </c>
      <c r="G1046" s="33">
        <v>0</v>
      </c>
      <c r="H1046" s="32">
        <v>0</v>
      </c>
      <c r="I1046" s="32">
        <v>0</v>
      </c>
      <c r="J1046" s="16" t="s">
        <v>5220</v>
      </c>
      <c r="K1046" s="16" t="s">
        <v>5775</v>
      </c>
      <c r="L1046" s="16" t="s">
        <v>4772</v>
      </c>
    </row>
    <row r="1047" spans="1:12" ht="19.5" customHeight="1" x14ac:dyDescent="0.35">
      <c r="A1047" s="16" t="s">
        <v>3487</v>
      </c>
      <c r="B1047" s="16" t="s">
        <v>1077</v>
      </c>
      <c r="C1047" s="32">
        <v>0</v>
      </c>
      <c r="D1047" s="32">
        <v>0</v>
      </c>
      <c r="E1047" s="19">
        <v>1</v>
      </c>
      <c r="F1047" s="19">
        <v>0</v>
      </c>
      <c r="G1047" s="33">
        <v>0</v>
      </c>
      <c r="H1047" s="32">
        <v>0</v>
      </c>
      <c r="I1047" s="32">
        <v>0</v>
      </c>
      <c r="J1047" s="16" t="s">
        <v>4770</v>
      </c>
      <c r="K1047" s="16" t="s">
        <v>5776</v>
      </c>
      <c r="L1047" s="16" t="s">
        <v>4772</v>
      </c>
    </row>
    <row r="1048" spans="1:12" ht="19.5" customHeight="1" x14ac:dyDescent="0.35">
      <c r="A1048" s="16" t="s">
        <v>3488</v>
      </c>
      <c r="B1048" s="16" t="s">
        <v>921</v>
      </c>
      <c r="C1048" s="32">
        <v>0</v>
      </c>
      <c r="D1048" s="32">
        <v>0</v>
      </c>
      <c r="E1048" s="19">
        <v>1</v>
      </c>
      <c r="F1048" s="19">
        <v>0</v>
      </c>
      <c r="G1048" s="33">
        <v>0</v>
      </c>
      <c r="H1048" s="32">
        <v>0</v>
      </c>
      <c r="I1048" s="32">
        <v>0</v>
      </c>
      <c r="J1048" s="16" t="s">
        <v>5178</v>
      </c>
      <c r="K1048" s="16" t="s">
        <v>5777</v>
      </c>
      <c r="L1048" s="16" t="s">
        <v>4772</v>
      </c>
    </row>
    <row r="1049" spans="1:12" ht="19.5" customHeight="1" x14ac:dyDescent="0.35">
      <c r="A1049" s="16" t="s">
        <v>3489</v>
      </c>
      <c r="B1049" s="16" t="s">
        <v>929</v>
      </c>
      <c r="C1049" s="32">
        <v>0</v>
      </c>
      <c r="D1049" s="32">
        <v>0</v>
      </c>
      <c r="E1049" s="19">
        <v>1</v>
      </c>
      <c r="F1049" s="19">
        <v>0</v>
      </c>
      <c r="G1049" s="33">
        <v>0</v>
      </c>
      <c r="H1049" s="32">
        <v>0</v>
      </c>
      <c r="I1049" s="32">
        <v>0</v>
      </c>
      <c r="J1049" s="16" t="s">
        <v>4684</v>
      </c>
      <c r="K1049" s="16" t="s">
        <v>5778</v>
      </c>
      <c r="L1049" s="16" t="s">
        <v>4772</v>
      </c>
    </row>
    <row r="1050" spans="1:12" ht="19.5" customHeight="1" x14ac:dyDescent="0.35">
      <c r="A1050" s="16" t="s">
        <v>3490</v>
      </c>
      <c r="B1050" s="16" t="s">
        <v>1077</v>
      </c>
      <c r="C1050" s="32">
        <v>0</v>
      </c>
      <c r="D1050" s="32">
        <v>0</v>
      </c>
      <c r="E1050" s="19">
        <v>1</v>
      </c>
      <c r="F1050" s="19">
        <v>0</v>
      </c>
      <c r="G1050" s="33">
        <v>0</v>
      </c>
      <c r="H1050" s="32">
        <v>0</v>
      </c>
      <c r="I1050" s="32">
        <v>0</v>
      </c>
      <c r="J1050" s="16" t="s">
        <v>5178</v>
      </c>
      <c r="K1050" s="16" t="s">
        <v>5779</v>
      </c>
      <c r="L1050" s="16" t="s">
        <v>4772</v>
      </c>
    </row>
    <row r="1051" spans="1:12" ht="19.5" customHeight="1" x14ac:dyDescent="0.35">
      <c r="A1051" s="16" t="s">
        <v>3491</v>
      </c>
      <c r="B1051" s="16" t="s">
        <v>2257</v>
      </c>
      <c r="C1051" s="32">
        <v>0</v>
      </c>
      <c r="D1051" s="32">
        <v>0</v>
      </c>
      <c r="E1051" s="19">
        <v>1</v>
      </c>
      <c r="F1051" s="19">
        <v>0</v>
      </c>
      <c r="G1051" s="33">
        <v>0</v>
      </c>
      <c r="H1051" s="32">
        <v>0</v>
      </c>
      <c r="I1051" s="32">
        <v>0</v>
      </c>
      <c r="J1051" s="16" t="s">
        <v>4927</v>
      </c>
      <c r="K1051" s="16" t="s">
        <v>5780</v>
      </c>
      <c r="L1051" s="16" t="s">
        <v>4772</v>
      </c>
    </row>
    <row r="1052" spans="1:12" ht="19.5" customHeight="1" x14ac:dyDescent="0.35">
      <c r="A1052" s="16" t="s">
        <v>3492</v>
      </c>
      <c r="B1052" s="16" t="s">
        <v>1111</v>
      </c>
      <c r="C1052" s="32">
        <v>0</v>
      </c>
      <c r="D1052" s="32">
        <v>0</v>
      </c>
      <c r="E1052" s="19">
        <v>1</v>
      </c>
      <c r="F1052" s="19">
        <v>0</v>
      </c>
      <c r="G1052" s="33">
        <v>0</v>
      </c>
      <c r="H1052" s="32">
        <v>0</v>
      </c>
      <c r="I1052" s="32">
        <v>0</v>
      </c>
      <c r="J1052" s="16" t="s">
        <v>5067</v>
      </c>
      <c r="K1052" s="16" t="s">
        <v>5781</v>
      </c>
      <c r="L1052" s="16" t="s">
        <v>4772</v>
      </c>
    </row>
    <row r="1053" spans="1:12" ht="19.5" customHeight="1" x14ac:dyDescent="0.35">
      <c r="A1053" s="16" t="s">
        <v>3493</v>
      </c>
      <c r="B1053" s="16" t="s">
        <v>1817</v>
      </c>
      <c r="C1053" s="32">
        <v>0</v>
      </c>
      <c r="D1053" s="32">
        <v>0</v>
      </c>
      <c r="E1053" s="19">
        <v>1</v>
      </c>
      <c r="F1053" s="19">
        <v>0</v>
      </c>
      <c r="G1053" s="33">
        <v>0</v>
      </c>
      <c r="H1053" s="32">
        <v>0</v>
      </c>
      <c r="I1053" s="32">
        <v>0</v>
      </c>
      <c r="J1053" s="16" t="s">
        <v>5067</v>
      </c>
      <c r="K1053" s="16" t="s">
        <v>5782</v>
      </c>
      <c r="L1053" s="16" t="s">
        <v>4772</v>
      </c>
    </row>
    <row r="1054" spans="1:12" ht="19.5" customHeight="1" x14ac:dyDescent="0.35">
      <c r="A1054" s="16" t="s">
        <v>3494</v>
      </c>
      <c r="B1054" s="16" t="s">
        <v>1077</v>
      </c>
      <c r="C1054" s="32">
        <v>0</v>
      </c>
      <c r="D1054" s="32">
        <v>0</v>
      </c>
      <c r="E1054" s="19">
        <v>1</v>
      </c>
      <c r="F1054" s="19">
        <v>0</v>
      </c>
      <c r="G1054" s="33">
        <v>0</v>
      </c>
      <c r="H1054" s="32">
        <v>0</v>
      </c>
      <c r="I1054" s="32">
        <v>0</v>
      </c>
      <c r="J1054" s="16" t="s">
        <v>5067</v>
      </c>
      <c r="K1054" s="16" t="s">
        <v>5783</v>
      </c>
      <c r="L1054" s="16" t="s">
        <v>4772</v>
      </c>
    </row>
    <row r="1055" spans="1:12" ht="19.5" customHeight="1" x14ac:dyDescent="0.35">
      <c r="A1055" s="16" t="s">
        <v>3495</v>
      </c>
      <c r="B1055" s="16" t="s">
        <v>2257</v>
      </c>
      <c r="C1055" s="32">
        <v>0</v>
      </c>
      <c r="D1055" s="32">
        <v>0</v>
      </c>
      <c r="E1055" s="19">
        <v>1</v>
      </c>
      <c r="F1055" s="19">
        <v>0</v>
      </c>
      <c r="G1055" s="33">
        <v>0</v>
      </c>
      <c r="H1055" s="32">
        <v>0</v>
      </c>
      <c r="I1055" s="32">
        <v>0</v>
      </c>
      <c r="J1055" s="16" t="s">
        <v>5067</v>
      </c>
      <c r="K1055" s="16" t="s">
        <v>5784</v>
      </c>
      <c r="L1055" s="16" t="s">
        <v>4772</v>
      </c>
    </row>
    <row r="1056" spans="1:12" ht="19.5" customHeight="1" x14ac:dyDescent="0.35">
      <c r="A1056" s="16" t="s">
        <v>3496</v>
      </c>
      <c r="B1056" s="16" t="s">
        <v>1101</v>
      </c>
      <c r="C1056" s="32">
        <v>0</v>
      </c>
      <c r="D1056" s="32">
        <v>0</v>
      </c>
      <c r="E1056" s="19">
        <v>1</v>
      </c>
      <c r="F1056" s="19">
        <v>0</v>
      </c>
      <c r="G1056" s="33">
        <v>0</v>
      </c>
      <c r="H1056" s="32">
        <v>0</v>
      </c>
      <c r="I1056" s="32">
        <v>0</v>
      </c>
      <c r="J1056" s="16" t="s">
        <v>4684</v>
      </c>
      <c r="K1056" s="16" t="s">
        <v>5785</v>
      </c>
      <c r="L1056" s="16" t="s">
        <v>4772</v>
      </c>
    </row>
    <row r="1057" spans="1:12" ht="19.5" customHeight="1" x14ac:dyDescent="0.35">
      <c r="A1057" s="16" t="s">
        <v>3497</v>
      </c>
      <c r="B1057" s="16" t="s">
        <v>909</v>
      </c>
      <c r="C1057" s="32">
        <v>0</v>
      </c>
      <c r="D1057" s="32">
        <v>0</v>
      </c>
      <c r="E1057" s="19">
        <v>1</v>
      </c>
      <c r="F1057" s="19">
        <v>0</v>
      </c>
      <c r="G1057" s="33">
        <v>0</v>
      </c>
      <c r="H1057" s="32">
        <v>0</v>
      </c>
      <c r="I1057" s="32">
        <v>0</v>
      </c>
      <c r="J1057" s="16" t="s">
        <v>4770</v>
      </c>
      <c r="K1057" s="16" t="s">
        <v>5786</v>
      </c>
      <c r="L1057" s="16" t="s">
        <v>4772</v>
      </c>
    </row>
    <row r="1058" spans="1:12" ht="19.5" customHeight="1" x14ac:dyDescent="0.35">
      <c r="A1058" s="16" t="s">
        <v>3498</v>
      </c>
      <c r="B1058" s="16" t="s">
        <v>2602</v>
      </c>
      <c r="C1058" s="32">
        <v>0</v>
      </c>
      <c r="D1058" s="32">
        <v>0</v>
      </c>
      <c r="E1058" s="19">
        <v>1</v>
      </c>
      <c r="F1058" s="19">
        <v>0</v>
      </c>
      <c r="G1058" s="33">
        <v>0</v>
      </c>
      <c r="H1058" s="32">
        <v>0</v>
      </c>
      <c r="I1058" s="32">
        <v>0</v>
      </c>
      <c r="J1058" s="16" t="s">
        <v>4770</v>
      </c>
      <c r="K1058" s="16" t="s">
        <v>5787</v>
      </c>
      <c r="L1058" s="16" t="s">
        <v>4772</v>
      </c>
    </row>
    <row r="1059" spans="1:12" ht="19.5" customHeight="1" x14ac:dyDescent="0.35">
      <c r="A1059" s="16" t="s">
        <v>3499</v>
      </c>
      <c r="B1059" s="16" t="s">
        <v>1240</v>
      </c>
      <c r="C1059" s="32">
        <v>0</v>
      </c>
      <c r="D1059" s="32">
        <v>0</v>
      </c>
      <c r="E1059" s="19">
        <v>1</v>
      </c>
      <c r="F1059" s="19">
        <v>0</v>
      </c>
      <c r="G1059" s="33">
        <v>0</v>
      </c>
      <c r="H1059" s="32">
        <v>0</v>
      </c>
      <c r="I1059" s="32">
        <v>0</v>
      </c>
      <c r="J1059" s="16" t="s">
        <v>4927</v>
      </c>
      <c r="K1059" s="16" t="s">
        <v>5788</v>
      </c>
      <c r="L1059" s="16" t="s">
        <v>4772</v>
      </c>
    </row>
    <row r="1060" spans="1:12" ht="19.5" customHeight="1" x14ac:dyDescent="0.35">
      <c r="A1060" s="16" t="s">
        <v>3500</v>
      </c>
      <c r="B1060" s="16" t="s">
        <v>2792</v>
      </c>
      <c r="C1060" s="32">
        <v>0</v>
      </c>
      <c r="D1060" s="32">
        <v>0</v>
      </c>
      <c r="E1060" s="19">
        <v>1</v>
      </c>
      <c r="F1060" s="19">
        <v>0</v>
      </c>
      <c r="G1060" s="33">
        <v>0</v>
      </c>
      <c r="H1060" s="32">
        <v>0</v>
      </c>
      <c r="I1060" s="32">
        <v>0</v>
      </c>
      <c r="J1060" s="16" t="s">
        <v>5067</v>
      </c>
      <c r="K1060" s="16" t="s">
        <v>5789</v>
      </c>
      <c r="L1060" s="16" t="s">
        <v>4772</v>
      </c>
    </row>
    <row r="1061" spans="1:12" ht="19.5" customHeight="1" x14ac:dyDescent="0.35">
      <c r="A1061" s="16" t="s">
        <v>3501</v>
      </c>
      <c r="B1061" s="16" t="s">
        <v>989</v>
      </c>
      <c r="C1061" s="32">
        <v>0</v>
      </c>
      <c r="D1061" s="32">
        <v>0</v>
      </c>
      <c r="E1061" s="19">
        <v>1</v>
      </c>
      <c r="F1061" s="19">
        <v>0</v>
      </c>
      <c r="G1061" s="33">
        <v>0</v>
      </c>
      <c r="H1061" s="32">
        <v>0</v>
      </c>
      <c r="I1061" s="32">
        <v>0</v>
      </c>
      <c r="J1061" s="16" t="s">
        <v>5099</v>
      </c>
      <c r="K1061" s="16" t="s">
        <v>5790</v>
      </c>
      <c r="L1061" s="16" t="s">
        <v>4772</v>
      </c>
    </row>
    <row r="1062" spans="1:12" ht="19.5" customHeight="1" x14ac:dyDescent="0.35">
      <c r="A1062" s="16" t="s">
        <v>3502</v>
      </c>
      <c r="B1062" s="16" t="s">
        <v>963</v>
      </c>
      <c r="C1062" s="32">
        <v>0</v>
      </c>
      <c r="D1062" s="32">
        <v>0</v>
      </c>
      <c r="E1062" s="19">
        <v>1</v>
      </c>
      <c r="F1062" s="19">
        <v>0</v>
      </c>
      <c r="G1062" s="33">
        <v>0</v>
      </c>
      <c r="H1062" s="32">
        <v>0</v>
      </c>
      <c r="I1062" s="32">
        <v>0</v>
      </c>
      <c r="J1062" s="16" t="s">
        <v>4770</v>
      </c>
      <c r="K1062" s="16" t="s">
        <v>5791</v>
      </c>
      <c r="L1062" s="16" t="s">
        <v>4772</v>
      </c>
    </row>
    <row r="1063" spans="1:12" ht="19.5" customHeight="1" x14ac:dyDescent="0.35">
      <c r="A1063" s="16" t="s">
        <v>3503</v>
      </c>
      <c r="B1063" s="16" t="s">
        <v>989</v>
      </c>
      <c r="C1063" s="32">
        <v>0</v>
      </c>
      <c r="D1063" s="32">
        <v>0</v>
      </c>
      <c r="E1063" s="19">
        <v>1</v>
      </c>
      <c r="F1063" s="19">
        <v>0</v>
      </c>
      <c r="G1063" s="33">
        <v>0</v>
      </c>
      <c r="H1063" s="32">
        <v>0</v>
      </c>
      <c r="I1063" s="32">
        <v>0</v>
      </c>
      <c r="J1063" s="16" t="s">
        <v>5099</v>
      </c>
      <c r="K1063" s="16" t="s">
        <v>5792</v>
      </c>
      <c r="L1063" s="16" t="s">
        <v>4772</v>
      </c>
    </row>
    <row r="1064" spans="1:12" ht="19.5" customHeight="1" x14ac:dyDescent="0.35">
      <c r="A1064" s="16" t="s">
        <v>3504</v>
      </c>
      <c r="B1064" s="16" t="s">
        <v>2971</v>
      </c>
      <c r="C1064" s="32">
        <v>0</v>
      </c>
      <c r="D1064" s="32">
        <v>0</v>
      </c>
      <c r="E1064" s="19">
        <v>1</v>
      </c>
      <c r="F1064" s="19">
        <v>0</v>
      </c>
      <c r="G1064" s="33">
        <v>0</v>
      </c>
      <c r="H1064" s="32">
        <v>0</v>
      </c>
      <c r="I1064" s="32">
        <v>0</v>
      </c>
      <c r="J1064" s="16" t="s">
        <v>4770</v>
      </c>
      <c r="K1064" s="16" t="s">
        <v>5793</v>
      </c>
      <c r="L1064" s="16" t="s">
        <v>4772</v>
      </c>
    </row>
    <row r="1065" spans="1:12" ht="19.5" customHeight="1" x14ac:dyDescent="0.35">
      <c r="A1065" s="16" t="s">
        <v>3505</v>
      </c>
      <c r="B1065" s="16" t="s">
        <v>989</v>
      </c>
      <c r="C1065" s="32">
        <v>0</v>
      </c>
      <c r="D1065" s="32">
        <v>0</v>
      </c>
      <c r="E1065" s="19">
        <v>1</v>
      </c>
      <c r="F1065" s="19">
        <v>0</v>
      </c>
      <c r="G1065" s="33">
        <v>0</v>
      </c>
      <c r="H1065" s="32">
        <v>0</v>
      </c>
      <c r="I1065" s="32">
        <v>0</v>
      </c>
      <c r="J1065" s="16" t="s">
        <v>5099</v>
      </c>
      <c r="K1065" s="16" t="s">
        <v>5794</v>
      </c>
      <c r="L1065" s="16" t="s">
        <v>4772</v>
      </c>
    </row>
    <row r="1066" spans="1:12" ht="19.5" customHeight="1" x14ac:dyDescent="0.35">
      <c r="A1066" s="16" t="s">
        <v>3506</v>
      </c>
      <c r="B1066" s="16" t="s">
        <v>1299</v>
      </c>
      <c r="C1066" s="32">
        <v>0</v>
      </c>
      <c r="D1066" s="32">
        <v>0</v>
      </c>
      <c r="E1066" s="19">
        <v>1</v>
      </c>
      <c r="F1066" s="19">
        <v>0</v>
      </c>
      <c r="G1066" s="33">
        <v>0</v>
      </c>
      <c r="H1066" s="32">
        <v>0</v>
      </c>
      <c r="I1066" s="32">
        <v>0</v>
      </c>
      <c r="J1066" s="16" t="s">
        <v>5099</v>
      </c>
      <c r="K1066" s="16" t="s">
        <v>5795</v>
      </c>
      <c r="L1066" s="16" t="s">
        <v>4772</v>
      </c>
    </row>
    <row r="1067" spans="1:12" ht="19.5" customHeight="1" x14ac:dyDescent="0.35">
      <c r="A1067" s="16" t="s">
        <v>3507</v>
      </c>
      <c r="B1067" s="16" t="s">
        <v>996</v>
      </c>
      <c r="C1067" s="32">
        <v>0</v>
      </c>
      <c r="D1067" s="32">
        <v>0</v>
      </c>
      <c r="E1067" s="19">
        <v>1</v>
      </c>
      <c r="F1067" s="19">
        <v>0</v>
      </c>
      <c r="G1067" s="33">
        <v>0</v>
      </c>
      <c r="H1067" s="32">
        <v>0</v>
      </c>
      <c r="I1067" s="32">
        <v>0</v>
      </c>
      <c r="J1067" s="16" t="s">
        <v>4927</v>
      </c>
      <c r="K1067" s="16" t="s">
        <v>5796</v>
      </c>
      <c r="L1067" s="16" t="s">
        <v>4772</v>
      </c>
    </row>
    <row r="1068" spans="1:12" ht="19.5" customHeight="1" x14ac:dyDescent="0.35">
      <c r="A1068" s="16" t="s">
        <v>3508</v>
      </c>
      <c r="B1068" s="16" t="s">
        <v>925</v>
      </c>
      <c r="C1068" s="32">
        <v>0</v>
      </c>
      <c r="D1068" s="32">
        <v>0</v>
      </c>
      <c r="E1068" s="19">
        <v>1</v>
      </c>
      <c r="F1068" s="19">
        <v>0</v>
      </c>
      <c r="G1068" s="33">
        <v>0</v>
      </c>
      <c r="H1068" s="32">
        <v>0</v>
      </c>
      <c r="I1068" s="32">
        <v>0</v>
      </c>
      <c r="J1068" s="16" t="s">
        <v>4770</v>
      </c>
      <c r="K1068" s="16" t="s">
        <v>5797</v>
      </c>
      <c r="L1068" s="16" t="s">
        <v>4772</v>
      </c>
    </row>
    <row r="1069" spans="1:12" ht="19.5" customHeight="1" x14ac:dyDescent="0.35">
      <c r="A1069" s="16" t="s">
        <v>3509</v>
      </c>
      <c r="B1069" s="16" t="s">
        <v>946</v>
      </c>
      <c r="C1069" s="32">
        <v>0</v>
      </c>
      <c r="D1069" s="32">
        <v>0</v>
      </c>
      <c r="E1069" s="19">
        <v>1</v>
      </c>
      <c r="F1069" s="19">
        <v>0</v>
      </c>
      <c r="G1069" s="33">
        <v>0</v>
      </c>
      <c r="H1069" s="32">
        <v>0</v>
      </c>
      <c r="I1069" s="32">
        <v>0</v>
      </c>
      <c r="J1069" s="16" t="s">
        <v>5099</v>
      </c>
      <c r="K1069" s="16" t="s">
        <v>5798</v>
      </c>
      <c r="L1069" s="16" t="s">
        <v>4772</v>
      </c>
    </row>
    <row r="1070" spans="1:12" ht="19.5" customHeight="1" x14ac:dyDescent="0.35">
      <c r="A1070" s="16" t="s">
        <v>3510</v>
      </c>
      <c r="B1070" s="16" t="s">
        <v>1118</v>
      </c>
      <c r="C1070" s="32">
        <v>0</v>
      </c>
      <c r="D1070" s="32">
        <v>0</v>
      </c>
      <c r="E1070" s="19">
        <v>1</v>
      </c>
      <c r="F1070" s="19">
        <v>0</v>
      </c>
      <c r="G1070" s="33">
        <v>0</v>
      </c>
      <c r="H1070" s="32">
        <v>0</v>
      </c>
      <c r="I1070" s="32">
        <v>0</v>
      </c>
      <c r="J1070" s="16" t="s">
        <v>4927</v>
      </c>
      <c r="K1070" s="16" t="s">
        <v>5799</v>
      </c>
      <c r="L1070" s="16" t="s">
        <v>4772</v>
      </c>
    </row>
    <row r="1071" spans="1:12" ht="19.5" customHeight="1" x14ac:dyDescent="0.35">
      <c r="A1071" s="16" t="s">
        <v>3511</v>
      </c>
      <c r="B1071" s="16" t="s">
        <v>925</v>
      </c>
      <c r="C1071" s="32">
        <v>0</v>
      </c>
      <c r="D1071" s="32">
        <v>0</v>
      </c>
      <c r="E1071" s="19">
        <v>1</v>
      </c>
      <c r="F1071" s="19">
        <v>0</v>
      </c>
      <c r="G1071" s="33">
        <v>0</v>
      </c>
      <c r="H1071" s="32">
        <v>0</v>
      </c>
      <c r="I1071" s="32">
        <v>0</v>
      </c>
      <c r="J1071" s="16" t="s">
        <v>5178</v>
      </c>
      <c r="K1071" s="16" t="s">
        <v>5800</v>
      </c>
      <c r="L1071" s="16" t="s">
        <v>4772</v>
      </c>
    </row>
    <row r="1072" spans="1:12" ht="19.5" customHeight="1" x14ac:dyDescent="0.35">
      <c r="A1072" s="16" t="s">
        <v>3512</v>
      </c>
      <c r="B1072" s="16" t="s">
        <v>913</v>
      </c>
      <c r="C1072" s="32">
        <v>0</v>
      </c>
      <c r="D1072" s="32">
        <v>0</v>
      </c>
      <c r="E1072" s="19">
        <v>1</v>
      </c>
      <c r="F1072" s="19">
        <v>0</v>
      </c>
      <c r="G1072" s="33">
        <v>0</v>
      </c>
      <c r="H1072" s="32">
        <v>0</v>
      </c>
      <c r="I1072" s="32">
        <v>0</v>
      </c>
      <c r="J1072" s="16" t="s">
        <v>5099</v>
      </c>
      <c r="K1072" s="16" t="s">
        <v>5801</v>
      </c>
      <c r="L1072" s="16" t="s">
        <v>4772</v>
      </c>
    </row>
    <row r="1073" spans="1:12" ht="19.5" customHeight="1" x14ac:dyDescent="0.35">
      <c r="A1073" s="16" t="s">
        <v>3513</v>
      </c>
      <c r="B1073" s="16" t="s">
        <v>1050</v>
      </c>
      <c r="C1073" s="32">
        <v>0</v>
      </c>
      <c r="D1073" s="32">
        <v>0</v>
      </c>
      <c r="E1073" s="19">
        <v>1</v>
      </c>
      <c r="F1073" s="19">
        <v>0</v>
      </c>
      <c r="G1073" s="33">
        <v>0</v>
      </c>
      <c r="H1073" s="32">
        <v>0</v>
      </c>
      <c r="I1073" s="32">
        <v>0</v>
      </c>
      <c r="J1073" s="16" t="s">
        <v>5099</v>
      </c>
      <c r="K1073" s="16" t="s">
        <v>5801</v>
      </c>
      <c r="L1073" s="16" t="s">
        <v>4772</v>
      </c>
    </row>
    <row r="1074" spans="1:12" ht="19.5" customHeight="1" x14ac:dyDescent="0.35">
      <c r="A1074" s="16" t="s">
        <v>3514</v>
      </c>
      <c r="B1074" s="16" t="s">
        <v>1077</v>
      </c>
      <c r="C1074" s="32">
        <v>0</v>
      </c>
      <c r="D1074" s="32">
        <v>0</v>
      </c>
      <c r="E1074" s="19">
        <v>1</v>
      </c>
      <c r="F1074" s="19">
        <v>0</v>
      </c>
      <c r="G1074" s="33">
        <v>0</v>
      </c>
      <c r="H1074" s="32">
        <v>0</v>
      </c>
      <c r="I1074" s="32">
        <v>0</v>
      </c>
      <c r="J1074" s="16" t="s">
        <v>4770</v>
      </c>
      <c r="K1074" s="16" t="s">
        <v>5802</v>
      </c>
      <c r="L1074" s="16" t="s">
        <v>4772</v>
      </c>
    </row>
    <row r="1075" spans="1:12" ht="19.5" customHeight="1" x14ac:dyDescent="0.35">
      <c r="A1075" s="16" t="s">
        <v>3515</v>
      </c>
      <c r="B1075" s="16" t="s">
        <v>921</v>
      </c>
      <c r="C1075" s="32">
        <v>0</v>
      </c>
      <c r="D1075" s="32">
        <v>0</v>
      </c>
      <c r="E1075" s="19">
        <v>1</v>
      </c>
      <c r="F1075" s="19">
        <v>0</v>
      </c>
      <c r="G1075" s="33">
        <v>0</v>
      </c>
      <c r="H1075" s="32">
        <v>0</v>
      </c>
      <c r="I1075" s="32">
        <v>0</v>
      </c>
      <c r="J1075" s="16" t="s">
        <v>4684</v>
      </c>
      <c r="K1075" s="16" t="s">
        <v>5803</v>
      </c>
      <c r="L1075" s="16" t="s">
        <v>4686</v>
      </c>
    </row>
    <row r="1076" spans="1:12" ht="19.5" customHeight="1" x14ac:dyDescent="0.35">
      <c r="A1076" s="16" t="s">
        <v>3516</v>
      </c>
      <c r="B1076" s="16" t="s">
        <v>925</v>
      </c>
      <c r="C1076" s="32">
        <v>0</v>
      </c>
      <c r="D1076" s="32">
        <v>0</v>
      </c>
      <c r="E1076" s="19">
        <v>1</v>
      </c>
      <c r="F1076" s="19">
        <v>0</v>
      </c>
      <c r="G1076" s="33">
        <v>0</v>
      </c>
      <c r="H1076" s="32">
        <v>0</v>
      </c>
      <c r="I1076" s="32">
        <v>0</v>
      </c>
      <c r="J1076" s="16" t="s">
        <v>4770</v>
      </c>
      <c r="K1076" s="16" t="s">
        <v>5804</v>
      </c>
      <c r="L1076" s="16" t="s">
        <v>4686</v>
      </c>
    </row>
    <row r="1077" spans="1:12" ht="19.5" customHeight="1" x14ac:dyDescent="0.35">
      <c r="A1077" s="16" t="s">
        <v>3517</v>
      </c>
      <c r="B1077" s="16" t="s">
        <v>909</v>
      </c>
      <c r="C1077" s="32">
        <v>0</v>
      </c>
      <c r="D1077" s="32">
        <v>0</v>
      </c>
      <c r="E1077" s="19">
        <v>1</v>
      </c>
      <c r="F1077" s="19">
        <v>0</v>
      </c>
      <c r="G1077" s="33">
        <v>0</v>
      </c>
      <c r="H1077" s="32">
        <v>0</v>
      </c>
      <c r="I1077" s="32">
        <v>0</v>
      </c>
      <c r="J1077" s="16" t="s">
        <v>4770</v>
      </c>
      <c r="K1077" s="16" t="s">
        <v>5805</v>
      </c>
      <c r="L1077" s="16" t="s">
        <v>4686</v>
      </c>
    </row>
    <row r="1078" spans="1:12" ht="19.5" customHeight="1" x14ac:dyDescent="0.35">
      <c r="A1078" s="16" t="s">
        <v>3518</v>
      </c>
      <c r="B1078" s="16" t="s">
        <v>909</v>
      </c>
      <c r="C1078" s="32">
        <v>0</v>
      </c>
      <c r="D1078" s="32">
        <v>0</v>
      </c>
      <c r="E1078" s="19">
        <v>1</v>
      </c>
      <c r="F1078" s="19">
        <v>0</v>
      </c>
      <c r="G1078" s="33">
        <v>0</v>
      </c>
      <c r="H1078" s="32">
        <v>0</v>
      </c>
      <c r="I1078" s="32">
        <v>0</v>
      </c>
      <c r="J1078" s="16" t="s">
        <v>4770</v>
      </c>
      <c r="K1078" s="16" t="s">
        <v>5806</v>
      </c>
      <c r="L1078" s="16" t="s">
        <v>4686</v>
      </c>
    </row>
    <row r="1079" spans="1:12" ht="19.5" customHeight="1" x14ac:dyDescent="0.35">
      <c r="A1079" s="16" t="s">
        <v>3519</v>
      </c>
      <c r="B1079" s="16" t="s">
        <v>946</v>
      </c>
      <c r="C1079" s="32">
        <v>0</v>
      </c>
      <c r="D1079" s="32">
        <v>0</v>
      </c>
      <c r="E1079" s="19">
        <v>1</v>
      </c>
      <c r="F1079" s="19">
        <v>0</v>
      </c>
      <c r="G1079" s="33">
        <v>0</v>
      </c>
      <c r="H1079" s="32">
        <v>0</v>
      </c>
      <c r="I1079" s="32">
        <v>0</v>
      </c>
      <c r="J1079" s="16" t="s">
        <v>4770</v>
      </c>
      <c r="K1079" s="16" t="s">
        <v>5807</v>
      </c>
      <c r="L1079" s="16" t="s">
        <v>4686</v>
      </c>
    </row>
    <row r="1080" spans="1:12" ht="19.5" customHeight="1" x14ac:dyDescent="0.35">
      <c r="A1080" s="16" t="s">
        <v>3520</v>
      </c>
      <c r="B1080" s="16" t="s">
        <v>909</v>
      </c>
      <c r="C1080" s="32">
        <v>0</v>
      </c>
      <c r="D1080" s="32">
        <v>0</v>
      </c>
      <c r="E1080" s="19">
        <v>1</v>
      </c>
      <c r="F1080" s="19">
        <v>0</v>
      </c>
      <c r="G1080" s="33">
        <v>0</v>
      </c>
      <c r="H1080" s="32">
        <v>0</v>
      </c>
      <c r="I1080" s="32">
        <v>0</v>
      </c>
      <c r="J1080" s="16" t="s">
        <v>4770</v>
      </c>
      <c r="K1080" s="16" t="s">
        <v>5808</v>
      </c>
      <c r="L1080" s="16" t="s">
        <v>4686</v>
      </c>
    </row>
    <row r="1081" spans="1:12" ht="19.5" customHeight="1" x14ac:dyDescent="0.35">
      <c r="A1081" s="16" t="s">
        <v>3521</v>
      </c>
      <c r="B1081" s="16" t="s">
        <v>909</v>
      </c>
      <c r="C1081" s="32">
        <v>0</v>
      </c>
      <c r="D1081" s="32">
        <v>0</v>
      </c>
      <c r="E1081" s="19">
        <v>1</v>
      </c>
      <c r="F1081" s="19">
        <v>0</v>
      </c>
      <c r="G1081" s="33">
        <v>0</v>
      </c>
      <c r="H1081" s="32">
        <v>0</v>
      </c>
      <c r="I1081" s="32">
        <v>0</v>
      </c>
      <c r="J1081" s="16" t="s">
        <v>4770</v>
      </c>
      <c r="K1081" s="16" t="s">
        <v>5809</v>
      </c>
      <c r="L1081" s="16" t="s">
        <v>4686</v>
      </c>
    </row>
    <row r="1082" spans="1:12" ht="19.5" customHeight="1" x14ac:dyDescent="0.35">
      <c r="A1082" s="16" t="s">
        <v>3522</v>
      </c>
      <c r="B1082" s="16" t="s">
        <v>1077</v>
      </c>
      <c r="C1082" s="32">
        <v>0</v>
      </c>
      <c r="D1082" s="32">
        <v>0</v>
      </c>
      <c r="E1082" s="19">
        <v>1</v>
      </c>
      <c r="F1082" s="19">
        <v>0</v>
      </c>
      <c r="G1082" s="33">
        <v>0</v>
      </c>
      <c r="H1082" s="32">
        <v>0</v>
      </c>
      <c r="I1082" s="32">
        <v>0</v>
      </c>
      <c r="J1082" s="16" t="s">
        <v>5306</v>
      </c>
      <c r="K1082" s="16" t="s">
        <v>5810</v>
      </c>
      <c r="L1082" s="16" t="s">
        <v>4686</v>
      </c>
    </row>
    <row r="1083" spans="1:12" ht="19.5" customHeight="1" x14ac:dyDescent="0.35">
      <c r="A1083" s="16" t="s">
        <v>3523</v>
      </c>
      <c r="B1083" s="16" t="s">
        <v>1050</v>
      </c>
      <c r="C1083" s="32">
        <v>0</v>
      </c>
      <c r="D1083" s="32">
        <v>0</v>
      </c>
      <c r="E1083" s="19">
        <v>1</v>
      </c>
      <c r="F1083" s="19">
        <v>0</v>
      </c>
      <c r="G1083" s="33">
        <v>0</v>
      </c>
      <c r="H1083" s="32">
        <v>0</v>
      </c>
      <c r="I1083" s="32">
        <v>0</v>
      </c>
      <c r="J1083" s="16" t="s">
        <v>5099</v>
      </c>
      <c r="K1083" s="16" t="s">
        <v>5720</v>
      </c>
      <c r="L1083" s="16" t="s">
        <v>4686</v>
      </c>
    </row>
    <row r="1084" spans="1:12" ht="19.5" customHeight="1" x14ac:dyDescent="0.35">
      <c r="A1084" s="16" t="s">
        <v>3524</v>
      </c>
      <c r="B1084" s="16" t="s">
        <v>1111</v>
      </c>
      <c r="C1084" s="32">
        <v>0</v>
      </c>
      <c r="D1084" s="32">
        <v>0</v>
      </c>
      <c r="E1084" s="19">
        <v>1</v>
      </c>
      <c r="F1084" s="19">
        <v>0</v>
      </c>
      <c r="G1084" s="33">
        <v>0</v>
      </c>
      <c r="H1084" s="32">
        <v>0</v>
      </c>
      <c r="I1084" s="32">
        <v>0</v>
      </c>
      <c r="J1084" s="16" t="s">
        <v>5220</v>
      </c>
      <c r="K1084" s="16" t="s">
        <v>5811</v>
      </c>
      <c r="L1084" s="16" t="s">
        <v>4686</v>
      </c>
    </row>
    <row r="1085" spans="1:12" ht="19.5" customHeight="1" x14ac:dyDescent="0.35">
      <c r="A1085" s="16" t="s">
        <v>3525</v>
      </c>
      <c r="B1085" s="16" t="s">
        <v>1143</v>
      </c>
      <c r="C1085" s="32">
        <v>0</v>
      </c>
      <c r="D1085" s="32">
        <v>0</v>
      </c>
      <c r="E1085" s="19">
        <v>1</v>
      </c>
      <c r="F1085" s="19">
        <v>0</v>
      </c>
      <c r="G1085" s="33">
        <v>0</v>
      </c>
      <c r="H1085" s="32">
        <v>0</v>
      </c>
      <c r="I1085" s="32">
        <v>0</v>
      </c>
      <c r="J1085" s="16" t="s">
        <v>4770</v>
      </c>
      <c r="K1085" s="16" t="s">
        <v>5812</v>
      </c>
      <c r="L1085" s="16" t="s">
        <v>4686</v>
      </c>
    </row>
    <row r="1086" spans="1:12" ht="19.5" customHeight="1" x14ac:dyDescent="0.35">
      <c r="A1086" s="16" t="s">
        <v>3526</v>
      </c>
      <c r="B1086" s="16" t="s">
        <v>909</v>
      </c>
      <c r="C1086" s="32">
        <v>0</v>
      </c>
      <c r="D1086" s="32">
        <v>0</v>
      </c>
      <c r="E1086" s="19">
        <v>1</v>
      </c>
      <c r="F1086" s="19">
        <v>0</v>
      </c>
      <c r="G1086" s="33">
        <v>0</v>
      </c>
      <c r="H1086" s="32">
        <v>0</v>
      </c>
      <c r="I1086" s="32">
        <v>0</v>
      </c>
      <c r="J1086" s="16" t="s">
        <v>4770</v>
      </c>
      <c r="K1086" s="16" t="s">
        <v>5813</v>
      </c>
      <c r="L1086" s="16" t="s">
        <v>4686</v>
      </c>
    </row>
    <row r="1087" spans="1:12" ht="19.5" customHeight="1" x14ac:dyDescent="0.35">
      <c r="A1087" s="16" t="s">
        <v>3527</v>
      </c>
      <c r="B1087" s="16" t="s">
        <v>1077</v>
      </c>
      <c r="C1087" s="32">
        <v>0</v>
      </c>
      <c r="D1087" s="32">
        <v>0</v>
      </c>
      <c r="E1087" s="19">
        <v>1</v>
      </c>
      <c r="F1087" s="19">
        <v>0</v>
      </c>
      <c r="G1087" s="33">
        <v>0</v>
      </c>
      <c r="H1087" s="32">
        <v>0</v>
      </c>
      <c r="I1087" s="32">
        <v>0</v>
      </c>
      <c r="J1087" s="16" t="s">
        <v>4770</v>
      </c>
      <c r="K1087" s="16" t="s">
        <v>5814</v>
      </c>
      <c r="L1087" s="16" t="s">
        <v>4686</v>
      </c>
    </row>
    <row r="1088" spans="1:12" ht="19.5" customHeight="1" x14ac:dyDescent="0.35">
      <c r="A1088" s="16" t="s">
        <v>3528</v>
      </c>
      <c r="B1088" s="16" t="s">
        <v>2971</v>
      </c>
      <c r="C1088" s="32">
        <v>0</v>
      </c>
      <c r="D1088" s="32">
        <v>0</v>
      </c>
      <c r="E1088" s="19">
        <v>1</v>
      </c>
      <c r="F1088" s="19">
        <v>0</v>
      </c>
      <c r="G1088" s="33">
        <v>0</v>
      </c>
      <c r="H1088" s="32">
        <v>0</v>
      </c>
      <c r="I1088" s="32">
        <v>0</v>
      </c>
      <c r="J1088" s="16" t="s">
        <v>5099</v>
      </c>
      <c r="K1088" s="16" t="s">
        <v>5815</v>
      </c>
      <c r="L1088" s="16" t="s">
        <v>4686</v>
      </c>
    </row>
    <row r="1089" spans="1:12" ht="19.5" customHeight="1" x14ac:dyDescent="0.35">
      <c r="A1089" s="16" t="s">
        <v>3529</v>
      </c>
      <c r="B1089" s="16" t="s">
        <v>1077</v>
      </c>
      <c r="C1089" s="32">
        <v>0</v>
      </c>
      <c r="D1089" s="32">
        <v>0</v>
      </c>
      <c r="E1089" s="19">
        <v>1</v>
      </c>
      <c r="F1089" s="19">
        <v>0</v>
      </c>
      <c r="G1089" s="33">
        <v>0</v>
      </c>
      <c r="H1089" s="32">
        <v>0</v>
      </c>
      <c r="I1089" s="32">
        <v>0</v>
      </c>
      <c r="J1089" s="16" t="s">
        <v>5196</v>
      </c>
      <c r="K1089" s="16" t="s">
        <v>5816</v>
      </c>
      <c r="L1089" s="16" t="s">
        <v>4686</v>
      </c>
    </row>
    <row r="1090" spans="1:12" ht="19.5" customHeight="1" x14ac:dyDescent="0.35">
      <c r="A1090" s="16" t="s">
        <v>3530</v>
      </c>
      <c r="B1090" s="16" t="s">
        <v>946</v>
      </c>
      <c r="C1090" s="32">
        <v>0</v>
      </c>
      <c r="D1090" s="32">
        <v>0</v>
      </c>
      <c r="E1090" s="19">
        <v>1</v>
      </c>
      <c r="F1090" s="19">
        <v>0</v>
      </c>
      <c r="G1090" s="33">
        <v>0</v>
      </c>
      <c r="H1090" s="32">
        <v>0</v>
      </c>
      <c r="I1090" s="32">
        <v>0</v>
      </c>
      <c r="J1090" s="16" t="s">
        <v>4770</v>
      </c>
      <c r="K1090" s="16" t="s">
        <v>5817</v>
      </c>
      <c r="L1090" s="16" t="s">
        <v>4686</v>
      </c>
    </row>
    <row r="1091" spans="1:12" ht="19.5" customHeight="1" x14ac:dyDescent="0.35">
      <c r="A1091" s="16" t="s">
        <v>3531</v>
      </c>
      <c r="B1091" s="16" t="s">
        <v>946</v>
      </c>
      <c r="C1091" s="32">
        <v>0</v>
      </c>
      <c r="D1091" s="32">
        <v>0</v>
      </c>
      <c r="E1091" s="19">
        <v>1</v>
      </c>
      <c r="F1091" s="19">
        <v>0</v>
      </c>
      <c r="G1091" s="33">
        <v>0</v>
      </c>
      <c r="H1091" s="32">
        <v>0</v>
      </c>
      <c r="I1091" s="32">
        <v>0</v>
      </c>
      <c r="J1091" s="16" t="s">
        <v>4770</v>
      </c>
      <c r="K1091" s="16" t="s">
        <v>5818</v>
      </c>
      <c r="L1091" s="16" t="s">
        <v>4686</v>
      </c>
    </row>
    <row r="1092" spans="1:12" ht="19.5" customHeight="1" x14ac:dyDescent="0.35">
      <c r="A1092" s="16" t="s">
        <v>3532</v>
      </c>
      <c r="B1092" s="16" t="s">
        <v>2971</v>
      </c>
      <c r="C1092" s="32">
        <v>0</v>
      </c>
      <c r="D1092" s="32">
        <v>0</v>
      </c>
      <c r="E1092" s="19">
        <v>1</v>
      </c>
      <c r="F1092" s="19">
        <v>0</v>
      </c>
      <c r="G1092" s="33">
        <v>0</v>
      </c>
      <c r="H1092" s="32">
        <v>0</v>
      </c>
      <c r="I1092" s="32">
        <v>0</v>
      </c>
      <c r="J1092" s="16" t="s">
        <v>4770</v>
      </c>
      <c r="K1092" s="16" t="s">
        <v>5819</v>
      </c>
      <c r="L1092" s="16" t="s">
        <v>4686</v>
      </c>
    </row>
    <row r="1093" spans="1:12" ht="19.5" customHeight="1" x14ac:dyDescent="0.35">
      <c r="A1093" s="16" t="s">
        <v>3533</v>
      </c>
      <c r="B1093" s="16" t="s">
        <v>1817</v>
      </c>
      <c r="C1093" s="32">
        <v>0</v>
      </c>
      <c r="D1093" s="32">
        <v>0</v>
      </c>
      <c r="E1093" s="19">
        <v>1</v>
      </c>
      <c r="F1093" s="19">
        <v>0</v>
      </c>
      <c r="G1093" s="33">
        <v>0</v>
      </c>
      <c r="H1093" s="32">
        <v>0</v>
      </c>
      <c r="I1093" s="32">
        <v>0</v>
      </c>
      <c r="J1093" s="16" t="s">
        <v>4927</v>
      </c>
      <c r="K1093" s="16" t="s">
        <v>5820</v>
      </c>
      <c r="L1093" s="16" t="s">
        <v>4686</v>
      </c>
    </row>
    <row r="1094" spans="1:12" ht="19.5" customHeight="1" x14ac:dyDescent="0.35">
      <c r="A1094" s="16" t="s">
        <v>3534</v>
      </c>
      <c r="B1094" s="16" t="s">
        <v>1143</v>
      </c>
      <c r="C1094" s="32">
        <v>0</v>
      </c>
      <c r="D1094" s="32">
        <v>0</v>
      </c>
      <c r="E1094" s="19">
        <v>1</v>
      </c>
      <c r="F1094" s="19">
        <v>0</v>
      </c>
      <c r="G1094" s="33">
        <v>0</v>
      </c>
      <c r="H1094" s="32">
        <v>0</v>
      </c>
      <c r="I1094" s="32">
        <v>0</v>
      </c>
      <c r="J1094" s="16" t="s">
        <v>5067</v>
      </c>
      <c r="K1094" s="16" t="s">
        <v>5821</v>
      </c>
      <c r="L1094" s="16" t="s">
        <v>4686</v>
      </c>
    </row>
    <row r="1095" spans="1:12" ht="19.5" customHeight="1" x14ac:dyDescent="0.35">
      <c r="A1095" s="16" t="s">
        <v>3535</v>
      </c>
      <c r="B1095" s="16" t="s">
        <v>1118</v>
      </c>
      <c r="C1095" s="32">
        <v>0</v>
      </c>
      <c r="D1095" s="32">
        <v>0</v>
      </c>
      <c r="E1095" s="19">
        <v>1</v>
      </c>
      <c r="F1095" s="19">
        <v>0</v>
      </c>
      <c r="G1095" s="33">
        <v>0</v>
      </c>
      <c r="H1095" s="32">
        <v>0</v>
      </c>
      <c r="I1095" s="32">
        <v>0</v>
      </c>
      <c r="J1095" s="16" t="s">
        <v>4770</v>
      </c>
      <c r="K1095" s="16" t="s">
        <v>5822</v>
      </c>
      <c r="L1095" s="16" t="s">
        <v>4686</v>
      </c>
    </row>
    <row r="1096" spans="1:12" ht="19.5" customHeight="1" x14ac:dyDescent="0.35">
      <c r="A1096" s="16" t="s">
        <v>3536</v>
      </c>
      <c r="B1096" s="16" t="s">
        <v>946</v>
      </c>
      <c r="C1096" s="32">
        <v>0</v>
      </c>
      <c r="D1096" s="32">
        <v>0</v>
      </c>
      <c r="E1096" s="19">
        <v>1</v>
      </c>
      <c r="F1096" s="19">
        <v>0</v>
      </c>
      <c r="G1096" s="33">
        <v>0</v>
      </c>
      <c r="H1096" s="32">
        <v>0</v>
      </c>
      <c r="I1096" s="32">
        <v>0</v>
      </c>
      <c r="J1096" s="16" t="s">
        <v>4770</v>
      </c>
      <c r="K1096" s="16" t="s">
        <v>5823</v>
      </c>
      <c r="L1096" s="16" t="s">
        <v>4686</v>
      </c>
    </row>
    <row r="1097" spans="1:12" ht="19.5" customHeight="1" x14ac:dyDescent="0.35">
      <c r="A1097" s="16" t="s">
        <v>3537</v>
      </c>
      <c r="B1097" s="16" t="s">
        <v>1143</v>
      </c>
      <c r="C1097" s="32">
        <v>0</v>
      </c>
      <c r="D1097" s="32">
        <v>0</v>
      </c>
      <c r="E1097" s="19">
        <v>1</v>
      </c>
      <c r="F1097" s="19">
        <v>0</v>
      </c>
      <c r="G1097" s="33">
        <v>0</v>
      </c>
      <c r="H1097" s="32">
        <v>0</v>
      </c>
      <c r="I1097" s="32">
        <v>0</v>
      </c>
      <c r="J1097" s="16" t="s">
        <v>4770</v>
      </c>
      <c r="K1097" s="16" t="s">
        <v>5824</v>
      </c>
      <c r="L1097" s="16" t="s">
        <v>4686</v>
      </c>
    </row>
    <row r="1098" spans="1:12" ht="19.5" customHeight="1" x14ac:dyDescent="0.35">
      <c r="A1098" s="16" t="s">
        <v>3538</v>
      </c>
      <c r="B1098" s="16" t="s">
        <v>989</v>
      </c>
      <c r="C1098" s="32">
        <v>0</v>
      </c>
      <c r="D1098" s="32">
        <v>0</v>
      </c>
      <c r="E1098" s="19">
        <v>1</v>
      </c>
      <c r="F1098" s="19">
        <v>0</v>
      </c>
      <c r="G1098" s="33">
        <v>0</v>
      </c>
      <c r="H1098" s="32">
        <v>0</v>
      </c>
      <c r="I1098" s="32">
        <v>0</v>
      </c>
      <c r="J1098" s="16" t="s">
        <v>5099</v>
      </c>
      <c r="K1098" s="16" t="s">
        <v>5825</v>
      </c>
      <c r="L1098" s="16" t="s">
        <v>4686</v>
      </c>
    </row>
    <row r="1099" spans="1:12" ht="19.5" customHeight="1" x14ac:dyDescent="0.35">
      <c r="A1099" s="16" t="s">
        <v>3539</v>
      </c>
      <c r="B1099" s="16" t="s">
        <v>1690</v>
      </c>
      <c r="C1099" s="32">
        <v>0</v>
      </c>
      <c r="D1099" s="32">
        <v>0</v>
      </c>
      <c r="E1099" s="19">
        <v>1</v>
      </c>
      <c r="F1099" s="19">
        <v>0</v>
      </c>
      <c r="G1099" s="33">
        <v>0</v>
      </c>
      <c r="H1099" s="32">
        <v>0</v>
      </c>
      <c r="I1099" s="32">
        <v>0</v>
      </c>
      <c r="J1099" s="16" t="s">
        <v>5178</v>
      </c>
      <c r="K1099" s="16" t="s">
        <v>5826</v>
      </c>
      <c r="L1099" s="16" t="s">
        <v>4686</v>
      </c>
    </row>
    <row r="1100" spans="1:12" ht="19.5" customHeight="1" x14ac:dyDescent="0.35">
      <c r="A1100" s="16" t="s">
        <v>3540</v>
      </c>
      <c r="B1100" s="16" t="s">
        <v>1077</v>
      </c>
      <c r="C1100" s="32">
        <v>0</v>
      </c>
      <c r="D1100" s="32">
        <v>0</v>
      </c>
      <c r="E1100" s="19">
        <v>1</v>
      </c>
      <c r="F1100" s="19">
        <v>0</v>
      </c>
      <c r="G1100" s="33">
        <v>0</v>
      </c>
      <c r="H1100" s="32">
        <v>0</v>
      </c>
      <c r="I1100" s="32">
        <v>0</v>
      </c>
      <c r="J1100" s="16" t="s">
        <v>4770</v>
      </c>
      <c r="K1100" s="16" t="s">
        <v>5827</v>
      </c>
      <c r="L1100" s="16" t="s">
        <v>4686</v>
      </c>
    </row>
    <row r="1101" spans="1:12" ht="19.5" customHeight="1" x14ac:dyDescent="0.35">
      <c r="A1101" s="16" t="s">
        <v>3541</v>
      </c>
      <c r="B1101" s="16" t="s">
        <v>1659</v>
      </c>
      <c r="C1101" s="32">
        <v>0</v>
      </c>
      <c r="D1101" s="32">
        <v>0</v>
      </c>
      <c r="E1101" s="19">
        <v>1</v>
      </c>
      <c r="F1101" s="19">
        <v>0</v>
      </c>
      <c r="G1101" s="33">
        <v>0</v>
      </c>
      <c r="H1101" s="32">
        <v>0</v>
      </c>
      <c r="I1101" s="32">
        <v>0</v>
      </c>
      <c r="J1101" s="16" t="s">
        <v>4927</v>
      </c>
      <c r="K1101" s="16" t="s">
        <v>5828</v>
      </c>
      <c r="L1101" s="16" t="s">
        <v>4686</v>
      </c>
    </row>
    <row r="1102" spans="1:12" ht="19.5" customHeight="1" x14ac:dyDescent="0.35">
      <c r="A1102" s="16" t="s">
        <v>3542</v>
      </c>
      <c r="B1102" s="16" t="s">
        <v>1077</v>
      </c>
      <c r="C1102" s="32">
        <v>0</v>
      </c>
      <c r="D1102" s="32">
        <v>0</v>
      </c>
      <c r="E1102" s="19">
        <v>1</v>
      </c>
      <c r="F1102" s="19">
        <v>0</v>
      </c>
      <c r="G1102" s="33">
        <v>0</v>
      </c>
      <c r="H1102" s="32">
        <v>0</v>
      </c>
      <c r="I1102" s="32">
        <v>0</v>
      </c>
      <c r="J1102" s="16" t="s">
        <v>4770</v>
      </c>
      <c r="K1102" s="16" t="s">
        <v>5829</v>
      </c>
      <c r="L1102" s="16" t="s">
        <v>4686</v>
      </c>
    </row>
    <row r="1103" spans="1:12" ht="19.5" customHeight="1" x14ac:dyDescent="0.35">
      <c r="A1103" s="16" t="s">
        <v>3543</v>
      </c>
      <c r="B1103" s="16" t="s">
        <v>1659</v>
      </c>
      <c r="C1103" s="32">
        <v>0</v>
      </c>
      <c r="D1103" s="32">
        <v>0</v>
      </c>
      <c r="E1103" s="19">
        <v>1</v>
      </c>
      <c r="F1103" s="19">
        <v>0</v>
      </c>
      <c r="G1103" s="33">
        <v>0</v>
      </c>
      <c r="H1103" s="32">
        <v>0</v>
      </c>
      <c r="I1103" s="32">
        <v>0</v>
      </c>
      <c r="J1103" s="16" t="s">
        <v>4770</v>
      </c>
      <c r="K1103" s="16" t="s">
        <v>5830</v>
      </c>
      <c r="L1103" s="16" t="s">
        <v>4686</v>
      </c>
    </row>
    <row r="1104" spans="1:12" ht="19.5" customHeight="1" x14ac:dyDescent="0.35">
      <c r="A1104" s="16" t="s">
        <v>3544</v>
      </c>
      <c r="B1104" s="16" t="s">
        <v>929</v>
      </c>
      <c r="C1104" s="32">
        <v>0</v>
      </c>
      <c r="D1104" s="32">
        <v>0</v>
      </c>
      <c r="E1104" s="19">
        <v>1</v>
      </c>
      <c r="F1104" s="19">
        <v>0</v>
      </c>
      <c r="G1104" s="33">
        <v>0</v>
      </c>
      <c r="H1104" s="32">
        <v>0</v>
      </c>
      <c r="I1104" s="32">
        <v>0</v>
      </c>
      <c r="J1104" s="16" t="s">
        <v>4770</v>
      </c>
      <c r="K1104" s="16" t="s">
        <v>5831</v>
      </c>
      <c r="L1104" s="16" t="s">
        <v>4686</v>
      </c>
    </row>
    <row r="1105" spans="1:12" ht="19.5" customHeight="1" x14ac:dyDescent="0.35">
      <c r="A1105" s="16" t="s">
        <v>3545</v>
      </c>
      <c r="B1105" s="16" t="s">
        <v>2602</v>
      </c>
      <c r="C1105" s="32">
        <v>0</v>
      </c>
      <c r="D1105" s="32">
        <v>0</v>
      </c>
      <c r="E1105" s="19">
        <v>1</v>
      </c>
      <c r="F1105" s="19">
        <v>0</v>
      </c>
      <c r="G1105" s="33">
        <v>0</v>
      </c>
      <c r="H1105" s="32">
        <v>0</v>
      </c>
      <c r="I1105" s="32">
        <v>0</v>
      </c>
      <c r="J1105" s="16" t="s">
        <v>4770</v>
      </c>
      <c r="K1105" s="16" t="s">
        <v>5832</v>
      </c>
      <c r="L1105" s="16" t="s">
        <v>4686</v>
      </c>
    </row>
    <row r="1106" spans="1:12" ht="19.5" customHeight="1" x14ac:dyDescent="0.35">
      <c r="A1106" s="16" t="s">
        <v>3546</v>
      </c>
      <c r="B1106" s="16" t="s">
        <v>2602</v>
      </c>
      <c r="C1106" s="32">
        <v>0</v>
      </c>
      <c r="D1106" s="32">
        <v>0</v>
      </c>
      <c r="E1106" s="19">
        <v>1</v>
      </c>
      <c r="F1106" s="19">
        <v>0</v>
      </c>
      <c r="G1106" s="33">
        <v>0</v>
      </c>
      <c r="H1106" s="32">
        <v>0</v>
      </c>
      <c r="I1106" s="32">
        <v>0</v>
      </c>
      <c r="J1106" s="16" t="s">
        <v>4770</v>
      </c>
      <c r="K1106" s="16" t="s">
        <v>5832</v>
      </c>
      <c r="L1106" s="16" t="s">
        <v>4686</v>
      </c>
    </row>
    <row r="1107" spans="1:12" ht="19.5" customHeight="1" x14ac:dyDescent="0.35">
      <c r="A1107" s="16" t="s">
        <v>3547</v>
      </c>
      <c r="B1107" s="16" t="s">
        <v>2602</v>
      </c>
      <c r="C1107" s="32">
        <v>0</v>
      </c>
      <c r="D1107" s="32">
        <v>0</v>
      </c>
      <c r="E1107" s="19">
        <v>1</v>
      </c>
      <c r="F1107" s="19">
        <v>0</v>
      </c>
      <c r="G1107" s="33">
        <v>0</v>
      </c>
      <c r="H1107" s="32">
        <v>0</v>
      </c>
      <c r="I1107" s="32">
        <v>0</v>
      </c>
      <c r="J1107" s="16" t="s">
        <v>4770</v>
      </c>
      <c r="K1107" s="16"/>
      <c r="L1107" s="16" t="s">
        <v>4686</v>
      </c>
    </row>
    <row r="1108" spans="1:12" ht="19.5" customHeight="1" x14ac:dyDescent="0.35">
      <c r="A1108" s="16" t="s">
        <v>3548</v>
      </c>
      <c r="B1108" s="16" t="s">
        <v>1817</v>
      </c>
      <c r="C1108" s="32">
        <v>0</v>
      </c>
      <c r="D1108" s="32">
        <v>0</v>
      </c>
      <c r="E1108" s="19">
        <v>1</v>
      </c>
      <c r="F1108" s="19">
        <v>0</v>
      </c>
      <c r="G1108" s="33">
        <v>0</v>
      </c>
      <c r="H1108" s="32">
        <v>0</v>
      </c>
      <c r="I1108" s="32">
        <v>0</v>
      </c>
      <c r="J1108" s="16" t="s">
        <v>4927</v>
      </c>
      <c r="K1108" s="16" t="s">
        <v>5833</v>
      </c>
      <c r="L1108" s="16" t="s">
        <v>4686</v>
      </c>
    </row>
    <row r="1109" spans="1:12" ht="19.5" customHeight="1" x14ac:dyDescent="0.35">
      <c r="A1109" s="16" t="s">
        <v>3549</v>
      </c>
      <c r="B1109" s="16" t="s">
        <v>1143</v>
      </c>
      <c r="C1109" s="32">
        <v>0</v>
      </c>
      <c r="D1109" s="32">
        <v>0</v>
      </c>
      <c r="E1109" s="19">
        <v>1</v>
      </c>
      <c r="F1109" s="19">
        <v>0</v>
      </c>
      <c r="G1109" s="33">
        <v>0</v>
      </c>
      <c r="H1109" s="32">
        <v>0</v>
      </c>
      <c r="I1109" s="32">
        <v>0</v>
      </c>
      <c r="J1109" s="16" t="s">
        <v>4770</v>
      </c>
      <c r="K1109" s="16" t="s">
        <v>5834</v>
      </c>
      <c r="L1109" s="16" t="s">
        <v>4686</v>
      </c>
    </row>
    <row r="1110" spans="1:12" ht="19.5" customHeight="1" x14ac:dyDescent="0.35">
      <c r="A1110" s="16" t="s">
        <v>3550</v>
      </c>
      <c r="B1110" s="16" t="s">
        <v>1143</v>
      </c>
      <c r="C1110" s="32">
        <v>0</v>
      </c>
      <c r="D1110" s="32">
        <v>0</v>
      </c>
      <c r="E1110" s="19">
        <v>1</v>
      </c>
      <c r="F1110" s="19">
        <v>0</v>
      </c>
      <c r="G1110" s="33">
        <v>0</v>
      </c>
      <c r="H1110" s="32">
        <v>0</v>
      </c>
      <c r="I1110" s="32">
        <v>0</v>
      </c>
      <c r="J1110" s="16" t="s">
        <v>4770</v>
      </c>
      <c r="K1110" s="16" t="s">
        <v>5835</v>
      </c>
      <c r="L1110" s="16" t="s">
        <v>4686</v>
      </c>
    </row>
    <row r="1111" spans="1:12" ht="19.5" customHeight="1" x14ac:dyDescent="0.35">
      <c r="A1111" s="16" t="s">
        <v>3551</v>
      </c>
      <c r="B1111" s="16" t="s">
        <v>1659</v>
      </c>
      <c r="C1111" s="32">
        <v>0</v>
      </c>
      <c r="D1111" s="32">
        <v>0</v>
      </c>
      <c r="E1111" s="19">
        <v>1</v>
      </c>
      <c r="F1111" s="19">
        <v>0</v>
      </c>
      <c r="G1111" s="33">
        <v>0</v>
      </c>
      <c r="H1111" s="32">
        <v>0</v>
      </c>
      <c r="I1111" s="32">
        <v>0</v>
      </c>
      <c r="J1111" s="16" t="s">
        <v>5067</v>
      </c>
      <c r="K1111" s="16" t="s">
        <v>5836</v>
      </c>
      <c r="L1111" s="16" t="s">
        <v>4686</v>
      </c>
    </row>
    <row r="1112" spans="1:12" ht="19.5" customHeight="1" x14ac:dyDescent="0.35">
      <c r="A1112" s="16" t="s">
        <v>3552</v>
      </c>
      <c r="B1112" s="16" t="s">
        <v>1077</v>
      </c>
      <c r="C1112" s="32">
        <v>0</v>
      </c>
      <c r="D1112" s="32">
        <v>0</v>
      </c>
      <c r="E1112" s="19">
        <v>1</v>
      </c>
      <c r="F1112" s="19">
        <v>0</v>
      </c>
      <c r="G1112" s="33">
        <v>0</v>
      </c>
      <c r="H1112" s="32">
        <v>0</v>
      </c>
      <c r="I1112" s="32">
        <v>0</v>
      </c>
      <c r="J1112" s="16" t="s">
        <v>4770</v>
      </c>
      <c r="K1112" s="16" t="s">
        <v>5837</v>
      </c>
      <c r="L1112" s="16" t="s">
        <v>4686</v>
      </c>
    </row>
    <row r="1113" spans="1:12" ht="19.5" customHeight="1" x14ac:dyDescent="0.35">
      <c r="A1113" s="16" t="s">
        <v>3553</v>
      </c>
      <c r="B1113" s="16" t="s">
        <v>963</v>
      </c>
      <c r="C1113" s="32">
        <v>0</v>
      </c>
      <c r="D1113" s="32">
        <v>0</v>
      </c>
      <c r="E1113" s="19">
        <v>1</v>
      </c>
      <c r="F1113" s="19">
        <v>0</v>
      </c>
      <c r="G1113" s="33">
        <v>0</v>
      </c>
      <c r="H1113" s="32">
        <v>0</v>
      </c>
      <c r="I1113" s="32">
        <v>0</v>
      </c>
      <c r="J1113" s="16" t="s">
        <v>4770</v>
      </c>
      <c r="K1113" s="16" t="s">
        <v>5838</v>
      </c>
      <c r="L1113" s="16" t="s">
        <v>4686</v>
      </c>
    </row>
    <row r="1114" spans="1:12" ht="19.5" customHeight="1" x14ac:dyDescent="0.35">
      <c r="A1114" s="16" t="s">
        <v>3554</v>
      </c>
      <c r="B1114" s="16" t="s">
        <v>909</v>
      </c>
      <c r="C1114" s="32">
        <v>0</v>
      </c>
      <c r="D1114" s="32">
        <v>0</v>
      </c>
      <c r="E1114" s="19">
        <v>1</v>
      </c>
      <c r="F1114" s="19">
        <v>0</v>
      </c>
      <c r="G1114" s="33">
        <v>0</v>
      </c>
      <c r="H1114" s="32">
        <v>0</v>
      </c>
      <c r="I1114" s="32">
        <v>0</v>
      </c>
      <c r="J1114" s="16" t="s">
        <v>4927</v>
      </c>
      <c r="K1114" s="16" t="s">
        <v>5839</v>
      </c>
      <c r="L1114" s="16" t="s">
        <v>4686</v>
      </c>
    </row>
    <row r="1115" spans="1:12" ht="19.5" customHeight="1" x14ac:dyDescent="0.35">
      <c r="A1115" s="16" t="s">
        <v>3555</v>
      </c>
      <c r="B1115" s="16" t="s">
        <v>1240</v>
      </c>
      <c r="C1115" s="32">
        <v>0</v>
      </c>
      <c r="D1115" s="32">
        <v>0</v>
      </c>
      <c r="E1115" s="19">
        <v>1</v>
      </c>
      <c r="F1115" s="19">
        <v>0</v>
      </c>
      <c r="G1115" s="33">
        <v>0</v>
      </c>
      <c r="H1115" s="32">
        <v>0</v>
      </c>
      <c r="I1115" s="32">
        <v>0</v>
      </c>
      <c r="J1115" s="16" t="s">
        <v>4927</v>
      </c>
      <c r="K1115" s="16" t="s">
        <v>5840</v>
      </c>
      <c r="L1115" s="16" t="s">
        <v>4686</v>
      </c>
    </row>
    <row r="1116" spans="1:12" ht="19.5" customHeight="1" x14ac:dyDescent="0.35">
      <c r="A1116" s="16" t="s">
        <v>3556</v>
      </c>
      <c r="B1116" s="16" t="s">
        <v>1817</v>
      </c>
      <c r="C1116" s="32">
        <v>0</v>
      </c>
      <c r="D1116" s="32">
        <v>0</v>
      </c>
      <c r="E1116" s="19">
        <v>1</v>
      </c>
      <c r="F1116" s="19">
        <v>0</v>
      </c>
      <c r="G1116" s="33">
        <v>0</v>
      </c>
      <c r="H1116" s="32">
        <v>0</v>
      </c>
      <c r="I1116" s="32">
        <v>0</v>
      </c>
      <c r="J1116" s="16" t="s">
        <v>5067</v>
      </c>
      <c r="K1116" s="16" t="s">
        <v>5841</v>
      </c>
      <c r="L1116" s="16" t="s">
        <v>4686</v>
      </c>
    </row>
    <row r="1117" spans="1:12" ht="19.5" customHeight="1" x14ac:dyDescent="0.35">
      <c r="A1117" s="16" t="s">
        <v>3557</v>
      </c>
      <c r="B1117" s="16" t="s">
        <v>905</v>
      </c>
      <c r="C1117" s="32">
        <v>0</v>
      </c>
      <c r="D1117" s="32">
        <v>0</v>
      </c>
      <c r="E1117" s="19">
        <v>1</v>
      </c>
      <c r="F1117" s="19">
        <v>0</v>
      </c>
      <c r="G1117" s="33">
        <v>0</v>
      </c>
      <c r="H1117" s="32">
        <v>0</v>
      </c>
      <c r="I1117" s="32">
        <v>0</v>
      </c>
      <c r="J1117" s="16" t="s">
        <v>4770</v>
      </c>
      <c r="K1117" s="16" t="s">
        <v>5842</v>
      </c>
      <c r="L1117" s="16" t="s">
        <v>4686</v>
      </c>
    </row>
    <row r="1118" spans="1:12" ht="19.5" customHeight="1" x14ac:dyDescent="0.35">
      <c r="A1118" s="16" t="s">
        <v>3558</v>
      </c>
      <c r="B1118" s="16" t="s">
        <v>921</v>
      </c>
      <c r="C1118" s="32">
        <v>0</v>
      </c>
      <c r="D1118" s="32">
        <v>0</v>
      </c>
      <c r="E1118" s="19">
        <v>1</v>
      </c>
      <c r="F1118" s="19">
        <v>0</v>
      </c>
      <c r="G1118" s="33">
        <v>0</v>
      </c>
      <c r="H1118" s="32">
        <v>0</v>
      </c>
      <c r="I1118" s="32">
        <v>0</v>
      </c>
      <c r="J1118" s="16" t="s">
        <v>5359</v>
      </c>
      <c r="K1118" s="16" t="s">
        <v>5843</v>
      </c>
      <c r="L1118" s="16" t="s">
        <v>4686</v>
      </c>
    </row>
    <row r="1119" spans="1:12" ht="19.5" customHeight="1" x14ac:dyDescent="0.35">
      <c r="A1119" s="16" t="s">
        <v>3559</v>
      </c>
      <c r="B1119" s="16" t="s">
        <v>1240</v>
      </c>
      <c r="C1119" s="32">
        <v>0</v>
      </c>
      <c r="D1119" s="32">
        <v>0</v>
      </c>
      <c r="E1119" s="19">
        <v>1</v>
      </c>
      <c r="F1119" s="19">
        <v>0</v>
      </c>
      <c r="G1119" s="33">
        <v>0</v>
      </c>
      <c r="H1119" s="32">
        <v>0</v>
      </c>
      <c r="I1119" s="32">
        <v>0</v>
      </c>
      <c r="J1119" s="16" t="s">
        <v>4927</v>
      </c>
      <c r="K1119" s="16" t="s">
        <v>5844</v>
      </c>
      <c r="L1119" s="16" t="s">
        <v>4686</v>
      </c>
    </row>
    <row r="1120" spans="1:12" ht="19.5" customHeight="1" x14ac:dyDescent="0.35">
      <c r="A1120" s="16" t="s">
        <v>3560</v>
      </c>
      <c r="B1120" s="16" t="s">
        <v>1143</v>
      </c>
      <c r="C1120" s="32">
        <v>0</v>
      </c>
      <c r="D1120" s="32">
        <v>0</v>
      </c>
      <c r="E1120" s="19">
        <v>1</v>
      </c>
      <c r="F1120" s="19">
        <v>0</v>
      </c>
      <c r="G1120" s="33">
        <v>0</v>
      </c>
      <c r="H1120" s="32">
        <v>0</v>
      </c>
      <c r="I1120" s="32">
        <v>0</v>
      </c>
      <c r="J1120" s="16" t="s">
        <v>4770</v>
      </c>
      <c r="K1120" s="16" t="s">
        <v>5845</v>
      </c>
      <c r="L1120" s="16" t="s">
        <v>4686</v>
      </c>
    </row>
    <row r="1121" spans="1:12" ht="19.5" customHeight="1" x14ac:dyDescent="0.35">
      <c r="A1121" s="16" t="s">
        <v>3561</v>
      </c>
      <c r="B1121" s="16" t="s">
        <v>1118</v>
      </c>
      <c r="C1121" s="32">
        <v>0</v>
      </c>
      <c r="D1121" s="32">
        <v>0</v>
      </c>
      <c r="E1121" s="19">
        <v>1</v>
      </c>
      <c r="F1121" s="19">
        <v>0</v>
      </c>
      <c r="G1121" s="33">
        <v>0</v>
      </c>
      <c r="H1121" s="32">
        <v>0</v>
      </c>
      <c r="I1121" s="32">
        <v>0</v>
      </c>
      <c r="J1121" s="16" t="s">
        <v>5220</v>
      </c>
      <c r="K1121" s="16" t="s">
        <v>5846</v>
      </c>
      <c r="L1121" s="16" t="s">
        <v>4686</v>
      </c>
    </row>
    <row r="1122" spans="1:12" ht="19.5" customHeight="1" x14ac:dyDescent="0.35">
      <c r="A1122" s="16" t="s">
        <v>3562</v>
      </c>
      <c r="B1122" s="16" t="s">
        <v>989</v>
      </c>
      <c r="C1122" s="32">
        <v>0</v>
      </c>
      <c r="D1122" s="32">
        <v>0</v>
      </c>
      <c r="E1122" s="19">
        <v>1</v>
      </c>
      <c r="F1122" s="19">
        <v>0</v>
      </c>
      <c r="G1122" s="33">
        <v>0</v>
      </c>
      <c r="H1122" s="32">
        <v>0</v>
      </c>
      <c r="I1122" s="32">
        <v>0</v>
      </c>
      <c r="J1122" s="16" t="s">
        <v>5099</v>
      </c>
      <c r="K1122" s="16" t="s">
        <v>5847</v>
      </c>
      <c r="L1122" s="16" t="s">
        <v>4686</v>
      </c>
    </row>
    <row r="1123" spans="1:12" ht="19.5" customHeight="1" x14ac:dyDescent="0.35">
      <c r="A1123" s="16" t="s">
        <v>3563</v>
      </c>
      <c r="B1123" s="16" t="s">
        <v>959</v>
      </c>
      <c r="C1123" s="32">
        <v>0</v>
      </c>
      <c r="D1123" s="32">
        <v>0</v>
      </c>
      <c r="E1123" s="19">
        <v>1</v>
      </c>
      <c r="F1123" s="19">
        <v>0</v>
      </c>
      <c r="G1123" s="33">
        <v>0</v>
      </c>
      <c r="H1123" s="32">
        <v>0</v>
      </c>
      <c r="I1123" s="32">
        <v>0</v>
      </c>
      <c r="J1123" s="16" t="s">
        <v>4770</v>
      </c>
      <c r="K1123" s="16" t="s">
        <v>5848</v>
      </c>
      <c r="L1123" s="16" t="s">
        <v>4686</v>
      </c>
    </row>
    <row r="1124" spans="1:12" ht="19.5" customHeight="1" x14ac:dyDescent="0.35">
      <c r="A1124" s="16" t="s">
        <v>3564</v>
      </c>
      <c r="B1124" s="16" t="s">
        <v>1494</v>
      </c>
      <c r="C1124" s="32">
        <v>0</v>
      </c>
      <c r="D1124" s="32">
        <v>0</v>
      </c>
      <c r="E1124" s="19">
        <v>1</v>
      </c>
      <c r="F1124" s="19">
        <v>0</v>
      </c>
      <c r="G1124" s="33">
        <v>0</v>
      </c>
      <c r="H1124" s="32">
        <v>0</v>
      </c>
      <c r="I1124" s="32">
        <v>0</v>
      </c>
      <c r="J1124" s="16" t="s">
        <v>5067</v>
      </c>
      <c r="K1124" s="16" t="s">
        <v>5849</v>
      </c>
      <c r="L1124" s="16" t="s">
        <v>4686</v>
      </c>
    </row>
    <row r="1125" spans="1:12" ht="19.5" customHeight="1" x14ac:dyDescent="0.35">
      <c r="A1125" s="16" t="s">
        <v>3565</v>
      </c>
      <c r="B1125" s="16" t="s">
        <v>898</v>
      </c>
      <c r="C1125" s="32">
        <v>0</v>
      </c>
      <c r="D1125" s="32">
        <v>0</v>
      </c>
      <c r="E1125" s="19">
        <v>1</v>
      </c>
      <c r="F1125" s="19">
        <v>0</v>
      </c>
      <c r="G1125" s="33">
        <v>0</v>
      </c>
      <c r="H1125" s="32">
        <v>0</v>
      </c>
      <c r="I1125" s="32">
        <v>0</v>
      </c>
      <c r="J1125" s="16" t="s">
        <v>5067</v>
      </c>
      <c r="K1125" s="16" t="s">
        <v>5850</v>
      </c>
      <c r="L1125" s="16" t="s">
        <v>4686</v>
      </c>
    </row>
    <row r="1126" spans="1:12" ht="19.5" customHeight="1" x14ac:dyDescent="0.35">
      <c r="A1126" s="16" t="s">
        <v>3566</v>
      </c>
      <c r="B1126" s="16" t="s">
        <v>1084</v>
      </c>
      <c r="C1126" s="32">
        <v>0</v>
      </c>
      <c r="D1126" s="32">
        <v>0</v>
      </c>
      <c r="E1126" s="19">
        <v>1</v>
      </c>
      <c r="F1126" s="19">
        <v>0</v>
      </c>
      <c r="G1126" s="33">
        <v>0</v>
      </c>
      <c r="H1126" s="32">
        <v>0</v>
      </c>
      <c r="I1126" s="32">
        <v>0</v>
      </c>
      <c r="J1126" s="16" t="s">
        <v>4770</v>
      </c>
      <c r="K1126" s="16" t="s">
        <v>5851</v>
      </c>
      <c r="L1126" s="16" t="s">
        <v>4686</v>
      </c>
    </row>
    <row r="1127" spans="1:12" ht="19.5" customHeight="1" x14ac:dyDescent="0.35">
      <c r="A1127" s="16" t="s">
        <v>3567</v>
      </c>
      <c r="B1127" s="16" t="s">
        <v>2971</v>
      </c>
      <c r="C1127" s="32">
        <v>0</v>
      </c>
      <c r="D1127" s="32">
        <v>0</v>
      </c>
      <c r="E1127" s="19">
        <v>1</v>
      </c>
      <c r="F1127" s="19">
        <v>0</v>
      </c>
      <c r="G1127" s="33">
        <v>0</v>
      </c>
      <c r="H1127" s="32">
        <v>0</v>
      </c>
      <c r="I1127" s="32">
        <v>0</v>
      </c>
      <c r="J1127" s="16" t="s">
        <v>5067</v>
      </c>
      <c r="K1127" s="16" t="s">
        <v>5852</v>
      </c>
      <c r="L1127" s="16" t="s">
        <v>4871</v>
      </c>
    </row>
    <row r="1128" spans="1:12" ht="19.5" customHeight="1" x14ac:dyDescent="0.35">
      <c r="A1128" s="16" t="s">
        <v>3568</v>
      </c>
      <c r="B1128" s="16" t="s">
        <v>959</v>
      </c>
      <c r="C1128" s="32">
        <v>0</v>
      </c>
      <c r="D1128" s="32">
        <v>0</v>
      </c>
      <c r="E1128" s="19">
        <v>1</v>
      </c>
      <c r="F1128" s="19">
        <v>0</v>
      </c>
      <c r="G1128" s="33">
        <v>0</v>
      </c>
      <c r="H1128" s="32">
        <v>0</v>
      </c>
      <c r="I1128" s="32">
        <v>0</v>
      </c>
      <c r="J1128" s="16" t="s">
        <v>4770</v>
      </c>
      <c r="K1128" s="16" t="s">
        <v>5853</v>
      </c>
      <c r="L1128" s="16" t="s">
        <v>4871</v>
      </c>
    </row>
    <row r="1129" spans="1:12" ht="19.5" customHeight="1" x14ac:dyDescent="0.35">
      <c r="A1129" s="16" t="s">
        <v>3569</v>
      </c>
      <c r="B1129" s="16" t="s">
        <v>905</v>
      </c>
      <c r="C1129" s="32">
        <v>0</v>
      </c>
      <c r="D1129" s="32">
        <v>0</v>
      </c>
      <c r="E1129" s="19">
        <v>1</v>
      </c>
      <c r="F1129" s="19">
        <v>0</v>
      </c>
      <c r="G1129" s="33">
        <v>0</v>
      </c>
      <c r="H1129" s="32">
        <v>0</v>
      </c>
      <c r="I1129" s="32">
        <v>0</v>
      </c>
      <c r="J1129" s="16" t="s">
        <v>5220</v>
      </c>
      <c r="K1129" s="16" t="s">
        <v>5854</v>
      </c>
      <c r="L1129" s="16" t="s">
        <v>4871</v>
      </c>
    </row>
    <row r="1130" spans="1:12" ht="19.5" customHeight="1" x14ac:dyDescent="0.35">
      <c r="A1130" s="16" t="s">
        <v>3570</v>
      </c>
      <c r="B1130" s="16" t="s">
        <v>1077</v>
      </c>
      <c r="C1130" s="32">
        <v>0</v>
      </c>
      <c r="D1130" s="32">
        <v>0</v>
      </c>
      <c r="E1130" s="19">
        <v>1</v>
      </c>
      <c r="F1130" s="19">
        <v>0</v>
      </c>
      <c r="G1130" s="33">
        <v>0</v>
      </c>
      <c r="H1130" s="32">
        <v>0</v>
      </c>
      <c r="I1130" s="32">
        <v>0</v>
      </c>
      <c r="J1130" s="16" t="s">
        <v>4770</v>
      </c>
      <c r="K1130" s="16" t="s">
        <v>5855</v>
      </c>
      <c r="L1130" s="16" t="s">
        <v>4871</v>
      </c>
    </row>
    <row r="1131" spans="1:12" ht="19.5" customHeight="1" x14ac:dyDescent="0.35">
      <c r="A1131" s="16" t="s">
        <v>3571</v>
      </c>
      <c r="B1131" s="16" t="s">
        <v>909</v>
      </c>
      <c r="C1131" s="32">
        <v>0</v>
      </c>
      <c r="D1131" s="32">
        <v>0</v>
      </c>
      <c r="E1131" s="19">
        <v>1</v>
      </c>
      <c r="F1131" s="19">
        <v>0</v>
      </c>
      <c r="G1131" s="33">
        <v>0</v>
      </c>
      <c r="H1131" s="32">
        <v>0</v>
      </c>
      <c r="I1131" s="32">
        <v>0</v>
      </c>
      <c r="J1131" s="16" t="s">
        <v>4770</v>
      </c>
      <c r="K1131" s="16" t="s">
        <v>5856</v>
      </c>
      <c r="L1131" s="16" t="s">
        <v>4871</v>
      </c>
    </row>
    <row r="1132" spans="1:12" ht="19.5" customHeight="1" x14ac:dyDescent="0.35">
      <c r="A1132" s="16" t="s">
        <v>3572</v>
      </c>
      <c r="B1132" s="16" t="s">
        <v>1101</v>
      </c>
      <c r="C1132" s="32">
        <v>0</v>
      </c>
      <c r="D1132" s="32">
        <v>0</v>
      </c>
      <c r="E1132" s="19">
        <v>1</v>
      </c>
      <c r="F1132" s="19">
        <v>0</v>
      </c>
      <c r="G1132" s="33">
        <v>0</v>
      </c>
      <c r="H1132" s="32">
        <v>0</v>
      </c>
      <c r="I1132" s="32">
        <v>0</v>
      </c>
      <c r="J1132" s="16" t="s">
        <v>4684</v>
      </c>
      <c r="K1132" s="16" t="s">
        <v>5857</v>
      </c>
      <c r="L1132" s="16" t="s">
        <v>4871</v>
      </c>
    </row>
    <row r="1133" spans="1:12" ht="19.5" customHeight="1" x14ac:dyDescent="0.35">
      <c r="A1133" s="16" t="s">
        <v>3573</v>
      </c>
      <c r="B1133" s="16" t="s">
        <v>1077</v>
      </c>
      <c r="C1133" s="32">
        <v>0</v>
      </c>
      <c r="D1133" s="32">
        <v>0</v>
      </c>
      <c r="E1133" s="19">
        <v>1</v>
      </c>
      <c r="F1133" s="19">
        <v>0</v>
      </c>
      <c r="G1133" s="33">
        <v>0</v>
      </c>
      <c r="H1133" s="32">
        <v>0</v>
      </c>
      <c r="I1133" s="32">
        <v>0</v>
      </c>
      <c r="J1133" s="16" t="s">
        <v>4770</v>
      </c>
      <c r="K1133" s="16" t="s">
        <v>5858</v>
      </c>
      <c r="L1133" s="16" t="s">
        <v>4871</v>
      </c>
    </row>
    <row r="1134" spans="1:12" ht="19.5" customHeight="1" x14ac:dyDescent="0.35">
      <c r="A1134" s="16" t="s">
        <v>3574</v>
      </c>
      <c r="B1134" s="16" t="s">
        <v>921</v>
      </c>
      <c r="C1134" s="32">
        <v>0</v>
      </c>
      <c r="D1134" s="32">
        <v>0</v>
      </c>
      <c r="E1134" s="19">
        <v>1</v>
      </c>
      <c r="F1134" s="19">
        <v>1</v>
      </c>
      <c r="G1134" s="33">
        <v>1</v>
      </c>
      <c r="H1134" s="32">
        <v>0</v>
      </c>
      <c r="I1134" s="32">
        <v>0</v>
      </c>
      <c r="J1134" s="16" t="s">
        <v>4927</v>
      </c>
      <c r="K1134" s="16" t="s">
        <v>5859</v>
      </c>
      <c r="L1134" s="16" t="s">
        <v>4871</v>
      </c>
    </row>
    <row r="1135" spans="1:12" ht="19.5" customHeight="1" x14ac:dyDescent="0.35">
      <c r="A1135" s="16" t="s">
        <v>3575</v>
      </c>
      <c r="B1135" s="16" t="s">
        <v>921</v>
      </c>
      <c r="C1135" s="32">
        <v>0</v>
      </c>
      <c r="D1135" s="32">
        <v>0</v>
      </c>
      <c r="E1135" s="19">
        <v>1</v>
      </c>
      <c r="F1135" s="19">
        <v>0</v>
      </c>
      <c r="G1135" s="33">
        <v>0</v>
      </c>
      <c r="H1135" s="32">
        <v>0</v>
      </c>
      <c r="I1135" s="32">
        <v>0</v>
      </c>
      <c r="J1135" s="16" t="s">
        <v>5220</v>
      </c>
      <c r="K1135" s="16" t="s">
        <v>5221</v>
      </c>
      <c r="L1135" s="16" t="s">
        <v>4871</v>
      </c>
    </row>
    <row r="1136" spans="1:12" ht="19.5" customHeight="1" x14ac:dyDescent="0.35">
      <c r="A1136" s="16" t="s">
        <v>3576</v>
      </c>
      <c r="B1136" s="16" t="s">
        <v>1143</v>
      </c>
      <c r="C1136" s="32">
        <v>0</v>
      </c>
      <c r="D1136" s="32">
        <v>0</v>
      </c>
      <c r="E1136" s="19">
        <v>1</v>
      </c>
      <c r="F1136" s="19">
        <v>1</v>
      </c>
      <c r="G1136" s="33">
        <v>1</v>
      </c>
      <c r="H1136" s="32">
        <v>0</v>
      </c>
      <c r="I1136" s="32">
        <v>0</v>
      </c>
      <c r="J1136" s="16" t="s">
        <v>4770</v>
      </c>
      <c r="K1136" s="16" t="s">
        <v>5860</v>
      </c>
      <c r="L1136" s="16" t="s">
        <v>4871</v>
      </c>
    </row>
    <row r="1137" spans="1:12" ht="19.5" customHeight="1" x14ac:dyDescent="0.35">
      <c r="A1137" s="16" t="s">
        <v>3577</v>
      </c>
      <c r="B1137" s="16" t="s">
        <v>946</v>
      </c>
      <c r="C1137" s="32">
        <v>0</v>
      </c>
      <c r="D1137" s="32">
        <v>0</v>
      </c>
      <c r="E1137" s="19">
        <v>1</v>
      </c>
      <c r="F1137" s="19">
        <v>0</v>
      </c>
      <c r="G1137" s="33">
        <v>0</v>
      </c>
      <c r="H1137" s="32">
        <v>0</v>
      </c>
      <c r="I1137" s="32">
        <v>0</v>
      </c>
      <c r="J1137" s="16" t="s">
        <v>5316</v>
      </c>
      <c r="K1137" s="16" t="s">
        <v>5861</v>
      </c>
      <c r="L1137" s="16" t="s">
        <v>4871</v>
      </c>
    </row>
    <row r="1138" spans="1:12" ht="19.5" customHeight="1" x14ac:dyDescent="0.35">
      <c r="A1138" s="16" t="s">
        <v>3578</v>
      </c>
      <c r="B1138" s="16" t="s">
        <v>1009</v>
      </c>
      <c r="C1138" s="32">
        <v>0</v>
      </c>
      <c r="D1138" s="32">
        <v>0</v>
      </c>
      <c r="E1138" s="19">
        <v>1</v>
      </c>
      <c r="F1138" s="19">
        <v>0</v>
      </c>
      <c r="G1138" s="33">
        <v>0</v>
      </c>
      <c r="H1138" s="32">
        <v>0</v>
      </c>
      <c r="I1138" s="32">
        <v>0</v>
      </c>
      <c r="J1138" s="16" t="s">
        <v>4927</v>
      </c>
      <c r="K1138" s="16" t="s">
        <v>5862</v>
      </c>
      <c r="L1138" s="16" t="s">
        <v>4871</v>
      </c>
    </row>
    <row r="1139" spans="1:12" ht="19.5" customHeight="1" x14ac:dyDescent="0.35">
      <c r="A1139" s="16" t="s">
        <v>3579</v>
      </c>
      <c r="B1139" s="16" t="s">
        <v>909</v>
      </c>
      <c r="C1139" s="32">
        <v>0</v>
      </c>
      <c r="D1139" s="32">
        <v>0</v>
      </c>
      <c r="E1139" s="19">
        <v>1</v>
      </c>
      <c r="F1139" s="19">
        <v>0</v>
      </c>
      <c r="G1139" s="33">
        <v>0</v>
      </c>
      <c r="H1139" s="32">
        <v>0</v>
      </c>
      <c r="I1139" s="32">
        <v>0</v>
      </c>
      <c r="J1139" s="16" t="s">
        <v>4927</v>
      </c>
      <c r="K1139" s="16" t="s">
        <v>5863</v>
      </c>
      <c r="L1139" s="16" t="s">
        <v>4871</v>
      </c>
    </row>
    <row r="1140" spans="1:12" ht="19.5" customHeight="1" x14ac:dyDescent="0.35">
      <c r="A1140" s="16" t="s">
        <v>3580</v>
      </c>
      <c r="B1140" s="16" t="s">
        <v>1240</v>
      </c>
      <c r="C1140" s="32">
        <v>0</v>
      </c>
      <c r="D1140" s="32">
        <v>0</v>
      </c>
      <c r="E1140" s="19">
        <v>1</v>
      </c>
      <c r="F1140" s="19">
        <v>0</v>
      </c>
      <c r="G1140" s="33">
        <v>0</v>
      </c>
      <c r="H1140" s="32">
        <v>0</v>
      </c>
      <c r="I1140" s="32">
        <v>0</v>
      </c>
      <c r="J1140" s="16" t="s">
        <v>5067</v>
      </c>
      <c r="K1140" s="16" t="s">
        <v>5864</v>
      </c>
      <c r="L1140" s="16" t="s">
        <v>4871</v>
      </c>
    </row>
    <row r="1141" spans="1:12" ht="19.5" customHeight="1" x14ac:dyDescent="0.35">
      <c r="A1141" s="16" t="s">
        <v>3581</v>
      </c>
      <c r="B1141" s="16" t="s">
        <v>909</v>
      </c>
      <c r="C1141" s="32">
        <v>0</v>
      </c>
      <c r="D1141" s="32">
        <v>0</v>
      </c>
      <c r="E1141" s="19">
        <v>1</v>
      </c>
      <c r="F1141" s="19">
        <v>0</v>
      </c>
      <c r="G1141" s="33">
        <v>0</v>
      </c>
      <c r="H1141" s="32">
        <v>0</v>
      </c>
      <c r="I1141" s="32">
        <v>0</v>
      </c>
      <c r="J1141" s="16" t="s">
        <v>5306</v>
      </c>
      <c r="K1141" s="16" t="s">
        <v>5865</v>
      </c>
      <c r="L1141" s="16" t="s">
        <v>4871</v>
      </c>
    </row>
    <row r="1142" spans="1:12" ht="19.5" customHeight="1" x14ac:dyDescent="0.35">
      <c r="A1142" s="16" t="s">
        <v>3582</v>
      </c>
      <c r="B1142" s="16" t="s">
        <v>1050</v>
      </c>
      <c r="C1142" s="32">
        <v>0</v>
      </c>
      <c r="D1142" s="32">
        <v>0</v>
      </c>
      <c r="E1142" s="19">
        <v>1</v>
      </c>
      <c r="F1142" s="19">
        <v>0</v>
      </c>
      <c r="G1142" s="33">
        <v>0</v>
      </c>
      <c r="H1142" s="32">
        <v>0</v>
      </c>
      <c r="I1142" s="32">
        <v>0</v>
      </c>
      <c r="J1142" s="16" t="s">
        <v>4684</v>
      </c>
      <c r="K1142" s="16" t="s">
        <v>5866</v>
      </c>
      <c r="L1142" s="16" t="s">
        <v>4871</v>
      </c>
    </row>
    <row r="1143" spans="1:12" ht="19.5" customHeight="1" x14ac:dyDescent="0.35">
      <c r="A1143" s="16" t="s">
        <v>3583</v>
      </c>
      <c r="B1143" s="16" t="s">
        <v>963</v>
      </c>
      <c r="C1143" s="32">
        <v>0</v>
      </c>
      <c r="D1143" s="32">
        <v>0</v>
      </c>
      <c r="E1143" s="19">
        <v>1</v>
      </c>
      <c r="F1143" s="19">
        <v>0</v>
      </c>
      <c r="G1143" s="33">
        <v>0</v>
      </c>
      <c r="H1143" s="32">
        <v>0</v>
      </c>
      <c r="I1143" s="32">
        <v>0</v>
      </c>
      <c r="J1143" s="16" t="s">
        <v>4770</v>
      </c>
      <c r="K1143" s="16" t="s">
        <v>5867</v>
      </c>
      <c r="L1143" s="16" t="s">
        <v>4871</v>
      </c>
    </row>
    <row r="1144" spans="1:12" ht="19.5" customHeight="1" x14ac:dyDescent="0.35">
      <c r="A1144" s="16" t="s">
        <v>3584</v>
      </c>
      <c r="B1144" s="16" t="s">
        <v>1077</v>
      </c>
      <c r="C1144" s="32">
        <v>0</v>
      </c>
      <c r="D1144" s="32">
        <v>0</v>
      </c>
      <c r="E1144" s="19">
        <v>1</v>
      </c>
      <c r="F1144" s="19">
        <v>0</v>
      </c>
      <c r="G1144" s="33">
        <v>0</v>
      </c>
      <c r="H1144" s="32">
        <v>0</v>
      </c>
      <c r="I1144" s="32">
        <v>0</v>
      </c>
      <c r="J1144" s="16" t="s">
        <v>5220</v>
      </c>
      <c r="K1144" s="16" t="s">
        <v>5868</v>
      </c>
      <c r="L1144" s="16" t="s">
        <v>4871</v>
      </c>
    </row>
    <row r="1145" spans="1:12" ht="19.5" customHeight="1" x14ac:dyDescent="0.35">
      <c r="A1145" s="16" t="s">
        <v>3585</v>
      </c>
      <c r="B1145" s="16" t="s">
        <v>921</v>
      </c>
      <c r="C1145" s="32">
        <v>0</v>
      </c>
      <c r="D1145" s="32">
        <v>0</v>
      </c>
      <c r="E1145" s="19">
        <v>1</v>
      </c>
      <c r="F1145" s="19">
        <v>0</v>
      </c>
      <c r="G1145" s="33">
        <v>0</v>
      </c>
      <c r="H1145" s="32">
        <v>0</v>
      </c>
      <c r="I1145" s="32">
        <v>0</v>
      </c>
      <c r="J1145" s="16" t="s">
        <v>5220</v>
      </c>
      <c r="K1145" s="16" t="s">
        <v>5869</v>
      </c>
      <c r="L1145" s="16" t="s">
        <v>4871</v>
      </c>
    </row>
    <row r="1146" spans="1:12" ht="19.5" customHeight="1" x14ac:dyDescent="0.35">
      <c r="A1146" s="16" t="s">
        <v>3586</v>
      </c>
      <c r="B1146" s="16" t="s">
        <v>921</v>
      </c>
      <c r="C1146" s="32">
        <v>0</v>
      </c>
      <c r="D1146" s="32">
        <v>0</v>
      </c>
      <c r="E1146" s="19">
        <v>1</v>
      </c>
      <c r="F1146" s="19">
        <v>0</v>
      </c>
      <c r="G1146" s="33">
        <v>0</v>
      </c>
      <c r="H1146" s="32">
        <v>0</v>
      </c>
      <c r="I1146" s="32">
        <v>0</v>
      </c>
      <c r="J1146" s="16" t="s">
        <v>5220</v>
      </c>
      <c r="K1146" s="16" t="s">
        <v>5870</v>
      </c>
      <c r="L1146" s="16" t="s">
        <v>4871</v>
      </c>
    </row>
    <row r="1147" spans="1:12" ht="19.5" customHeight="1" x14ac:dyDescent="0.35">
      <c r="A1147" s="16" t="s">
        <v>3587</v>
      </c>
      <c r="B1147" s="16" t="s">
        <v>1122</v>
      </c>
      <c r="C1147" s="32">
        <v>0</v>
      </c>
      <c r="D1147" s="32">
        <v>0</v>
      </c>
      <c r="E1147" s="19">
        <v>1</v>
      </c>
      <c r="F1147" s="19">
        <v>0</v>
      </c>
      <c r="G1147" s="33">
        <v>0</v>
      </c>
      <c r="H1147" s="32">
        <v>0</v>
      </c>
      <c r="I1147" s="32">
        <v>0</v>
      </c>
      <c r="J1147" s="16" t="s">
        <v>4770</v>
      </c>
      <c r="K1147" s="16" t="s">
        <v>5871</v>
      </c>
      <c r="L1147" s="16" t="s">
        <v>4871</v>
      </c>
    </row>
    <row r="1148" spans="1:12" ht="19.5" customHeight="1" x14ac:dyDescent="0.35">
      <c r="A1148" s="16" t="s">
        <v>3588</v>
      </c>
      <c r="B1148" s="16" t="s">
        <v>1240</v>
      </c>
      <c r="C1148" s="32">
        <v>0</v>
      </c>
      <c r="D1148" s="32">
        <v>0</v>
      </c>
      <c r="E1148" s="19">
        <v>1</v>
      </c>
      <c r="F1148" s="19">
        <v>0</v>
      </c>
      <c r="G1148" s="33">
        <v>0</v>
      </c>
      <c r="H1148" s="32">
        <v>0</v>
      </c>
      <c r="I1148" s="32">
        <v>0</v>
      </c>
      <c r="J1148" s="16" t="s">
        <v>4684</v>
      </c>
      <c r="K1148" s="16" t="s">
        <v>5872</v>
      </c>
      <c r="L1148" s="16" t="s">
        <v>4871</v>
      </c>
    </row>
    <row r="1149" spans="1:12" ht="19.5" customHeight="1" x14ac:dyDescent="0.35">
      <c r="A1149" s="16" t="s">
        <v>3589</v>
      </c>
      <c r="B1149" s="16" t="s">
        <v>1009</v>
      </c>
      <c r="C1149" s="32">
        <v>0</v>
      </c>
      <c r="D1149" s="32">
        <v>0</v>
      </c>
      <c r="E1149" s="19">
        <v>1</v>
      </c>
      <c r="F1149" s="19">
        <v>0</v>
      </c>
      <c r="G1149" s="33">
        <v>0</v>
      </c>
      <c r="H1149" s="32">
        <v>0</v>
      </c>
      <c r="I1149" s="32">
        <v>0</v>
      </c>
      <c r="J1149" s="16" t="s">
        <v>4927</v>
      </c>
      <c r="K1149" s="16" t="s">
        <v>5873</v>
      </c>
      <c r="L1149" s="16" t="s">
        <v>4871</v>
      </c>
    </row>
    <row r="1150" spans="1:12" ht="19.5" customHeight="1" x14ac:dyDescent="0.35">
      <c r="A1150" s="16" t="s">
        <v>3590</v>
      </c>
      <c r="B1150" s="16" t="s">
        <v>3591</v>
      </c>
      <c r="C1150" s="32">
        <v>0</v>
      </c>
      <c r="D1150" s="32">
        <v>0</v>
      </c>
      <c r="E1150" s="19">
        <v>1</v>
      </c>
      <c r="F1150" s="19">
        <v>0</v>
      </c>
      <c r="G1150" s="33">
        <v>0</v>
      </c>
      <c r="H1150" s="32">
        <v>0</v>
      </c>
      <c r="I1150" s="32">
        <v>0</v>
      </c>
      <c r="J1150" s="16" t="s">
        <v>4770</v>
      </c>
      <c r="K1150" s="16" t="s">
        <v>5874</v>
      </c>
      <c r="L1150" s="16" t="s">
        <v>4871</v>
      </c>
    </row>
    <row r="1151" spans="1:12" ht="19.5" customHeight="1" x14ac:dyDescent="0.35">
      <c r="A1151" s="16" t="s">
        <v>3592</v>
      </c>
      <c r="B1151" s="16" t="s">
        <v>1240</v>
      </c>
      <c r="C1151" s="32">
        <v>0</v>
      </c>
      <c r="D1151" s="32">
        <v>0</v>
      </c>
      <c r="E1151" s="19">
        <v>1</v>
      </c>
      <c r="F1151" s="19">
        <v>0</v>
      </c>
      <c r="G1151" s="33">
        <v>0</v>
      </c>
      <c r="H1151" s="32">
        <v>0</v>
      </c>
      <c r="I1151" s="32">
        <v>0</v>
      </c>
      <c r="J1151" s="16" t="s">
        <v>4684</v>
      </c>
      <c r="K1151" s="16" t="s">
        <v>5875</v>
      </c>
      <c r="L1151" s="16" t="s">
        <v>4871</v>
      </c>
    </row>
    <row r="1152" spans="1:12" ht="19.5" customHeight="1" x14ac:dyDescent="0.35">
      <c r="A1152" s="16" t="s">
        <v>3593</v>
      </c>
      <c r="B1152" s="16" t="s">
        <v>909</v>
      </c>
      <c r="C1152" s="32">
        <v>0</v>
      </c>
      <c r="D1152" s="32">
        <v>0</v>
      </c>
      <c r="E1152" s="19">
        <v>1</v>
      </c>
      <c r="F1152" s="19">
        <v>0</v>
      </c>
      <c r="G1152" s="33">
        <v>0</v>
      </c>
      <c r="H1152" s="32">
        <v>0</v>
      </c>
      <c r="I1152" s="32">
        <v>0</v>
      </c>
      <c r="J1152" s="16" t="s">
        <v>5099</v>
      </c>
      <c r="K1152" s="16" t="s">
        <v>5876</v>
      </c>
      <c r="L1152" s="16" t="s">
        <v>4871</v>
      </c>
    </row>
    <row r="1153" spans="1:12" ht="19.5" customHeight="1" x14ac:dyDescent="0.35">
      <c r="A1153" s="16" t="s">
        <v>3594</v>
      </c>
      <c r="B1153" s="16" t="s">
        <v>2971</v>
      </c>
      <c r="C1153" s="32">
        <v>0</v>
      </c>
      <c r="D1153" s="32">
        <v>0</v>
      </c>
      <c r="E1153" s="19">
        <v>1</v>
      </c>
      <c r="F1153" s="19">
        <v>0</v>
      </c>
      <c r="G1153" s="33">
        <v>0</v>
      </c>
      <c r="H1153" s="32">
        <v>0</v>
      </c>
      <c r="I1153" s="32">
        <v>0</v>
      </c>
      <c r="J1153" s="16" t="s">
        <v>4770</v>
      </c>
      <c r="K1153" s="16" t="s">
        <v>5877</v>
      </c>
      <c r="L1153" s="16" t="s">
        <v>4871</v>
      </c>
    </row>
    <row r="1154" spans="1:12" ht="19.5" customHeight="1" x14ac:dyDescent="0.35">
      <c r="A1154" s="16" t="s">
        <v>3595</v>
      </c>
      <c r="B1154" s="16" t="s">
        <v>1077</v>
      </c>
      <c r="C1154" s="32">
        <v>0</v>
      </c>
      <c r="D1154" s="32">
        <v>0</v>
      </c>
      <c r="E1154" s="19">
        <v>1</v>
      </c>
      <c r="F1154" s="19">
        <v>0</v>
      </c>
      <c r="G1154" s="33">
        <v>0</v>
      </c>
      <c r="H1154" s="32">
        <v>0</v>
      </c>
      <c r="I1154" s="32">
        <v>0</v>
      </c>
      <c r="J1154" s="16" t="s">
        <v>4770</v>
      </c>
      <c r="K1154" s="16" t="s">
        <v>5878</v>
      </c>
      <c r="L1154" s="16" t="s">
        <v>4871</v>
      </c>
    </row>
    <row r="1155" spans="1:12" ht="19.5" customHeight="1" x14ac:dyDescent="0.35">
      <c r="A1155" s="16" t="s">
        <v>3596</v>
      </c>
      <c r="B1155" s="16" t="s">
        <v>1817</v>
      </c>
      <c r="C1155" s="32">
        <v>0</v>
      </c>
      <c r="D1155" s="32">
        <v>0</v>
      </c>
      <c r="E1155" s="19">
        <v>1</v>
      </c>
      <c r="F1155" s="19">
        <v>0</v>
      </c>
      <c r="G1155" s="33">
        <v>0</v>
      </c>
      <c r="H1155" s="32">
        <v>0</v>
      </c>
      <c r="I1155" s="32">
        <v>0</v>
      </c>
      <c r="J1155" s="16" t="s">
        <v>4927</v>
      </c>
      <c r="K1155" s="16" t="s">
        <v>5879</v>
      </c>
      <c r="L1155" s="16" t="s">
        <v>4871</v>
      </c>
    </row>
    <row r="1156" spans="1:12" ht="19.5" customHeight="1" x14ac:dyDescent="0.35">
      <c r="A1156" s="16" t="s">
        <v>3597</v>
      </c>
      <c r="B1156" s="16" t="s">
        <v>909</v>
      </c>
      <c r="C1156" s="32">
        <v>0</v>
      </c>
      <c r="D1156" s="32">
        <v>0</v>
      </c>
      <c r="E1156" s="19">
        <v>1</v>
      </c>
      <c r="F1156" s="19">
        <v>0</v>
      </c>
      <c r="G1156" s="33">
        <v>0</v>
      </c>
      <c r="H1156" s="32">
        <v>0</v>
      </c>
      <c r="I1156" s="32">
        <v>0</v>
      </c>
      <c r="J1156" s="16" t="s">
        <v>4770</v>
      </c>
      <c r="K1156" s="16" t="s">
        <v>5880</v>
      </c>
      <c r="L1156" s="16" t="s">
        <v>4871</v>
      </c>
    </row>
    <row r="1157" spans="1:12" ht="19.5" customHeight="1" x14ac:dyDescent="0.35">
      <c r="A1157" s="16" t="s">
        <v>3598</v>
      </c>
      <c r="B1157" s="16" t="s">
        <v>1077</v>
      </c>
      <c r="C1157" s="32">
        <v>0</v>
      </c>
      <c r="D1157" s="32">
        <v>0</v>
      </c>
      <c r="E1157" s="19">
        <v>1</v>
      </c>
      <c r="F1157" s="19">
        <v>0</v>
      </c>
      <c r="G1157" s="33">
        <v>0</v>
      </c>
      <c r="H1157" s="32">
        <v>0</v>
      </c>
      <c r="I1157" s="32">
        <v>0</v>
      </c>
      <c r="J1157" s="16" t="s">
        <v>5178</v>
      </c>
      <c r="K1157" s="16" t="s">
        <v>5881</v>
      </c>
      <c r="L1157" s="16" t="s">
        <v>4871</v>
      </c>
    </row>
    <row r="1158" spans="1:12" ht="19.5" customHeight="1" x14ac:dyDescent="0.35">
      <c r="A1158" s="16" t="s">
        <v>3599</v>
      </c>
      <c r="B1158" s="16" t="s">
        <v>1077</v>
      </c>
      <c r="C1158" s="32">
        <v>0</v>
      </c>
      <c r="D1158" s="32">
        <v>0</v>
      </c>
      <c r="E1158" s="19">
        <v>1</v>
      </c>
      <c r="F1158" s="19">
        <v>0</v>
      </c>
      <c r="G1158" s="33">
        <v>0</v>
      </c>
      <c r="H1158" s="32">
        <v>0</v>
      </c>
      <c r="I1158" s="32">
        <v>0</v>
      </c>
      <c r="J1158" s="16" t="s">
        <v>4770</v>
      </c>
      <c r="K1158" s="16" t="s">
        <v>5882</v>
      </c>
      <c r="L1158" s="16" t="s">
        <v>4871</v>
      </c>
    </row>
    <row r="1159" spans="1:12" ht="19.5" customHeight="1" x14ac:dyDescent="0.35">
      <c r="A1159" s="16" t="s">
        <v>3600</v>
      </c>
      <c r="B1159" s="16" t="s">
        <v>959</v>
      </c>
      <c r="C1159" s="32">
        <v>0</v>
      </c>
      <c r="D1159" s="32">
        <v>0</v>
      </c>
      <c r="E1159" s="19">
        <v>1</v>
      </c>
      <c r="F1159" s="19">
        <v>0</v>
      </c>
      <c r="G1159" s="33">
        <v>0</v>
      </c>
      <c r="H1159" s="32">
        <v>0</v>
      </c>
      <c r="I1159" s="32">
        <v>0</v>
      </c>
      <c r="J1159" s="16" t="s">
        <v>4684</v>
      </c>
      <c r="K1159" s="16" t="s">
        <v>5883</v>
      </c>
      <c r="L1159" s="16" t="s">
        <v>4871</v>
      </c>
    </row>
    <row r="1160" spans="1:12" ht="19.5" customHeight="1" x14ac:dyDescent="0.35">
      <c r="A1160" s="16" t="s">
        <v>3601</v>
      </c>
      <c r="B1160" s="16" t="s">
        <v>1077</v>
      </c>
      <c r="C1160" s="32">
        <v>0</v>
      </c>
      <c r="D1160" s="32">
        <v>0</v>
      </c>
      <c r="E1160" s="19">
        <v>1</v>
      </c>
      <c r="F1160" s="19">
        <v>0</v>
      </c>
      <c r="G1160" s="33">
        <v>0</v>
      </c>
      <c r="H1160" s="32">
        <v>0</v>
      </c>
      <c r="I1160" s="32">
        <v>0</v>
      </c>
      <c r="J1160" s="16" t="s">
        <v>4770</v>
      </c>
      <c r="K1160" s="16" t="s">
        <v>5884</v>
      </c>
      <c r="L1160" s="16" t="s">
        <v>4871</v>
      </c>
    </row>
    <row r="1161" spans="1:12" ht="19.5" customHeight="1" x14ac:dyDescent="0.35">
      <c r="A1161" s="16" t="s">
        <v>3602</v>
      </c>
      <c r="B1161" s="16" t="s">
        <v>1143</v>
      </c>
      <c r="C1161" s="32">
        <v>0</v>
      </c>
      <c r="D1161" s="32">
        <v>0</v>
      </c>
      <c r="E1161" s="19">
        <v>1</v>
      </c>
      <c r="F1161" s="19">
        <v>0</v>
      </c>
      <c r="G1161" s="33">
        <v>0</v>
      </c>
      <c r="H1161" s="32">
        <v>0</v>
      </c>
      <c r="I1161" s="32">
        <v>0</v>
      </c>
      <c r="J1161" s="16" t="s">
        <v>4770</v>
      </c>
      <c r="K1161" s="16" t="s">
        <v>5845</v>
      </c>
      <c r="L1161" s="16" t="s">
        <v>4871</v>
      </c>
    </row>
    <row r="1162" spans="1:12" ht="19.5" customHeight="1" x14ac:dyDescent="0.35">
      <c r="A1162" s="16" t="s">
        <v>3603</v>
      </c>
      <c r="B1162" s="16" t="s">
        <v>905</v>
      </c>
      <c r="C1162" s="32">
        <v>0</v>
      </c>
      <c r="D1162" s="32">
        <v>0</v>
      </c>
      <c r="E1162" s="19">
        <v>1</v>
      </c>
      <c r="F1162" s="19">
        <v>0</v>
      </c>
      <c r="G1162" s="33">
        <v>0</v>
      </c>
      <c r="H1162" s="32">
        <v>0</v>
      </c>
      <c r="I1162" s="32">
        <v>0</v>
      </c>
      <c r="J1162" s="16" t="s">
        <v>4770</v>
      </c>
      <c r="K1162" s="16" t="s">
        <v>5885</v>
      </c>
      <c r="L1162" s="16" t="s">
        <v>4871</v>
      </c>
    </row>
    <row r="1163" spans="1:12" ht="19.5" customHeight="1" x14ac:dyDescent="0.35">
      <c r="A1163" s="16" t="s">
        <v>3604</v>
      </c>
      <c r="B1163" s="16" t="s">
        <v>1136</v>
      </c>
      <c r="C1163" s="32">
        <v>0</v>
      </c>
      <c r="D1163" s="32">
        <v>0</v>
      </c>
      <c r="E1163" s="19">
        <v>1</v>
      </c>
      <c r="F1163" s="19">
        <v>0</v>
      </c>
      <c r="G1163" s="33">
        <v>0</v>
      </c>
      <c r="H1163" s="32">
        <v>0</v>
      </c>
      <c r="I1163" s="32">
        <v>0</v>
      </c>
      <c r="J1163" s="16" t="s">
        <v>4770</v>
      </c>
      <c r="K1163" s="16" t="s">
        <v>5886</v>
      </c>
      <c r="L1163" s="16" t="s">
        <v>4871</v>
      </c>
    </row>
    <row r="1164" spans="1:12" ht="19.5" customHeight="1" x14ac:dyDescent="0.35">
      <c r="A1164" s="16" t="s">
        <v>3605</v>
      </c>
      <c r="B1164" s="16" t="s">
        <v>2971</v>
      </c>
      <c r="C1164" s="32">
        <v>0</v>
      </c>
      <c r="D1164" s="32">
        <v>0</v>
      </c>
      <c r="E1164" s="19">
        <v>1</v>
      </c>
      <c r="F1164" s="19">
        <v>0</v>
      </c>
      <c r="G1164" s="33">
        <v>0</v>
      </c>
      <c r="H1164" s="32">
        <v>0</v>
      </c>
      <c r="I1164" s="32">
        <v>0</v>
      </c>
      <c r="J1164" s="16" t="s">
        <v>5067</v>
      </c>
      <c r="K1164" s="16" t="s">
        <v>5887</v>
      </c>
      <c r="L1164" s="16" t="s">
        <v>4871</v>
      </c>
    </row>
    <row r="1165" spans="1:12" ht="19.5" customHeight="1" x14ac:dyDescent="0.35">
      <c r="A1165" s="16" t="s">
        <v>3606</v>
      </c>
      <c r="B1165" s="16" t="s">
        <v>1101</v>
      </c>
      <c r="C1165" s="32">
        <v>0</v>
      </c>
      <c r="D1165" s="32">
        <v>0</v>
      </c>
      <c r="E1165" s="19">
        <v>1</v>
      </c>
      <c r="F1165" s="19">
        <v>0</v>
      </c>
      <c r="G1165" s="33">
        <v>0</v>
      </c>
      <c r="H1165" s="32">
        <v>0</v>
      </c>
      <c r="I1165" s="32">
        <v>0</v>
      </c>
      <c r="J1165" s="16" t="s">
        <v>5099</v>
      </c>
      <c r="K1165" s="16" t="s">
        <v>5888</v>
      </c>
      <c r="L1165" s="16" t="s">
        <v>4871</v>
      </c>
    </row>
    <row r="1166" spans="1:12" ht="19.5" customHeight="1" x14ac:dyDescent="0.35">
      <c r="A1166" s="16" t="s">
        <v>3607</v>
      </c>
      <c r="B1166" s="16" t="s">
        <v>1050</v>
      </c>
      <c r="C1166" s="32">
        <v>0</v>
      </c>
      <c r="D1166" s="32">
        <v>0</v>
      </c>
      <c r="E1166" s="19">
        <v>1</v>
      </c>
      <c r="F1166" s="19">
        <v>0</v>
      </c>
      <c r="G1166" s="33">
        <v>0</v>
      </c>
      <c r="H1166" s="32">
        <v>0</v>
      </c>
      <c r="I1166" s="32">
        <v>0</v>
      </c>
      <c r="J1166" s="16" t="s">
        <v>5099</v>
      </c>
      <c r="K1166" s="16" t="s">
        <v>5889</v>
      </c>
      <c r="L1166" s="16" t="s">
        <v>4871</v>
      </c>
    </row>
    <row r="1167" spans="1:12" ht="19.5" customHeight="1" x14ac:dyDescent="0.35">
      <c r="A1167" s="16" t="s">
        <v>3608</v>
      </c>
      <c r="B1167" s="16" t="s">
        <v>1077</v>
      </c>
      <c r="C1167" s="32">
        <v>0</v>
      </c>
      <c r="D1167" s="32">
        <v>0</v>
      </c>
      <c r="E1167" s="19">
        <v>1</v>
      </c>
      <c r="F1167" s="19">
        <v>0</v>
      </c>
      <c r="G1167" s="33">
        <v>0</v>
      </c>
      <c r="H1167" s="32">
        <v>0</v>
      </c>
      <c r="I1167" s="32">
        <v>0</v>
      </c>
      <c r="J1167" s="16" t="s">
        <v>5067</v>
      </c>
      <c r="K1167" s="16" t="s">
        <v>5890</v>
      </c>
      <c r="L1167" s="16" t="s">
        <v>4871</v>
      </c>
    </row>
    <row r="1168" spans="1:12" ht="19.5" customHeight="1" x14ac:dyDescent="0.35">
      <c r="A1168" s="16" t="s">
        <v>3609</v>
      </c>
      <c r="B1168" s="16" t="s">
        <v>1690</v>
      </c>
      <c r="C1168" s="32">
        <v>0</v>
      </c>
      <c r="D1168" s="32">
        <v>0</v>
      </c>
      <c r="E1168" s="19">
        <v>1</v>
      </c>
      <c r="F1168" s="19">
        <v>0</v>
      </c>
      <c r="G1168" s="33">
        <v>0</v>
      </c>
      <c r="H1168" s="32">
        <v>0</v>
      </c>
      <c r="I1168" s="32">
        <v>0</v>
      </c>
      <c r="J1168" s="16" t="s">
        <v>4770</v>
      </c>
      <c r="K1168" s="16" t="s">
        <v>5891</v>
      </c>
      <c r="L1168" s="16" t="s">
        <v>4871</v>
      </c>
    </row>
    <row r="1169" spans="1:12" ht="19.5" customHeight="1" x14ac:dyDescent="0.35">
      <c r="A1169" s="16" t="s">
        <v>3610</v>
      </c>
      <c r="B1169" s="16" t="s">
        <v>1077</v>
      </c>
      <c r="C1169" s="32">
        <v>0</v>
      </c>
      <c r="D1169" s="32">
        <v>0</v>
      </c>
      <c r="E1169" s="19">
        <v>1</v>
      </c>
      <c r="F1169" s="19">
        <v>0</v>
      </c>
      <c r="G1169" s="33">
        <v>0</v>
      </c>
      <c r="H1169" s="32">
        <v>0</v>
      </c>
      <c r="I1169" s="32">
        <v>0</v>
      </c>
      <c r="J1169" s="16" t="s">
        <v>5178</v>
      </c>
      <c r="K1169" s="16" t="s">
        <v>5892</v>
      </c>
      <c r="L1169" s="16" t="s">
        <v>4871</v>
      </c>
    </row>
    <row r="1170" spans="1:12" ht="19.5" customHeight="1" x14ac:dyDescent="0.35">
      <c r="A1170" s="16" t="s">
        <v>3611</v>
      </c>
      <c r="B1170" s="16" t="s">
        <v>1143</v>
      </c>
      <c r="C1170" s="32">
        <v>0</v>
      </c>
      <c r="D1170" s="32">
        <v>0</v>
      </c>
      <c r="E1170" s="19">
        <v>1</v>
      </c>
      <c r="F1170" s="19">
        <v>0</v>
      </c>
      <c r="G1170" s="33">
        <v>0</v>
      </c>
      <c r="H1170" s="32">
        <v>0</v>
      </c>
      <c r="I1170" s="32">
        <v>0</v>
      </c>
      <c r="J1170" s="16" t="s">
        <v>4770</v>
      </c>
      <c r="K1170" s="16" t="s">
        <v>5893</v>
      </c>
      <c r="L1170" s="16" t="s">
        <v>4871</v>
      </c>
    </row>
    <row r="1171" spans="1:12" ht="19.5" customHeight="1" x14ac:dyDescent="0.35">
      <c r="A1171" s="16" t="s">
        <v>3612</v>
      </c>
      <c r="B1171" s="16" t="s">
        <v>3052</v>
      </c>
      <c r="C1171" s="32">
        <v>0</v>
      </c>
      <c r="D1171" s="32">
        <v>0</v>
      </c>
      <c r="E1171" s="19">
        <v>1</v>
      </c>
      <c r="F1171" s="19">
        <v>0</v>
      </c>
      <c r="G1171" s="33">
        <v>0</v>
      </c>
      <c r="H1171" s="32">
        <v>0</v>
      </c>
      <c r="I1171" s="32">
        <v>0</v>
      </c>
      <c r="J1171" s="16" t="s">
        <v>5099</v>
      </c>
      <c r="K1171" s="16" t="s">
        <v>5894</v>
      </c>
      <c r="L1171" s="16" t="s">
        <v>4871</v>
      </c>
    </row>
    <row r="1172" spans="1:12" ht="19.5" customHeight="1" x14ac:dyDescent="0.35">
      <c r="A1172" s="16" t="s">
        <v>3613</v>
      </c>
      <c r="B1172" s="16" t="s">
        <v>909</v>
      </c>
      <c r="C1172" s="32">
        <v>0</v>
      </c>
      <c r="D1172" s="32">
        <v>0</v>
      </c>
      <c r="E1172" s="19">
        <v>1</v>
      </c>
      <c r="F1172" s="19">
        <v>0</v>
      </c>
      <c r="G1172" s="33">
        <v>0</v>
      </c>
      <c r="H1172" s="32">
        <v>0</v>
      </c>
      <c r="I1172" s="32">
        <v>0</v>
      </c>
      <c r="J1172" s="16" t="s">
        <v>4770</v>
      </c>
      <c r="K1172" s="16" t="s">
        <v>5895</v>
      </c>
      <c r="L1172" s="16" t="s">
        <v>4360</v>
      </c>
    </row>
    <row r="1173" spans="1:12" ht="19.5" customHeight="1" x14ac:dyDescent="0.35">
      <c r="A1173" s="16" t="s">
        <v>3614</v>
      </c>
      <c r="B1173" s="16" t="s">
        <v>2257</v>
      </c>
      <c r="C1173" s="32">
        <v>0</v>
      </c>
      <c r="D1173" s="32">
        <v>0</v>
      </c>
      <c r="E1173" s="19">
        <v>1</v>
      </c>
      <c r="F1173" s="19">
        <v>0</v>
      </c>
      <c r="G1173" s="33">
        <v>0</v>
      </c>
      <c r="H1173" s="32">
        <v>0</v>
      </c>
      <c r="I1173" s="32">
        <v>0</v>
      </c>
      <c r="J1173" s="16" t="s">
        <v>4927</v>
      </c>
      <c r="K1173" s="16" t="s">
        <v>5896</v>
      </c>
      <c r="L1173" s="16" t="s">
        <v>4360</v>
      </c>
    </row>
    <row r="1174" spans="1:12" ht="19.5" customHeight="1" x14ac:dyDescent="0.35">
      <c r="A1174" s="16" t="s">
        <v>3615</v>
      </c>
      <c r="B1174" s="16" t="s">
        <v>1143</v>
      </c>
      <c r="C1174" s="32">
        <v>0</v>
      </c>
      <c r="D1174" s="32">
        <v>0</v>
      </c>
      <c r="E1174" s="19">
        <v>1</v>
      </c>
      <c r="F1174" s="19">
        <v>0</v>
      </c>
      <c r="G1174" s="33">
        <v>0</v>
      </c>
      <c r="H1174" s="32">
        <v>0</v>
      </c>
      <c r="I1174" s="32">
        <v>0</v>
      </c>
      <c r="J1174" s="16" t="s">
        <v>5099</v>
      </c>
      <c r="K1174" s="16" t="s">
        <v>5897</v>
      </c>
      <c r="L1174" s="16" t="s">
        <v>4360</v>
      </c>
    </row>
    <row r="1175" spans="1:12" ht="19.5" customHeight="1" x14ac:dyDescent="0.35">
      <c r="A1175" s="16" t="s">
        <v>3616</v>
      </c>
      <c r="B1175" s="16" t="s">
        <v>2602</v>
      </c>
      <c r="C1175" s="32">
        <v>0</v>
      </c>
      <c r="D1175" s="32">
        <v>0</v>
      </c>
      <c r="E1175" s="19">
        <v>1</v>
      </c>
      <c r="F1175" s="19">
        <v>0</v>
      </c>
      <c r="G1175" s="33">
        <v>0</v>
      </c>
      <c r="H1175" s="32">
        <v>0</v>
      </c>
      <c r="I1175" s="32">
        <v>0</v>
      </c>
      <c r="J1175" s="16" t="s">
        <v>4770</v>
      </c>
      <c r="K1175" s="16" t="s">
        <v>5898</v>
      </c>
      <c r="L1175" s="16" t="s">
        <v>4360</v>
      </c>
    </row>
    <row r="1176" spans="1:12" ht="19.5" customHeight="1" x14ac:dyDescent="0.35">
      <c r="A1176" s="16" t="s">
        <v>3617</v>
      </c>
      <c r="B1176" s="16" t="s">
        <v>2598</v>
      </c>
      <c r="C1176" s="32">
        <v>0</v>
      </c>
      <c r="D1176" s="32">
        <v>0</v>
      </c>
      <c r="E1176" s="19">
        <v>1</v>
      </c>
      <c r="F1176" s="19">
        <v>0</v>
      </c>
      <c r="G1176" s="33">
        <v>0</v>
      </c>
      <c r="H1176" s="32">
        <v>0</v>
      </c>
      <c r="I1176" s="32">
        <v>0</v>
      </c>
      <c r="J1176" s="16" t="s">
        <v>5220</v>
      </c>
      <c r="K1176" s="16" t="s">
        <v>5899</v>
      </c>
      <c r="L1176" s="16" t="s">
        <v>4360</v>
      </c>
    </row>
    <row r="1177" spans="1:12" ht="19.5" customHeight="1" x14ac:dyDescent="0.35">
      <c r="A1177" s="16" t="s">
        <v>3618</v>
      </c>
      <c r="B1177" s="16" t="s">
        <v>1077</v>
      </c>
      <c r="C1177" s="32">
        <v>0</v>
      </c>
      <c r="D1177" s="32">
        <v>0</v>
      </c>
      <c r="E1177" s="19">
        <v>1</v>
      </c>
      <c r="F1177" s="19">
        <v>0</v>
      </c>
      <c r="G1177" s="33">
        <v>0</v>
      </c>
      <c r="H1177" s="32">
        <v>0</v>
      </c>
      <c r="I1177" s="32">
        <v>0</v>
      </c>
      <c r="J1177" s="16" t="s">
        <v>5301</v>
      </c>
      <c r="K1177" s="16" t="s">
        <v>5900</v>
      </c>
      <c r="L1177" s="16" t="s">
        <v>4360</v>
      </c>
    </row>
    <row r="1178" spans="1:12" ht="19.5" customHeight="1" x14ac:dyDescent="0.35">
      <c r="A1178" s="16" t="s">
        <v>3619</v>
      </c>
      <c r="B1178" s="16" t="s">
        <v>1143</v>
      </c>
      <c r="C1178" s="32">
        <v>0</v>
      </c>
      <c r="D1178" s="32">
        <v>0</v>
      </c>
      <c r="E1178" s="19">
        <v>1</v>
      </c>
      <c r="F1178" s="19">
        <v>0</v>
      </c>
      <c r="G1178" s="33">
        <v>0</v>
      </c>
      <c r="H1178" s="32">
        <v>0</v>
      </c>
      <c r="I1178" s="32">
        <v>0</v>
      </c>
      <c r="J1178" s="16" t="s">
        <v>5301</v>
      </c>
      <c r="K1178" s="16" t="s">
        <v>5901</v>
      </c>
      <c r="L1178" s="16" t="s">
        <v>4360</v>
      </c>
    </row>
    <row r="1179" spans="1:12" ht="19.5" customHeight="1" x14ac:dyDescent="0.35">
      <c r="A1179" s="16" t="s">
        <v>3620</v>
      </c>
      <c r="B1179" s="16" t="s">
        <v>909</v>
      </c>
      <c r="C1179" s="32">
        <v>0</v>
      </c>
      <c r="D1179" s="32">
        <v>0</v>
      </c>
      <c r="E1179" s="19">
        <v>1</v>
      </c>
      <c r="F1179" s="19">
        <v>0</v>
      </c>
      <c r="G1179" s="33">
        <v>0</v>
      </c>
      <c r="H1179" s="32">
        <v>0</v>
      </c>
      <c r="I1179" s="32">
        <v>0</v>
      </c>
      <c r="J1179" s="16" t="s">
        <v>5099</v>
      </c>
      <c r="K1179" s="16" t="s">
        <v>5902</v>
      </c>
      <c r="L1179" s="16" t="s">
        <v>4360</v>
      </c>
    </row>
    <row r="1180" spans="1:12" ht="19.5" customHeight="1" x14ac:dyDescent="0.35">
      <c r="A1180" s="16" t="s">
        <v>3621</v>
      </c>
      <c r="B1180" s="16" t="s">
        <v>909</v>
      </c>
      <c r="C1180" s="32">
        <v>0</v>
      </c>
      <c r="D1180" s="32">
        <v>0</v>
      </c>
      <c r="E1180" s="19">
        <v>1</v>
      </c>
      <c r="F1180" s="19">
        <v>0</v>
      </c>
      <c r="G1180" s="33">
        <v>0</v>
      </c>
      <c r="H1180" s="32">
        <v>0</v>
      </c>
      <c r="I1180" s="32">
        <v>0</v>
      </c>
      <c r="J1180" s="16" t="s">
        <v>5306</v>
      </c>
      <c r="K1180" s="16" t="s">
        <v>5903</v>
      </c>
      <c r="L1180" s="16" t="s">
        <v>4360</v>
      </c>
    </row>
    <row r="1181" spans="1:12" ht="19.5" customHeight="1" x14ac:dyDescent="0.35">
      <c r="A1181" s="16" t="s">
        <v>3622</v>
      </c>
      <c r="B1181" s="16" t="s">
        <v>1690</v>
      </c>
      <c r="C1181" s="32">
        <v>0</v>
      </c>
      <c r="D1181" s="32">
        <v>0</v>
      </c>
      <c r="E1181" s="19">
        <v>1</v>
      </c>
      <c r="F1181" s="19">
        <v>0</v>
      </c>
      <c r="G1181" s="33">
        <v>0</v>
      </c>
      <c r="H1181" s="32">
        <v>0</v>
      </c>
      <c r="I1181" s="32">
        <v>0</v>
      </c>
      <c r="J1181" s="16" t="s">
        <v>5301</v>
      </c>
      <c r="K1181" s="16" t="s">
        <v>5904</v>
      </c>
      <c r="L1181" s="16" t="s">
        <v>4360</v>
      </c>
    </row>
    <row r="1182" spans="1:12" ht="19.5" customHeight="1" x14ac:dyDescent="0.35">
      <c r="A1182" s="16" t="s">
        <v>3623</v>
      </c>
      <c r="B1182" s="16" t="s">
        <v>1077</v>
      </c>
      <c r="C1182" s="32">
        <v>0</v>
      </c>
      <c r="D1182" s="32">
        <v>0</v>
      </c>
      <c r="E1182" s="19">
        <v>1</v>
      </c>
      <c r="F1182" s="19">
        <v>0</v>
      </c>
      <c r="G1182" s="33">
        <v>0</v>
      </c>
      <c r="H1182" s="32">
        <v>0</v>
      </c>
      <c r="I1182" s="32">
        <v>0</v>
      </c>
      <c r="J1182" s="16" t="s">
        <v>5178</v>
      </c>
      <c r="K1182" s="16" t="s">
        <v>5905</v>
      </c>
      <c r="L1182" s="16" t="s">
        <v>4360</v>
      </c>
    </row>
    <row r="1183" spans="1:12" ht="19.5" customHeight="1" x14ac:dyDescent="0.35">
      <c r="A1183" s="16" t="s">
        <v>3624</v>
      </c>
      <c r="B1183" s="16" t="s">
        <v>1077</v>
      </c>
      <c r="C1183" s="32">
        <v>0</v>
      </c>
      <c r="D1183" s="32">
        <v>0</v>
      </c>
      <c r="E1183" s="19">
        <v>1</v>
      </c>
      <c r="F1183" s="19">
        <v>0</v>
      </c>
      <c r="G1183" s="33">
        <v>0</v>
      </c>
      <c r="H1183" s="32">
        <v>0</v>
      </c>
      <c r="I1183" s="32">
        <v>0</v>
      </c>
      <c r="J1183" s="16" t="s">
        <v>4770</v>
      </c>
      <c r="K1183" s="16" t="s">
        <v>5906</v>
      </c>
      <c r="L1183" s="16" t="s">
        <v>4360</v>
      </c>
    </row>
    <row r="1184" spans="1:12" ht="19.5" customHeight="1" x14ac:dyDescent="0.35">
      <c r="A1184" s="16" t="s">
        <v>3625</v>
      </c>
      <c r="B1184" s="16" t="s">
        <v>921</v>
      </c>
      <c r="C1184" s="32">
        <v>0</v>
      </c>
      <c r="D1184" s="32">
        <v>0</v>
      </c>
      <c r="E1184" s="19">
        <v>1</v>
      </c>
      <c r="F1184" s="19">
        <v>0</v>
      </c>
      <c r="G1184" s="33">
        <v>0</v>
      </c>
      <c r="H1184" s="32">
        <v>0</v>
      </c>
      <c r="I1184" s="32">
        <v>0</v>
      </c>
      <c r="J1184" s="16" t="s">
        <v>5220</v>
      </c>
      <c r="K1184" s="16" t="s">
        <v>5907</v>
      </c>
      <c r="L1184" s="16" t="s">
        <v>4360</v>
      </c>
    </row>
    <row r="1185" spans="1:12" ht="19.5" customHeight="1" x14ac:dyDescent="0.35">
      <c r="A1185" s="16" t="s">
        <v>3626</v>
      </c>
      <c r="B1185" s="16" t="s">
        <v>2971</v>
      </c>
      <c r="C1185" s="32">
        <v>0</v>
      </c>
      <c r="D1185" s="32">
        <v>0</v>
      </c>
      <c r="E1185" s="19">
        <v>1</v>
      </c>
      <c r="F1185" s="19">
        <v>0</v>
      </c>
      <c r="G1185" s="33">
        <v>0</v>
      </c>
      <c r="H1185" s="32">
        <v>0</v>
      </c>
      <c r="I1185" s="32">
        <v>0</v>
      </c>
      <c r="J1185" s="16" t="s">
        <v>5306</v>
      </c>
      <c r="K1185" s="16" t="s">
        <v>5908</v>
      </c>
      <c r="L1185" s="16" t="s">
        <v>4360</v>
      </c>
    </row>
    <row r="1186" spans="1:12" ht="19.5" customHeight="1" x14ac:dyDescent="0.35">
      <c r="A1186" s="16" t="s">
        <v>3627</v>
      </c>
      <c r="B1186" s="16" t="s">
        <v>1136</v>
      </c>
      <c r="C1186" s="32">
        <v>0</v>
      </c>
      <c r="D1186" s="32">
        <v>0</v>
      </c>
      <c r="E1186" s="19">
        <v>1</v>
      </c>
      <c r="F1186" s="19">
        <v>0</v>
      </c>
      <c r="G1186" s="33">
        <v>0</v>
      </c>
      <c r="H1186" s="32">
        <v>0</v>
      </c>
      <c r="I1186" s="32">
        <v>0</v>
      </c>
      <c r="J1186" s="16" t="s">
        <v>5099</v>
      </c>
      <c r="K1186" s="16" t="s">
        <v>5909</v>
      </c>
      <c r="L1186" s="16" t="s">
        <v>4360</v>
      </c>
    </row>
    <row r="1187" spans="1:12" ht="19.5" customHeight="1" x14ac:dyDescent="0.35">
      <c r="A1187" s="16" t="s">
        <v>3628</v>
      </c>
      <c r="B1187" s="16" t="s">
        <v>1143</v>
      </c>
      <c r="C1187" s="32">
        <v>0</v>
      </c>
      <c r="D1187" s="32">
        <v>0</v>
      </c>
      <c r="E1187" s="19">
        <v>1</v>
      </c>
      <c r="F1187" s="19">
        <v>0</v>
      </c>
      <c r="G1187" s="33">
        <v>0</v>
      </c>
      <c r="H1187" s="32">
        <v>0</v>
      </c>
      <c r="I1187" s="32">
        <v>0</v>
      </c>
      <c r="J1187" s="16" t="s">
        <v>5316</v>
      </c>
      <c r="K1187" s="16" t="s">
        <v>5910</v>
      </c>
      <c r="L1187" s="16" t="s">
        <v>4360</v>
      </c>
    </row>
    <row r="1188" spans="1:12" ht="19.5" customHeight="1" x14ac:dyDescent="0.35">
      <c r="A1188" s="16" t="s">
        <v>3629</v>
      </c>
      <c r="B1188" s="16" t="s">
        <v>1077</v>
      </c>
      <c r="C1188" s="32">
        <v>0</v>
      </c>
      <c r="D1188" s="32">
        <v>0</v>
      </c>
      <c r="E1188" s="19">
        <v>1</v>
      </c>
      <c r="F1188" s="19">
        <v>0</v>
      </c>
      <c r="G1188" s="33">
        <v>0</v>
      </c>
      <c r="H1188" s="32">
        <v>0</v>
      </c>
      <c r="I1188" s="32">
        <v>0</v>
      </c>
      <c r="J1188" s="16" t="s">
        <v>4770</v>
      </c>
      <c r="K1188" s="16" t="s">
        <v>5911</v>
      </c>
      <c r="L1188" s="16" t="s">
        <v>4360</v>
      </c>
    </row>
    <row r="1189" spans="1:12" ht="19.5" customHeight="1" x14ac:dyDescent="0.35">
      <c r="A1189" s="16" t="s">
        <v>3630</v>
      </c>
      <c r="B1189" s="16" t="s">
        <v>963</v>
      </c>
      <c r="C1189" s="32">
        <v>0</v>
      </c>
      <c r="D1189" s="32">
        <v>0</v>
      </c>
      <c r="E1189" s="19">
        <v>1</v>
      </c>
      <c r="F1189" s="19">
        <v>0</v>
      </c>
      <c r="G1189" s="33">
        <v>0</v>
      </c>
      <c r="H1189" s="32">
        <v>0</v>
      </c>
      <c r="I1189" s="32">
        <v>0</v>
      </c>
      <c r="J1189" s="16" t="s">
        <v>4770</v>
      </c>
      <c r="K1189" s="16" t="s">
        <v>5912</v>
      </c>
      <c r="L1189" s="16" t="s">
        <v>4360</v>
      </c>
    </row>
    <row r="1190" spans="1:12" ht="19.5" customHeight="1" x14ac:dyDescent="0.35">
      <c r="A1190" s="16" t="s">
        <v>3631</v>
      </c>
      <c r="B1190" s="16" t="s">
        <v>2971</v>
      </c>
      <c r="C1190" s="32">
        <v>0</v>
      </c>
      <c r="D1190" s="32">
        <v>0</v>
      </c>
      <c r="E1190" s="19">
        <v>1</v>
      </c>
      <c r="F1190" s="19">
        <v>0</v>
      </c>
      <c r="G1190" s="33">
        <v>0</v>
      </c>
      <c r="H1190" s="32">
        <v>0</v>
      </c>
      <c r="I1190" s="32">
        <v>0</v>
      </c>
      <c r="J1190" s="16" t="s">
        <v>5306</v>
      </c>
      <c r="K1190" s="16" t="s">
        <v>5913</v>
      </c>
      <c r="L1190" s="16" t="s">
        <v>4360</v>
      </c>
    </row>
    <row r="1191" spans="1:12" ht="19.5" customHeight="1" x14ac:dyDescent="0.35">
      <c r="A1191" s="16" t="s">
        <v>3632</v>
      </c>
      <c r="B1191" s="16" t="s">
        <v>921</v>
      </c>
      <c r="C1191" s="32">
        <v>0</v>
      </c>
      <c r="D1191" s="32">
        <v>0</v>
      </c>
      <c r="E1191" s="19">
        <v>1</v>
      </c>
      <c r="F1191" s="19">
        <v>0</v>
      </c>
      <c r="G1191" s="33">
        <v>0</v>
      </c>
      <c r="H1191" s="32">
        <v>0</v>
      </c>
      <c r="I1191" s="32">
        <v>0</v>
      </c>
      <c r="J1191" s="16" t="s">
        <v>5220</v>
      </c>
      <c r="K1191" s="16" t="s">
        <v>5907</v>
      </c>
      <c r="L1191" s="16" t="s">
        <v>4360</v>
      </c>
    </row>
    <row r="1192" spans="1:12" ht="19.5" customHeight="1" x14ac:dyDescent="0.35">
      <c r="A1192" s="16" t="s">
        <v>3633</v>
      </c>
      <c r="B1192" s="16" t="s">
        <v>909</v>
      </c>
      <c r="C1192" s="32">
        <v>0</v>
      </c>
      <c r="D1192" s="32">
        <v>0</v>
      </c>
      <c r="E1192" s="19">
        <v>1</v>
      </c>
      <c r="F1192" s="19">
        <v>0</v>
      </c>
      <c r="G1192" s="33">
        <v>0</v>
      </c>
      <c r="H1192" s="32">
        <v>0</v>
      </c>
      <c r="I1192" s="32">
        <v>0</v>
      </c>
      <c r="J1192" s="16" t="s">
        <v>5306</v>
      </c>
      <c r="K1192" s="16" t="s">
        <v>5914</v>
      </c>
      <c r="L1192" s="16" t="s">
        <v>4360</v>
      </c>
    </row>
    <row r="1193" spans="1:12" ht="19.5" customHeight="1" x14ac:dyDescent="0.35">
      <c r="A1193" s="16" t="s">
        <v>3634</v>
      </c>
      <c r="B1193" s="16" t="s">
        <v>921</v>
      </c>
      <c r="C1193" s="32">
        <v>0</v>
      </c>
      <c r="D1193" s="32">
        <v>0</v>
      </c>
      <c r="E1193" s="19">
        <v>1</v>
      </c>
      <c r="F1193" s="19">
        <v>0</v>
      </c>
      <c r="G1193" s="33">
        <v>0</v>
      </c>
      <c r="H1193" s="32">
        <v>0</v>
      </c>
      <c r="I1193" s="32">
        <v>0</v>
      </c>
      <c r="J1193" s="16" t="s">
        <v>4684</v>
      </c>
      <c r="K1193" s="16" t="s">
        <v>5915</v>
      </c>
      <c r="L1193" s="16" t="s">
        <v>4360</v>
      </c>
    </row>
    <row r="1194" spans="1:12" ht="19.5" customHeight="1" x14ac:dyDescent="0.35">
      <c r="A1194" s="16" t="s">
        <v>3635</v>
      </c>
      <c r="B1194" s="16" t="s">
        <v>1077</v>
      </c>
      <c r="C1194" s="32">
        <v>0</v>
      </c>
      <c r="D1194" s="32">
        <v>0</v>
      </c>
      <c r="E1194" s="19">
        <v>1</v>
      </c>
      <c r="F1194" s="19">
        <v>0</v>
      </c>
      <c r="G1194" s="33">
        <v>0</v>
      </c>
      <c r="H1194" s="32">
        <v>0</v>
      </c>
      <c r="I1194" s="32">
        <v>0</v>
      </c>
      <c r="J1194" s="16" t="s">
        <v>4770</v>
      </c>
      <c r="K1194" s="16" t="s">
        <v>5916</v>
      </c>
      <c r="L1194" s="16" t="s">
        <v>4360</v>
      </c>
    </row>
    <row r="1195" spans="1:12" ht="19.5" customHeight="1" x14ac:dyDescent="0.35">
      <c r="A1195" s="16" t="s">
        <v>3636</v>
      </c>
      <c r="B1195" s="16" t="s">
        <v>989</v>
      </c>
      <c r="C1195" s="32">
        <v>0</v>
      </c>
      <c r="D1195" s="32">
        <v>0</v>
      </c>
      <c r="E1195" s="19">
        <v>1</v>
      </c>
      <c r="F1195" s="19">
        <v>0</v>
      </c>
      <c r="G1195" s="33">
        <v>0</v>
      </c>
      <c r="H1195" s="32">
        <v>0</v>
      </c>
      <c r="I1195" s="32">
        <v>0</v>
      </c>
      <c r="J1195" s="16" t="s">
        <v>5099</v>
      </c>
      <c r="K1195" s="16" t="s">
        <v>5917</v>
      </c>
      <c r="L1195" s="16" t="s">
        <v>4360</v>
      </c>
    </row>
    <row r="1196" spans="1:12" ht="19.5" customHeight="1" x14ac:dyDescent="0.35">
      <c r="A1196" s="16" t="s">
        <v>3637</v>
      </c>
      <c r="B1196" s="16" t="s">
        <v>1240</v>
      </c>
      <c r="C1196" s="32">
        <v>0</v>
      </c>
      <c r="D1196" s="32">
        <v>0</v>
      </c>
      <c r="E1196" s="19">
        <v>1</v>
      </c>
      <c r="F1196" s="19">
        <v>0</v>
      </c>
      <c r="G1196" s="33">
        <v>0</v>
      </c>
      <c r="H1196" s="32">
        <v>0</v>
      </c>
      <c r="I1196" s="32">
        <v>0</v>
      </c>
      <c r="J1196" s="16" t="s">
        <v>4684</v>
      </c>
      <c r="K1196" s="16" t="s">
        <v>5918</v>
      </c>
      <c r="L1196" s="16" t="s">
        <v>4360</v>
      </c>
    </row>
    <row r="1197" spans="1:12" ht="19.5" customHeight="1" x14ac:dyDescent="0.35">
      <c r="A1197" s="16" t="s">
        <v>3638</v>
      </c>
      <c r="B1197" s="16" t="s">
        <v>1111</v>
      </c>
      <c r="C1197" s="32">
        <v>0</v>
      </c>
      <c r="D1197" s="32">
        <v>0</v>
      </c>
      <c r="E1197" s="19">
        <v>1</v>
      </c>
      <c r="F1197" s="19">
        <v>0</v>
      </c>
      <c r="G1197" s="33">
        <v>0</v>
      </c>
      <c r="H1197" s="32">
        <v>0</v>
      </c>
      <c r="I1197" s="32">
        <v>0</v>
      </c>
      <c r="J1197" s="16" t="s">
        <v>4927</v>
      </c>
      <c r="K1197" s="16" t="s">
        <v>5919</v>
      </c>
      <c r="L1197" s="16" t="s">
        <v>4360</v>
      </c>
    </row>
    <row r="1198" spans="1:12" ht="19.5" customHeight="1" x14ac:dyDescent="0.35">
      <c r="A1198" s="16" t="s">
        <v>3639</v>
      </c>
      <c r="B1198" s="16" t="s">
        <v>1050</v>
      </c>
      <c r="C1198" s="32">
        <v>0</v>
      </c>
      <c r="D1198" s="32">
        <v>0</v>
      </c>
      <c r="E1198" s="19">
        <v>1</v>
      </c>
      <c r="F1198" s="19">
        <v>0</v>
      </c>
      <c r="G1198" s="33">
        <v>0</v>
      </c>
      <c r="H1198" s="32">
        <v>0</v>
      </c>
      <c r="I1198" s="32">
        <v>0</v>
      </c>
      <c r="J1198" s="16" t="s">
        <v>5099</v>
      </c>
      <c r="K1198" s="16" t="s">
        <v>5920</v>
      </c>
      <c r="L1198" s="16" t="s">
        <v>4360</v>
      </c>
    </row>
    <row r="1199" spans="1:12" ht="19.5" customHeight="1" x14ac:dyDescent="0.35">
      <c r="A1199" s="16" t="s">
        <v>3640</v>
      </c>
      <c r="B1199" s="16" t="s">
        <v>909</v>
      </c>
      <c r="C1199" s="32">
        <v>0</v>
      </c>
      <c r="D1199" s="32">
        <v>0</v>
      </c>
      <c r="E1199" s="19">
        <v>1</v>
      </c>
      <c r="F1199" s="19">
        <v>0</v>
      </c>
      <c r="G1199" s="33">
        <v>0</v>
      </c>
      <c r="H1199" s="32">
        <v>0</v>
      </c>
      <c r="I1199" s="32">
        <v>0</v>
      </c>
      <c r="J1199" s="16" t="s">
        <v>5306</v>
      </c>
      <c r="K1199" s="16" t="s">
        <v>5921</v>
      </c>
      <c r="L1199" s="16" t="s">
        <v>4360</v>
      </c>
    </row>
    <row r="1200" spans="1:12" ht="19.5" customHeight="1" x14ac:dyDescent="0.35">
      <c r="A1200" s="16" t="s">
        <v>3641</v>
      </c>
      <c r="B1200" s="16" t="s">
        <v>909</v>
      </c>
      <c r="C1200" s="32">
        <v>0</v>
      </c>
      <c r="D1200" s="32">
        <v>0</v>
      </c>
      <c r="E1200" s="19">
        <v>1</v>
      </c>
      <c r="F1200" s="19">
        <v>0</v>
      </c>
      <c r="G1200" s="33">
        <v>0</v>
      </c>
      <c r="H1200" s="32">
        <v>0</v>
      </c>
      <c r="I1200" s="32">
        <v>0</v>
      </c>
      <c r="J1200" s="16" t="s">
        <v>5306</v>
      </c>
      <c r="K1200" s="16" t="s">
        <v>5922</v>
      </c>
      <c r="L1200" s="16" t="s">
        <v>4360</v>
      </c>
    </row>
    <row r="1201" spans="1:12" ht="19.5" customHeight="1" x14ac:dyDescent="0.35">
      <c r="A1201" s="16" t="s">
        <v>3642</v>
      </c>
      <c r="B1201" s="16" t="s">
        <v>1077</v>
      </c>
      <c r="C1201" s="32">
        <v>0</v>
      </c>
      <c r="D1201" s="32">
        <v>0</v>
      </c>
      <c r="E1201" s="19">
        <v>1</v>
      </c>
      <c r="F1201" s="19">
        <v>0</v>
      </c>
      <c r="G1201" s="33">
        <v>0</v>
      </c>
      <c r="H1201" s="32">
        <v>0</v>
      </c>
      <c r="I1201" s="32">
        <v>0</v>
      </c>
      <c r="J1201" s="16" t="s">
        <v>5316</v>
      </c>
      <c r="K1201" s="16" t="s">
        <v>5923</v>
      </c>
      <c r="L1201" s="16" t="s">
        <v>4360</v>
      </c>
    </row>
    <row r="1202" spans="1:12" ht="19.5" customHeight="1" x14ac:dyDescent="0.35">
      <c r="A1202" s="16" t="s">
        <v>3643</v>
      </c>
      <c r="B1202" s="16" t="s">
        <v>946</v>
      </c>
      <c r="C1202" s="32">
        <v>0</v>
      </c>
      <c r="D1202" s="32">
        <v>0</v>
      </c>
      <c r="E1202" s="19">
        <v>1</v>
      </c>
      <c r="F1202" s="19">
        <v>0</v>
      </c>
      <c r="G1202" s="33">
        <v>0</v>
      </c>
      <c r="H1202" s="32">
        <v>0</v>
      </c>
      <c r="I1202" s="32">
        <v>0</v>
      </c>
      <c r="J1202" s="16" t="s">
        <v>5178</v>
      </c>
      <c r="K1202" s="16" t="s">
        <v>5924</v>
      </c>
      <c r="L1202" s="16" t="s">
        <v>4360</v>
      </c>
    </row>
    <row r="1203" spans="1:12" ht="19.5" customHeight="1" x14ac:dyDescent="0.35">
      <c r="A1203" s="16" t="s">
        <v>3644</v>
      </c>
      <c r="B1203" s="16" t="s">
        <v>2971</v>
      </c>
      <c r="C1203" s="32">
        <v>0</v>
      </c>
      <c r="D1203" s="32">
        <v>0</v>
      </c>
      <c r="E1203" s="19">
        <v>1</v>
      </c>
      <c r="F1203" s="19">
        <v>0</v>
      </c>
      <c r="G1203" s="33">
        <v>0</v>
      </c>
      <c r="H1203" s="32">
        <v>0</v>
      </c>
      <c r="I1203" s="32">
        <v>0</v>
      </c>
      <c r="J1203" s="16" t="s">
        <v>5306</v>
      </c>
      <c r="K1203" s="16" t="s">
        <v>5925</v>
      </c>
      <c r="L1203" s="16" t="s">
        <v>4360</v>
      </c>
    </row>
    <row r="1204" spans="1:12" ht="19.5" customHeight="1" x14ac:dyDescent="0.35">
      <c r="A1204" s="16" t="s">
        <v>3645</v>
      </c>
      <c r="B1204" s="16" t="s">
        <v>2257</v>
      </c>
      <c r="C1204" s="32">
        <v>0</v>
      </c>
      <c r="D1204" s="32">
        <v>0</v>
      </c>
      <c r="E1204" s="19">
        <v>1</v>
      </c>
      <c r="F1204" s="19">
        <v>0</v>
      </c>
      <c r="G1204" s="33">
        <v>0</v>
      </c>
      <c r="H1204" s="32">
        <v>0</v>
      </c>
      <c r="I1204" s="32">
        <v>0</v>
      </c>
      <c r="J1204" s="16" t="s">
        <v>4927</v>
      </c>
      <c r="K1204" s="16" t="s">
        <v>5926</v>
      </c>
      <c r="L1204" s="16" t="s">
        <v>4360</v>
      </c>
    </row>
    <row r="1205" spans="1:12" ht="19.5" customHeight="1" x14ac:dyDescent="0.35">
      <c r="A1205" s="16" t="s">
        <v>3646</v>
      </c>
      <c r="B1205" s="16" t="s">
        <v>946</v>
      </c>
      <c r="C1205" s="32">
        <v>0</v>
      </c>
      <c r="D1205" s="32">
        <v>0</v>
      </c>
      <c r="E1205" s="19">
        <v>1</v>
      </c>
      <c r="F1205" s="19">
        <v>0</v>
      </c>
      <c r="G1205" s="33">
        <v>0</v>
      </c>
      <c r="H1205" s="32">
        <v>0</v>
      </c>
      <c r="I1205" s="32">
        <v>0</v>
      </c>
      <c r="J1205" s="16" t="s">
        <v>4770</v>
      </c>
      <c r="K1205" s="16" t="s">
        <v>5927</v>
      </c>
      <c r="L1205" s="16" t="s">
        <v>4360</v>
      </c>
    </row>
    <row r="1206" spans="1:12" ht="19.5" customHeight="1" x14ac:dyDescent="0.35">
      <c r="A1206" s="16" t="s">
        <v>3647</v>
      </c>
      <c r="B1206" s="16" t="s">
        <v>2257</v>
      </c>
      <c r="C1206" s="32">
        <v>0</v>
      </c>
      <c r="D1206" s="32">
        <v>0</v>
      </c>
      <c r="E1206" s="19">
        <v>1</v>
      </c>
      <c r="F1206" s="19">
        <v>0</v>
      </c>
      <c r="G1206" s="33">
        <v>0</v>
      </c>
      <c r="H1206" s="32">
        <v>0</v>
      </c>
      <c r="I1206" s="32">
        <v>0</v>
      </c>
      <c r="J1206" s="16" t="s">
        <v>5316</v>
      </c>
      <c r="K1206" s="16" t="s">
        <v>5928</v>
      </c>
      <c r="L1206" s="16" t="s">
        <v>4360</v>
      </c>
    </row>
    <row r="1207" spans="1:12" ht="19.5" customHeight="1" x14ac:dyDescent="0.35">
      <c r="A1207" s="16" t="s">
        <v>3648</v>
      </c>
      <c r="B1207" s="16" t="s">
        <v>1136</v>
      </c>
      <c r="C1207" s="32">
        <v>0</v>
      </c>
      <c r="D1207" s="32">
        <v>0</v>
      </c>
      <c r="E1207" s="19">
        <v>1</v>
      </c>
      <c r="F1207" s="19">
        <v>0</v>
      </c>
      <c r="G1207" s="33">
        <v>0</v>
      </c>
      <c r="H1207" s="32">
        <v>0</v>
      </c>
      <c r="I1207" s="32">
        <v>0</v>
      </c>
      <c r="J1207" s="16" t="s">
        <v>5220</v>
      </c>
      <c r="K1207" s="16" t="s">
        <v>5929</v>
      </c>
      <c r="L1207" s="16" t="s">
        <v>4360</v>
      </c>
    </row>
    <row r="1208" spans="1:12" ht="19.5" customHeight="1" x14ac:dyDescent="0.35">
      <c r="A1208" s="16" t="s">
        <v>3649</v>
      </c>
      <c r="B1208" s="16" t="s">
        <v>2971</v>
      </c>
      <c r="C1208" s="32">
        <v>0</v>
      </c>
      <c r="D1208" s="32">
        <v>0</v>
      </c>
      <c r="E1208" s="19">
        <v>1</v>
      </c>
      <c r="F1208" s="19">
        <v>0</v>
      </c>
      <c r="G1208" s="33">
        <v>0</v>
      </c>
      <c r="H1208" s="32">
        <v>0</v>
      </c>
      <c r="I1208" s="32">
        <v>0</v>
      </c>
      <c r="J1208" s="16" t="s">
        <v>5306</v>
      </c>
      <c r="K1208" s="16" t="s">
        <v>5930</v>
      </c>
      <c r="L1208" s="16" t="s">
        <v>4360</v>
      </c>
    </row>
    <row r="1209" spans="1:12" ht="19.5" customHeight="1" x14ac:dyDescent="0.35">
      <c r="A1209" s="16" t="s">
        <v>3650</v>
      </c>
      <c r="B1209" s="16" t="s">
        <v>1077</v>
      </c>
      <c r="C1209" s="32">
        <v>0</v>
      </c>
      <c r="D1209" s="32">
        <v>0</v>
      </c>
      <c r="E1209" s="19">
        <v>1</v>
      </c>
      <c r="F1209" s="19">
        <v>0</v>
      </c>
      <c r="G1209" s="33">
        <v>0</v>
      </c>
      <c r="H1209" s="32">
        <v>0</v>
      </c>
      <c r="I1209" s="32">
        <v>0</v>
      </c>
      <c r="J1209" s="16" t="s">
        <v>4770</v>
      </c>
      <c r="K1209" s="16" t="s">
        <v>5931</v>
      </c>
      <c r="L1209" s="16" t="s">
        <v>4360</v>
      </c>
    </row>
    <row r="1210" spans="1:12" ht="19.5" customHeight="1" x14ac:dyDescent="0.35">
      <c r="A1210" s="16" t="s">
        <v>3651</v>
      </c>
      <c r="B1210" s="16" t="s">
        <v>2598</v>
      </c>
      <c r="C1210" s="32">
        <v>0</v>
      </c>
      <c r="D1210" s="32">
        <v>0</v>
      </c>
      <c r="E1210" s="19">
        <v>1</v>
      </c>
      <c r="F1210" s="19">
        <v>1</v>
      </c>
      <c r="G1210" s="33">
        <v>1</v>
      </c>
      <c r="H1210" s="32">
        <v>0</v>
      </c>
      <c r="I1210" s="32">
        <v>0</v>
      </c>
      <c r="J1210" s="16" t="s">
        <v>4927</v>
      </c>
      <c r="K1210" s="16" t="s">
        <v>5932</v>
      </c>
      <c r="L1210" s="16" t="s">
        <v>4360</v>
      </c>
    </row>
    <row r="1211" spans="1:12" ht="19.5" customHeight="1" x14ac:dyDescent="0.35">
      <c r="A1211" s="16" t="s">
        <v>3652</v>
      </c>
      <c r="B1211" s="16" t="s">
        <v>1129</v>
      </c>
      <c r="C1211" s="32">
        <v>0</v>
      </c>
      <c r="D1211" s="32">
        <v>0</v>
      </c>
      <c r="E1211" s="19">
        <v>1</v>
      </c>
      <c r="F1211" s="19">
        <v>0</v>
      </c>
      <c r="G1211" s="33">
        <v>0</v>
      </c>
      <c r="H1211" s="32">
        <v>0</v>
      </c>
      <c r="I1211" s="32">
        <v>0</v>
      </c>
      <c r="J1211" s="16" t="s">
        <v>5099</v>
      </c>
      <c r="K1211" s="16" t="s">
        <v>5933</v>
      </c>
      <c r="L1211" s="16" t="s">
        <v>4360</v>
      </c>
    </row>
    <row r="1212" spans="1:12" ht="19.5" customHeight="1" x14ac:dyDescent="0.35">
      <c r="A1212" s="16" t="s">
        <v>3653</v>
      </c>
      <c r="B1212" s="16" t="s">
        <v>1690</v>
      </c>
      <c r="C1212" s="32">
        <v>0</v>
      </c>
      <c r="D1212" s="32">
        <v>0</v>
      </c>
      <c r="E1212" s="19">
        <v>1</v>
      </c>
      <c r="F1212" s="19">
        <v>0</v>
      </c>
      <c r="G1212" s="33">
        <v>0</v>
      </c>
      <c r="H1212" s="32">
        <v>0</v>
      </c>
      <c r="I1212" s="32">
        <v>0</v>
      </c>
      <c r="J1212" s="16" t="s">
        <v>4770</v>
      </c>
      <c r="K1212" s="16" t="s">
        <v>5934</v>
      </c>
      <c r="L1212" s="16" t="s">
        <v>4360</v>
      </c>
    </row>
    <row r="1213" spans="1:12" ht="19.5" customHeight="1" x14ac:dyDescent="0.35">
      <c r="A1213" s="16" t="s">
        <v>3654</v>
      </c>
      <c r="B1213" s="16" t="s">
        <v>1009</v>
      </c>
      <c r="C1213" s="32">
        <v>0</v>
      </c>
      <c r="D1213" s="32">
        <v>0</v>
      </c>
      <c r="E1213" s="19">
        <v>1</v>
      </c>
      <c r="F1213" s="19">
        <v>0</v>
      </c>
      <c r="G1213" s="33">
        <v>0</v>
      </c>
      <c r="H1213" s="32">
        <v>0</v>
      </c>
      <c r="I1213" s="32">
        <v>0</v>
      </c>
      <c r="J1213" s="16" t="s">
        <v>4927</v>
      </c>
      <c r="K1213" s="16" t="s">
        <v>5935</v>
      </c>
      <c r="L1213" s="16" t="s">
        <v>4360</v>
      </c>
    </row>
    <row r="1214" spans="1:12" ht="19.5" customHeight="1" x14ac:dyDescent="0.35">
      <c r="A1214" s="16" t="s">
        <v>3655</v>
      </c>
      <c r="B1214" s="16" t="s">
        <v>989</v>
      </c>
      <c r="C1214" s="32">
        <v>0</v>
      </c>
      <c r="D1214" s="32">
        <v>0</v>
      </c>
      <c r="E1214" s="19">
        <v>1</v>
      </c>
      <c r="F1214" s="19">
        <v>0</v>
      </c>
      <c r="G1214" s="33">
        <v>0</v>
      </c>
      <c r="H1214" s="32">
        <v>0</v>
      </c>
      <c r="I1214" s="32">
        <v>0</v>
      </c>
      <c r="J1214" s="16" t="s">
        <v>5099</v>
      </c>
      <c r="K1214" s="16" t="s">
        <v>5936</v>
      </c>
      <c r="L1214" s="16" t="s">
        <v>4673</v>
      </c>
    </row>
    <row r="1215" spans="1:12" ht="19.5" customHeight="1" x14ac:dyDescent="0.35">
      <c r="A1215" s="16" t="s">
        <v>3656</v>
      </c>
      <c r="B1215" s="16" t="s">
        <v>989</v>
      </c>
      <c r="C1215" s="32">
        <v>0</v>
      </c>
      <c r="D1215" s="32">
        <v>0</v>
      </c>
      <c r="E1215" s="19">
        <v>1</v>
      </c>
      <c r="F1215" s="19">
        <v>0</v>
      </c>
      <c r="G1215" s="33">
        <v>0</v>
      </c>
      <c r="H1215" s="32">
        <v>0</v>
      </c>
      <c r="I1215" s="32">
        <v>0</v>
      </c>
      <c r="J1215" s="16" t="s">
        <v>5099</v>
      </c>
      <c r="K1215" s="16" t="s">
        <v>5936</v>
      </c>
      <c r="L1215" s="16" t="s">
        <v>4673</v>
      </c>
    </row>
    <row r="1216" spans="1:12" ht="19.5" customHeight="1" x14ac:dyDescent="0.35">
      <c r="A1216" s="16" t="s">
        <v>3657</v>
      </c>
      <c r="B1216" s="16" t="s">
        <v>1240</v>
      </c>
      <c r="C1216" s="32">
        <v>0</v>
      </c>
      <c r="D1216" s="32">
        <v>0</v>
      </c>
      <c r="E1216" s="19">
        <v>1</v>
      </c>
      <c r="F1216" s="19">
        <v>0</v>
      </c>
      <c r="G1216" s="33">
        <v>0</v>
      </c>
      <c r="H1216" s="32">
        <v>0</v>
      </c>
      <c r="I1216" s="32">
        <v>0</v>
      </c>
      <c r="J1216" s="16" t="s">
        <v>4927</v>
      </c>
      <c r="K1216" s="16" t="s">
        <v>5937</v>
      </c>
      <c r="L1216" s="16" t="s">
        <v>4673</v>
      </c>
    </row>
    <row r="1217" spans="1:12" ht="19.5" customHeight="1" x14ac:dyDescent="0.35">
      <c r="A1217" s="16" t="s">
        <v>3658</v>
      </c>
      <c r="B1217" s="16" t="s">
        <v>1129</v>
      </c>
      <c r="C1217" s="32">
        <v>0</v>
      </c>
      <c r="D1217" s="32">
        <v>0</v>
      </c>
      <c r="E1217" s="19">
        <v>1</v>
      </c>
      <c r="F1217" s="19">
        <v>0</v>
      </c>
      <c r="G1217" s="33">
        <v>0</v>
      </c>
      <c r="H1217" s="32">
        <v>0</v>
      </c>
      <c r="I1217" s="32">
        <v>0</v>
      </c>
      <c r="J1217" s="16" t="s">
        <v>4770</v>
      </c>
      <c r="K1217" s="16" t="s">
        <v>5938</v>
      </c>
      <c r="L1217" s="16" t="s">
        <v>4673</v>
      </c>
    </row>
    <row r="1218" spans="1:12" ht="19.5" customHeight="1" x14ac:dyDescent="0.35">
      <c r="A1218" s="16" t="s">
        <v>3659</v>
      </c>
      <c r="B1218" s="16" t="s">
        <v>3404</v>
      </c>
      <c r="C1218" s="32">
        <v>0</v>
      </c>
      <c r="D1218" s="32">
        <v>0</v>
      </c>
      <c r="E1218" s="19">
        <v>1</v>
      </c>
      <c r="F1218" s="19">
        <v>0</v>
      </c>
      <c r="G1218" s="33">
        <v>0</v>
      </c>
      <c r="H1218" s="32">
        <v>0</v>
      </c>
      <c r="I1218" s="32">
        <v>0</v>
      </c>
      <c r="J1218" s="16" t="s">
        <v>5067</v>
      </c>
      <c r="K1218" s="16" t="s">
        <v>5939</v>
      </c>
      <c r="L1218" s="16" t="s">
        <v>4673</v>
      </c>
    </row>
    <row r="1219" spans="1:12" ht="19.5" customHeight="1" x14ac:dyDescent="0.35">
      <c r="A1219" s="16" t="s">
        <v>3660</v>
      </c>
      <c r="B1219" s="16" t="s">
        <v>989</v>
      </c>
      <c r="C1219" s="32">
        <v>0</v>
      </c>
      <c r="D1219" s="32">
        <v>0</v>
      </c>
      <c r="E1219" s="19">
        <v>1</v>
      </c>
      <c r="F1219" s="19">
        <v>0</v>
      </c>
      <c r="G1219" s="33">
        <v>0</v>
      </c>
      <c r="H1219" s="32">
        <v>0</v>
      </c>
      <c r="I1219" s="32">
        <v>0</v>
      </c>
      <c r="J1219" s="16" t="s">
        <v>4684</v>
      </c>
      <c r="K1219" s="16" t="s">
        <v>5940</v>
      </c>
      <c r="L1219" s="16" t="s">
        <v>4673</v>
      </c>
    </row>
    <row r="1220" spans="1:12" ht="19.5" customHeight="1" x14ac:dyDescent="0.35">
      <c r="A1220" s="16" t="s">
        <v>3661</v>
      </c>
      <c r="B1220" s="16" t="s">
        <v>898</v>
      </c>
      <c r="C1220" s="32">
        <v>0</v>
      </c>
      <c r="D1220" s="32">
        <v>0</v>
      </c>
      <c r="E1220" s="19">
        <v>1</v>
      </c>
      <c r="F1220" s="19">
        <v>0</v>
      </c>
      <c r="G1220" s="33">
        <v>0</v>
      </c>
      <c r="H1220" s="32">
        <v>0</v>
      </c>
      <c r="I1220" s="32">
        <v>0</v>
      </c>
      <c r="J1220" s="16" t="s">
        <v>5067</v>
      </c>
      <c r="K1220" s="16" t="s">
        <v>5941</v>
      </c>
      <c r="L1220" s="16" t="s">
        <v>4673</v>
      </c>
    </row>
    <row r="1221" spans="1:12" ht="19.5" customHeight="1" x14ac:dyDescent="0.35">
      <c r="A1221" s="16" t="s">
        <v>3662</v>
      </c>
      <c r="B1221" s="16" t="s">
        <v>989</v>
      </c>
      <c r="C1221" s="32">
        <v>0</v>
      </c>
      <c r="D1221" s="32">
        <v>0</v>
      </c>
      <c r="E1221" s="19">
        <v>1</v>
      </c>
      <c r="F1221" s="19">
        <v>0</v>
      </c>
      <c r="G1221" s="33">
        <v>0</v>
      </c>
      <c r="H1221" s="32">
        <v>0</v>
      </c>
      <c r="I1221" s="32">
        <v>0</v>
      </c>
      <c r="J1221" s="16" t="s">
        <v>5067</v>
      </c>
      <c r="K1221" s="16" t="s">
        <v>5942</v>
      </c>
      <c r="L1221" s="16" t="s">
        <v>4673</v>
      </c>
    </row>
    <row r="1222" spans="1:12" ht="19.5" customHeight="1" x14ac:dyDescent="0.35">
      <c r="A1222" s="16" t="s">
        <v>3663</v>
      </c>
      <c r="B1222" s="16" t="s">
        <v>2598</v>
      </c>
      <c r="C1222" s="32">
        <v>0</v>
      </c>
      <c r="D1222" s="32">
        <v>0</v>
      </c>
      <c r="E1222" s="19">
        <v>1</v>
      </c>
      <c r="F1222" s="19">
        <v>1</v>
      </c>
      <c r="G1222" s="33">
        <v>1</v>
      </c>
      <c r="H1222" s="32">
        <v>0</v>
      </c>
      <c r="I1222" s="32">
        <v>0</v>
      </c>
      <c r="J1222" s="16" t="s">
        <v>4927</v>
      </c>
      <c r="K1222" s="16" t="s">
        <v>5943</v>
      </c>
      <c r="L1222" s="16" t="s">
        <v>4673</v>
      </c>
    </row>
    <row r="1223" spans="1:12" ht="19.5" customHeight="1" x14ac:dyDescent="0.35">
      <c r="A1223" s="16" t="s">
        <v>3664</v>
      </c>
      <c r="B1223" s="16" t="s">
        <v>909</v>
      </c>
      <c r="C1223" s="32">
        <v>0</v>
      </c>
      <c r="D1223" s="32">
        <v>0</v>
      </c>
      <c r="E1223" s="19">
        <v>1</v>
      </c>
      <c r="F1223" s="19">
        <v>0</v>
      </c>
      <c r="G1223" s="33">
        <v>0</v>
      </c>
      <c r="H1223" s="32">
        <v>0</v>
      </c>
      <c r="I1223" s="32">
        <v>0</v>
      </c>
      <c r="J1223" s="16" t="s">
        <v>4770</v>
      </c>
      <c r="K1223" s="16" t="s">
        <v>5944</v>
      </c>
      <c r="L1223" s="16" t="s">
        <v>4673</v>
      </c>
    </row>
    <row r="1224" spans="1:12" ht="19.5" customHeight="1" x14ac:dyDescent="0.35">
      <c r="A1224" s="16" t="s">
        <v>3665</v>
      </c>
      <c r="B1224" s="16" t="s">
        <v>1101</v>
      </c>
      <c r="C1224" s="32">
        <v>0</v>
      </c>
      <c r="D1224" s="32">
        <v>0</v>
      </c>
      <c r="E1224" s="19">
        <v>1</v>
      </c>
      <c r="F1224" s="19">
        <v>0</v>
      </c>
      <c r="G1224" s="33">
        <v>0</v>
      </c>
      <c r="H1224" s="32">
        <v>0</v>
      </c>
      <c r="I1224" s="32">
        <v>0</v>
      </c>
      <c r="J1224" s="16" t="s">
        <v>5099</v>
      </c>
      <c r="K1224" s="16" t="s">
        <v>5945</v>
      </c>
      <c r="L1224" s="16" t="s">
        <v>4673</v>
      </c>
    </row>
    <row r="1225" spans="1:12" ht="19.5" customHeight="1" x14ac:dyDescent="0.35">
      <c r="A1225" s="16" t="s">
        <v>3666</v>
      </c>
      <c r="B1225" s="16" t="s">
        <v>1101</v>
      </c>
      <c r="C1225" s="32">
        <v>0</v>
      </c>
      <c r="D1225" s="32">
        <v>0</v>
      </c>
      <c r="E1225" s="19">
        <v>1</v>
      </c>
      <c r="F1225" s="19">
        <v>0</v>
      </c>
      <c r="G1225" s="33">
        <v>0</v>
      </c>
      <c r="H1225" s="32">
        <v>0</v>
      </c>
      <c r="I1225" s="32">
        <v>0</v>
      </c>
      <c r="J1225" s="16" t="s">
        <v>5099</v>
      </c>
      <c r="K1225" s="16" t="s">
        <v>5946</v>
      </c>
      <c r="L1225" s="16" t="s">
        <v>4673</v>
      </c>
    </row>
    <row r="1226" spans="1:12" ht="19.5" customHeight="1" x14ac:dyDescent="0.35">
      <c r="A1226" s="16" t="s">
        <v>3667</v>
      </c>
      <c r="B1226" s="16" t="s">
        <v>1136</v>
      </c>
      <c r="C1226" s="32">
        <v>0</v>
      </c>
      <c r="D1226" s="32">
        <v>0</v>
      </c>
      <c r="E1226" s="19">
        <v>1</v>
      </c>
      <c r="F1226" s="19">
        <v>0</v>
      </c>
      <c r="G1226" s="33">
        <v>0</v>
      </c>
      <c r="H1226" s="32">
        <v>0</v>
      </c>
      <c r="I1226" s="32">
        <v>0</v>
      </c>
      <c r="J1226" s="16" t="s">
        <v>4770</v>
      </c>
      <c r="K1226" s="16" t="s">
        <v>5947</v>
      </c>
      <c r="L1226" s="16" t="s">
        <v>4673</v>
      </c>
    </row>
    <row r="1227" spans="1:12" ht="19.5" customHeight="1" x14ac:dyDescent="0.35">
      <c r="A1227" s="16" t="s">
        <v>3668</v>
      </c>
      <c r="B1227" s="16" t="s">
        <v>1111</v>
      </c>
      <c r="C1227" s="32">
        <v>0</v>
      </c>
      <c r="D1227" s="32">
        <v>0</v>
      </c>
      <c r="E1227" s="19">
        <v>1</v>
      </c>
      <c r="F1227" s="19">
        <v>0</v>
      </c>
      <c r="G1227" s="33">
        <v>0</v>
      </c>
      <c r="H1227" s="32">
        <v>0</v>
      </c>
      <c r="I1227" s="32">
        <v>0</v>
      </c>
      <c r="J1227" s="16" t="s">
        <v>4927</v>
      </c>
      <c r="K1227" s="16" t="s">
        <v>5948</v>
      </c>
      <c r="L1227" s="16" t="s">
        <v>4673</v>
      </c>
    </row>
    <row r="1228" spans="1:12" ht="19.5" customHeight="1" x14ac:dyDescent="0.35">
      <c r="A1228" s="16" t="s">
        <v>3669</v>
      </c>
      <c r="B1228" s="16" t="s">
        <v>1494</v>
      </c>
      <c r="C1228" s="32">
        <v>0</v>
      </c>
      <c r="D1228" s="32">
        <v>0</v>
      </c>
      <c r="E1228" s="19">
        <v>1</v>
      </c>
      <c r="F1228" s="19">
        <v>0</v>
      </c>
      <c r="G1228" s="33">
        <v>0</v>
      </c>
      <c r="H1228" s="32">
        <v>0</v>
      </c>
      <c r="I1228" s="32">
        <v>0</v>
      </c>
      <c r="J1228" s="16" t="s">
        <v>5067</v>
      </c>
      <c r="K1228" s="16" t="s">
        <v>5949</v>
      </c>
      <c r="L1228" s="16" t="s">
        <v>4673</v>
      </c>
    </row>
    <row r="1229" spans="1:12" ht="19.5" customHeight="1" x14ac:dyDescent="0.35">
      <c r="A1229" s="16" t="s">
        <v>3670</v>
      </c>
      <c r="B1229" s="16" t="s">
        <v>909</v>
      </c>
      <c r="C1229" s="32">
        <v>0</v>
      </c>
      <c r="D1229" s="32">
        <v>0</v>
      </c>
      <c r="E1229" s="19">
        <v>1</v>
      </c>
      <c r="F1229" s="19">
        <v>0</v>
      </c>
      <c r="G1229" s="33">
        <v>0</v>
      </c>
      <c r="H1229" s="32">
        <v>0</v>
      </c>
      <c r="I1229" s="32">
        <v>0</v>
      </c>
      <c r="J1229" s="16" t="s">
        <v>4770</v>
      </c>
      <c r="K1229" s="16" t="s">
        <v>5950</v>
      </c>
      <c r="L1229" s="16" t="s">
        <v>4673</v>
      </c>
    </row>
    <row r="1230" spans="1:12" ht="19.5" customHeight="1" x14ac:dyDescent="0.35">
      <c r="A1230" s="16" t="s">
        <v>3671</v>
      </c>
      <c r="B1230" s="16" t="s">
        <v>2598</v>
      </c>
      <c r="C1230" s="32">
        <v>0</v>
      </c>
      <c r="D1230" s="32">
        <v>0</v>
      </c>
      <c r="E1230" s="19">
        <v>1</v>
      </c>
      <c r="F1230" s="19">
        <v>1</v>
      </c>
      <c r="G1230" s="33">
        <v>1</v>
      </c>
      <c r="H1230" s="32">
        <v>0</v>
      </c>
      <c r="I1230" s="32">
        <v>0</v>
      </c>
      <c r="J1230" s="16" t="s">
        <v>4927</v>
      </c>
      <c r="K1230" s="16" t="s">
        <v>5951</v>
      </c>
      <c r="L1230" s="16" t="s">
        <v>4673</v>
      </c>
    </row>
    <row r="1231" spans="1:12" ht="19.5" customHeight="1" x14ac:dyDescent="0.35">
      <c r="A1231" s="16" t="s">
        <v>3672</v>
      </c>
      <c r="B1231" s="16" t="s">
        <v>1101</v>
      </c>
      <c r="C1231" s="32">
        <v>0</v>
      </c>
      <c r="D1231" s="32">
        <v>0</v>
      </c>
      <c r="E1231" s="19">
        <v>1</v>
      </c>
      <c r="F1231" s="19">
        <v>0</v>
      </c>
      <c r="G1231" s="33">
        <v>0</v>
      </c>
      <c r="H1231" s="32">
        <v>0</v>
      </c>
      <c r="I1231" s="32">
        <v>0</v>
      </c>
      <c r="J1231" s="16" t="s">
        <v>4927</v>
      </c>
      <c r="K1231" s="16" t="s">
        <v>5952</v>
      </c>
      <c r="L1231" s="16" t="s">
        <v>4673</v>
      </c>
    </row>
    <row r="1232" spans="1:12" ht="19.5" customHeight="1" x14ac:dyDescent="0.35">
      <c r="A1232" s="16" t="s">
        <v>3673</v>
      </c>
      <c r="B1232" s="16" t="s">
        <v>1212</v>
      </c>
      <c r="C1232" s="32">
        <v>0</v>
      </c>
      <c r="D1232" s="32">
        <v>0</v>
      </c>
      <c r="E1232" s="19">
        <v>1</v>
      </c>
      <c r="F1232" s="19">
        <v>0</v>
      </c>
      <c r="G1232" s="33">
        <v>0</v>
      </c>
      <c r="H1232" s="32">
        <v>0</v>
      </c>
      <c r="I1232" s="32">
        <v>0</v>
      </c>
      <c r="J1232" s="16" t="s">
        <v>5359</v>
      </c>
      <c r="K1232" s="16" t="s">
        <v>5953</v>
      </c>
      <c r="L1232" s="16" t="s">
        <v>4673</v>
      </c>
    </row>
    <row r="1233" spans="1:12" ht="19.5" customHeight="1" x14ac:dyDescent="0.35">
      <c r="A1233" s="16" t="s">
        <v>3674</v>
      </c>
      <c r="B1233" s="16" t="s">
        <v>1143</v>
      </c>
      <c r="C1233" s="32">
        <v>0</v>
      </c>
      <c r="D1233" s="32">
        <v>0</v>
      </c>
      <c r="E1233" s="19">
        <v>1</v>
      </c>
      <c r="F1233" s="19">
        <v>0</v>
      </c>
      <c r="G1233" s="33">
        <v>0</v>
      </c>
      <c r="H1233" s="32">
        <v>0</v>
      </c>
      <c r="I1233" s="32">
        <v>0</v>
      </c>
      <c r="J1233" s="16" t="s">
        <v>4770</v>
      </c>
      <c r="K1233" s="16" t="s">
        <v>5954</v>
      </c>
      <c r="L1233" s="16" t="s">
        <v>4686</v>
      </c>
    </row>
    <row r="1234" spans="1:12" ht="19.5" customHeight="1" x14ac:dyDescent="0.35">
      <c r="A1234" s="16" t="s">
        <v>3675</v>
      </c>
      <c r="B1234" s="16" t="s">
        <v>1009</v>
      </c>
      <c r="C1234" s="32">
        <v>0</v>
      </c>
      <c r="D1234" s="32">
        <v>0</v>
      </c>
      <c r="E1234" s="19">
        <v>1</v>
      </c>
      <c r="F1234" s="19">
        <v>0</v>
      </c>
      <c r="G1234" s="33">
        <v>0</v>
      </c>
      <c r="H1234" s="32">
        <v>0</v>
      </c>
      <c r="I1234" s="32">
        <v>0</v>
      </c>
      <c r="J1234" s="16" t="s">
        <v>4927</v>
      </c>
      <c r="K1234" s="16" t="s">
        <v>5955</v>
      </c>
      <c r="L1234" s="16" t="s">
        <v>4686</v>
      </c>
    </row>
    <row r="1235" spans="1:12" ht="19.5" customHeight="1" x14ac:dyDescent="0.35">
      <c r="A1235" s="16" t="s">
        <v>3676</v>
      </c>
      <c r="B1235" s="16" t="s">
        <v>1077</v>
      </c>
      <c r="C1235" s="32">
        <v>0</v>
      </c>
      <c r="D1235" s="32">
        <v>0</v>
      </c>
      <c r="E1235" s="19">
        <v>1</v>
      </c>
      <c r="F1235" s="19">
        <v>0</v>
      </c>
      <c r="G1235" s="33">
        <v>0</v>
      </c>
      <c r="H1235" s="32">
        <v>0</v>
      </c>
      <c r="I1235" s="32">
        <v>0</v>
      </c>
      <c r="J1235" s="16" t="s">
        <v>5178</v>
      </c>
      <c r="K1235" s="16" t="s">
        <v>5956</v>
      </c>
      <c r="L1235" s="16" t="s">
        <v>4871</v>
      </c>
    </row>
    <row r="1236" spans="1:12" ht="19.5" customHeight="1" x14ac:dyDescent="0.35">
      <c r="A1236" s="16" t="s">
        <v>3677</v>
      </c>
      <c r="B1236" s="16" t="s">
        <v>909</v>
      </c>
      <c r="C1236" s="32">
        <v>0</v>
      </c>
      <c r="D1236" s="32">
        <v>0</v>
      </c>
      <c r="E1236" s="19">
        <v>1</v>
      </c>
      <c r="F1236" s="19">
        <v>0</v>
      </c>
      <c r="G1236" s="33">
        <v>0</v>
      </c>
      <c r="H1236" s="32">
        <v>0</v>
      </c>
      <c r="I1236" s="32">
        <v>0</v>
      </c>
      <c r="J1236" s="16" t="s">
        <v>4770</v>
      </c>
      <c r="K1236" s="16" t="s">
        <v>5957</v>
      </c>
      <c r="L1236" s="16" t="s">
        <v>4871</v>
      </c>
    </row>
    <row r="1237" spans="1:12" ht="19.5" customHeight="1" x14ac:dyDescent="0.35">
      <c r="A1237" s="16" t="s">
        <v>3678</v>
      </c>
      <c r="B1237" s="16" t="s">
        <v>1494</v>
      </c>
      <c r="C1237" s="32">
        <v>0</v>
      </c>
      <c r="D1237" s="32">
        <v>0</v>
      </c>
      <c r="E1237" s="19">
        <v>1</v>
      </c>
      <c r="F1237" s="19">
        <v>0</v>
      </c>
      <c r="G1237" s="33">
        <v>0</v>
      </c>
      <c r="H1237" s="32">
        <v>0</v>
      </c>
      <c r="I1237" s="32">
        <v>0</v>
      </c>
      <c r="J1237" s="16" t="s">
        <v>5067</v>
      </c>
      <c r="K1237" s="16" t="s">
        <v>5958</v>
      </c>
      <c r="L1237" s="16" t="s">
        <v>4871</v>
      </c>
    </row>
    <row r="1238" spans="1:12" ht="19.5" customHeight="1" x14ac:dyDescent="0.35">
      <c r="A1238" s="16" t="s">
        <v>3679</v>
      </c>
      <c r="B1238" s="16" t="s">
        <v>1240</v>
      </c>
      <c r="C1238" s="32">
        <v>0</v>
      </c>
      <c r="D1238" s="32">
        <v>0</v>
      </c>
      <c r="E1238" s="19">
        <v>1</v>
      </c>
      <c r="F1238" s="19">
        <v>0</v>
      </c>
      <c r="G1238" s="33">
        <v>0</v>
      </c>
      <c r="H1238" s="32">
        <v>0</v>
      </c>
      <c r="I1238" s="32">
        <v>0</v>
      </c>
      <c r="J1238" s="16" t="s">
        <v>4927</v>
      </c>
      <c r="K1238" s="16" t="s">
        <v>5959</v>
      </c>
      <c r="L1238" s="16" t="s">
        <v>4871</v>
      </c>
    </row>
    <row r="1239" spans="1:12" ht="19.5" customHeight="1" x14ac:dyDescent="0.35">
      <c r="A1239" s="16" t="s">
        <v>3680</v>
      </c>
      <c r="B1239" s="16" t="s">
        <v>1143</v>
      </c>
      <c r="C1239" s="32">
        <v>0</v>
      </c>
      <c r="D1239" s="32">
        <v>0</v>
      </c>
      <c r="E1239" s="19">
        <v>1</v>
      </c>
      <c r="F1239" s="19">
        <v>0</v>
      </c>
      <c r="G1239" s="33">
        <v>0</v>
      </c>
      <c r="H1239" s="32">
        <v>0</v>
      </c>
      <c r="I1239" s="32">
        <v>0</v>
      </c>
      <c r="J1239" s="16" t="s">
        <v>4770</v>
      </c>
      <c r="K1239" s="16" t="s">
        <v>5960</v>
      </c>
      <c r="L1239" s="16" t="s">
        <v>4871</v>
      </c>
    </row>
    <row r="1240" spans="1:12" ht="19.5" customHeight="1" x14ac:dyDescent="0.35">
      <c r="A1240" s="16" t="s">
        <v>3681</v>
      </c>
      <c r="B1240" s="16" t="s">
        <v>1077</v>
      </c>
      <c r="C1240" s="32">
        <v>0</v>
      </c>
      <c r="D1240" s="32">
        <v>0</v>
      </c>
      <c r="E1240" s="19">
        <v>1</v>
      </c>
      <c r="F1240" s="19">
        <v>0</v>
      </c>
      <c r="G1240" s="33">
        <v>0</v>
      </c>
      <c r="H1240" s="32">
        <v>0</v>
      </c>
      <c r="I1240" s="32">
        <v>0</v>
      </c>
      <c r="J1240" s="16" t="s">
        <v>4770</v>
      </c>
      <c r="K1240" s="16" t="s">
        <v>5961</v>
      </c>
      <c r="L1240" s="16" t="s">
        <v>4871</v>
      </c>
    </row>
    <row r="1241" spans="1:12" ht="19.5" customHeight="1" x14ac:dyDescent="0.35">
      <c r="A1241" s="16" t="s">
        <v>3682</v>
      </c>
      <c r="B1241" s="16" t="s">
        <v>942</v>
      </c>
      <c r="C1241" s="32">
        <v>0</v>
      </c>
      <c r="D1241" s="32">
        <v>0</v>
      </c>
      <c r="E1241" s="19">
        <v>1</v>
      </c>
      <c r="F1241" s="19">
        <v>1</v>
      </c>
      <c r="G1241" s="33">
        <v>1</v>
      </c>
      <c r="H1241" s="32">
        <v>0</v>
      </c>
      <c r="I1241" s="32">
        <v>0</v>
      </c>
      <c r="J1241" s="16" t="s">
        <v>4770</v>
      </c>
      <c r="K1241" s="16" t="s">
        <v>5962</v>
      </c>
      <c r="L1241" s="16" t="s">
        <v>4871</v>
      </c>
    </row>
    <row r="1242" spans="1:12" ht="19.5" customHeight="1" x14ac:dyDescent="0.35">
      <c r="A1242" s="16" t="s">
        <v>3683</v>
      </c>
      <c r="B1242" s="16" t="s">
        <v>1077</v>
      </c>
      <c r="C1242" s="32">
        <v>0</v>
      </c>
      <c r="D1242" s="32">
        <v>0</v>
      </c>
      <c r="E1242" s="19">
        <v>1</v>
      </c>
      <c r="F1242" s="19">
        <v>0</v>
      </c>
      <c r="G1242" s="33">
        <v>0</v>
      </c>
      <c r="H1242" s="32">
        <v>0</v>
      </c>
      <c r="I1242" s="32">
        <v>0</v>
      </c>
      <c r="J1242" s="16" t="s">
        <v>4770</v>
      </c>
      <c r="K1242" s="16" t="s">
        <v>5963</v>
      </c>
      <c r="L1242" s="16" t="s">
        <v>4871</v>
      </c>
    </row>
    <row r="1243" spans="1:12" ht="19.5" customHeight="1" x14ac:dyDescent="0.35">
      <c r="A1243" s="16" t="s">
        <v>3684</v>
      </c>
      <c r="B1243" s="16" t="s">
        <v>1077</v>
      </c>
      <c r="C1243" s="32">
        <v>0</v>
      </c>
      <c r="D1243" s="32">
        <v>0</v>
      </c>
      <c r="E1243" s="19">
        <v>1</v>
      </c>
      <c r="F1243" s="19">
        <v>0</v>
      </c>
      <c r="G1243" s="33">
        <v>0</v>
      </c>
      <c r="H1243" s="32">
        <v>0</v>
      </c>
      <c r="I1243" s="32">
        <v>0</v>
      </c>
      <c r="J1243" s="16" t="s">
        <v>4684</v>
      </c>
      <c r="K1243" s="16" t="s">
        <v>5964</v>
      </c>
      <c r="L1243" s="16" t="s">
        <v>4360</v>
      </c>
    </row>
    <row r="1244" spans="1:12" ht="19.5" customHeight="1" x14ac:dyDescent="0.35">
      <c r="A1244" s="16" t="s">
        <v>3685</v>
      </c>
      <c r="B1244" s="16" t="s">
        <v>2971</v>
      </c>
      <c r="C1244" s="32">
        <v>0</v>
      </c>
      <c r="D1244" s="32">
        <v>0</v>
      </c>
      <c r="E1244" s="19">
        <v>1</v>
      </c>
      <c r="F1244" s="19">
        <v>0</v>
      </c>
      <c r="G1244" s="33">
        <v>0</v>
      </c>
      <c r="H1244" s="32">
        <v>0</v>
      </c>
      <c r="I1244" s="32">
        <v>0</v>
      </c>
      <c r="J1244" s="16" t="s">
        <v>5178</v>
      </c>
      <c r="K1244" s="16" t="s">
        <v>5965</v>
      </c>
      <c r="L1244" s="16" t="s">
        <v>4360</v>
      </c>
    </row>
    <row r="1245" spans="1:12" ht="19.5" customHeight="1" x14ac:dyDescent="0.35">
      <c r="A1245" s="16" t="s">
        <v>3686</v>
      </c>
      <c r="B1245" s="16" t="s">
        <v>1077</v>
      </c>
      <c r="C1245" s="32">
        <v>0</v>
      </c>
      <c r="D1245" s="32">
        <v>0</v>
      </c>
      <c r="E1245" s="19">
        <v>1</v>
      </c>
      <c r="F1245" s="19">
        <v>0</v>
      </c>
      <c r="G1245" s="33">
        <v>0</v>
      </c>
      <c r="H1245" s="32">
        <v>0</v>
      </c>
      <c r="I1245" s="32">
        <v>0</v>
      </c>
      <c r="J1245" s="16" t="s">
        <v>4770</v>
      </c>
      <c r="K1245" s="16" t="s">
        <v>5966</v>
      </c>
      <c r="L1245" s="16" t="s">
        <v>4360</v>
      </c>
    </row>
    <row r="1246" spans="1:12" ht="19.5" customHeight="1" x14ac:dyDescent="0.35">
      <c r="A1246" s="16" t="s">
        <v>3687</v>
      </c>
      <c r="B1246" s="16" t="s">
        <v>1077</v>
      </c>
      <c r="C1246" s="32">
        <v>0</v>
      </c>
      <c r="D1246" s="32">
        <v>0</v>
      </c>
      <c r="E1246" s="19">
        <v>1</v>
      </c>
      <c r="F1246" s="19">
        <v>0</v>
      </c>
      <c r="G1246" s="33">
        <v>0</v>
      </c>
      <c r="H1246" s="32">
        <v>0</v>
      </c>
      <c r="I1246" s="32">
        <v>0</v>
      </c>
      <c r="J1246" s="16" t="s">
        <v>4770</v>
      </c>
      <c r="K1246" s="16" t="s">
        <v>5966</v>
      </c>
      <c r="L1246" s="16" t="s">
        <v>4360</v>
      </c>
    </row>
    <row r="1247" spans="1:12" ht="19.5" customHeight="1" x14ac:dyDescent="0.35">
      <c r="A1247" s="16" t="s">
        <v>3688</v>
      </c>
      <c r="B1247" s="16" t="s">
        <v>1077</v>
      </c>
      <c r="C1247" s="32">
        <v>0</v>
      </c>
      <c r="D1247" s="32">
        <v>0</v>
      </c>
      <c r="E1247" s="19">
        <v>1</v>
      </c>
      <c r="F1247" s="19">
        <v>0</v>
      </c>
      <c r="G1247" s="33">
        <v>0</v>
      </c>
      <c r="H1247" s="32">
        <v>0</v>
      </c>
      <c r="I1247" s="32">
        <v>0</v>
      </c>
      <c r="J1247" s="16" t="s">
        <v>4770</v>
      </c>
      <c r="K1247" s="16" t="s">
        <v>5966</v>
      </c>
      <c r="L1247" s="16" t="s">
        <v>4360</v>
      </c>
    </row>
    <row r="1248" spans="1:12" ht="19.5" customHeight="1" x14ac:dyDescent="0.35">
      <c r="A1248" s="16" t="s">
        <v>3689</v>
      </c>
      <c r="B1248" s="16" t="s">
        <v>1077</v>
      </c>
      <c r="C1248" s="32">
        <v>0</v>
      </c>
      <c r="D1248" s="32">
        <v>0</v>
      </c>
      <c r="E1248" s="19">
        <v>1</v>
      </c>
      <c r="F1248" s="19">
        <v>0</v>
      </c>
      <c r="G1248" s="33">
        <v>0</v>
      </c>
      <c r="H1248" s="32">
        <v>0</v>
      </c>
      <c r="I1248" s="32">
        <v>0</v>
      </c>
      <c r="J1248" s="16" t="s">
        <v>4770</v>
      </c>
      <c r="K1248" s="16" t="s">
        <v>5966</v>
      </c>
      <c r="L1248" s="16" t="s">
        <v>4360</v>
      </c>
    </row>
    <row r="1249" spans="1:12" ht="19.5" customHeight="1" x14ac:dyDescent="0.35">
      <c r="A1249" s="16" t="s">
        <v>3690</v>
      </c>
      <c r="B1249" s="16" t="s">
        <v>1111</v>
      </c>
      <c r="C1249" s="32">
        <v>0</v>
      </c>
      <c r="D1249" s="32">
        <v>0</v>
      </c>
      <c r="E1249" s="19">
        <v>1</v>
      </c>
      <c r="F1249" s="19">
        <v>0</v>
      </c>
      <c r="G1249" s="33">
        <v>0</v>
      </c>
      <c r="H1249" s="32">
        <v>0</v>
      </c>
      <c r="I1249" s="32">
        <v>0</v>
      </c>
      <c r="J1249" s="16" t="s">
        <v>4927</v>
      </c>
      <c r="K1249" s="16" t="s">
        <v>5967</v>
      </c>
      <c r="L1249" s="16" t="s">
        <v>4360</v>
      </c>
    </row>
    <row r="1250" spans="1:12" ht="19.5" customHeight="1" x14ac:dyDescent="0.35">
      <c r="A1250" s="16" t="s">
        <v>3691</v>
      </c>
      <c r="B1250" s="16" t="s">
        <v>1494</v>
      </c>
      <c r="C1250" s="32">
        <v>0</v>
      </c>
      <c r="D1250" s="32">
        <v>0</v>
      </c>
      <c r="E1250" s="19">
        <v>1</v>
      </c>
      <c r="F1250" s="19">
        <v>0</v>
      </c>
      <c r="G1250" s="33">
        <v>0</v>
      </c>
      <c r="H1250" s="32">
        <v>0</v>
      </c>
      <c r="I1250" s="32">
        <v>0</v>
      </c>
      <c r="J1250" s="16" t="s">
        <v>5067</v>
      </c>
      <c r="K1250" s="16" t="s">
        <v>5968</v>
      </c>
      <c r="L1250" s="16" t="s">
        <v>4673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A5A5A5"/>
    <pageSetUpPr fitToPage="1"/>
  </sheetPr>
  <dimension ref="A1:E132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14" customWidth="1"/>
    <col min="2" max="2" width="17.81640625" customWidth="1"/>
    <col min="3" max="3" width="27.54296875" customWidth="1"/>
    <col min="4" max="4" width="14" customWidth="1"/>
    <col min="5" max="5" width="28.1796875" customWidth="1"/>
  </cols>
  <sheetData>
    <row r="1" spans="1:5" ht="19.5" customHeight="1" x14ac:dyDescent="0.35">
      <c r="A1" s="31" t="s">
        <v>66</v>
      </c>
      <c r="B1" s="2"/>
      <c r="C1" s="2"/>
      <c r="D1" s="2"/>
      <c r="E1" s="2"/>
    </row>
    <row r="2" spans="1:5" ht="19.5" customHeight="1" x14ac:dyDescent="0.35">
      <c r="A2" s="20" t="s">
        <v>5969</v>
      </c>
      <c r="B2" s="2"/>
      <c r="C2" s="2"/>
      <c r="D2" s="2"/>
      <c r="E2" s="2"/>
    </row>
    <row r="3" spans="1:5" ht="19.5" customHeight="1" x14ac:dyDescent="0.35">
      <c r="A3" s="17" t="s">
        <v>3706</v>
      </c>
      <c r="B3" s="17" t="s">
        <v>5970</v>
      </c>
      <c r="C3" s="17" t="s">
        <v>5971</v>
      </c>
      <c r="D3" s="17" t="s">
        <v>5972</v>
      </c>
      <c r="E3" s="17" t="s">
        <v>32</v>
      </c>
    </row>
    <row r="4" spans="1:5" ht="19.5" customHeight="1" x14ac:dyDescent="0.35">
      <c r="A4" s="21" t="s">
        <v>650</v>
      </c>
      <c r="B4" s="21" t="s">
        <v>5973</v>
      </c>
      <c r="C4" s="21" t="s">
        <v>652</v>
      </c>
      <c r="D4" s="34">
        <v>0.93573742972360596</v>
      </c>
      <c r="E4" s="21" t="s">
        <v>5974</v>
      </c>
    </row>
    <row r="5" spans="1:5" ht="19.5" customHeight="1" x14ac:dyDescent="0.35">
      <c r="A5" s="21" t="s">
        <v>650</v>
      </c>
      <c r="B5" s="21" t="s">
        <v>5975</v>
      </c>
      <c r="C5" s="21" t="s">
        <v>658</v>
      </c>
      <c r="D5" s="34">
        <v>0.93788845059748105</v>
      </c>
      <c r="E5" s="21" t="s">
        <v>5974</v>
      </c>
    </row>
    <row r="6" spans="1:5" ht="19.5" customHeight="1" x14ac:dyDescent="0.35">
      <c r="A6" s="21" t="s">
        <v>660</v>
      </c>
      <c r="B6" s="21" t="s">
        <v>5976</v>
      </c>
      <c r="C6" s="21" t="s">
        <v>661</v>
      </c>
      <c r="D6" s="34">
        <v>0.85009311418934097</v>
      </c>
      <c r="E6" s="21" t="s">
        <v>5974</v>
      </c>
    </row>
    <row r="7" spans="1:5" ht="19.5" customHeight="1" x14ac:dyDescent="0.35">
      <c r="A7" s="21" t="s">
        <v>663</v>
      </c>
      <c r="B7" s="21" t="s">
        <v>5977</v>
      </c>
      <c r="C7" s="21" t="s">
        <v>664</v>
      </c>
      <c r="D7" s="34">
        <v>0.89155039501153299</v>
      </c>
      <c r="E7" s="21" t="s">
        <v>5974</v>
      </c>
    </row>
    <row r="8" spans="1:5" ht="19.5" customHeight="1" x14ac:dyDescent="0.35">
      <c r="A8" s="21" t="s">
        <v>663</v>
      </c>
      <c r="B8" s="21" t="s">
        <v>5978</v>
      </c>
      <c r="C8" s="21" t="s">
        <v>666</v>
      </c>
      <c r="D8" s="34">
        <v>0.89417700866197702</v>
      </c>
      <c r="E8" s="21" t="s">
        <v>5974</v>
      </c>
    </row>
    <row r="9" spans="1:5" ht="19.5" customHeight="1" x14ac:dyDescent="0.35">
      <c r="A9" s="21" t="s">
        <v>660</v>
      </c>
      <c r="B9" s="21" t="s">
        <v>5979</v>
      </c>
      <c r="C9" s="21" t="s">
        <v>668</v>
      </c>
      <c r="D9" s="34">
        <v>0.88299186741387103</v>
      </c>
      <c r="E9" s="21" t="s">
        <v>5974</v>
      </c>
    </row>
    <row r="10" spans="1:5" ht="19.5" customHeight="1" x14ac:dyDescent="0.35">
      <c r="A10" s="21" t="s">
        <v>660</v>
      </c>
      <c r="B10" s="21" t="s">
        <v>5980</v>
      </c>
      <c r="C10" s="21" t="s">
        <v>670</v>
      </c>
      <c r="D10" s="34">
        <v>0.86696437707349105</v>
      </c>
      <c r="E10" s="21" t="s">
        <v>5974</v>
      </c>
    </row>
    <row r="11" spans="1:5" ht="19.5" customHeight="1" x14ac:dyDescent="0.35">
      <c r="A11" s="21" t="s">
        <v>660</v>
      </c>
      <c r="B11" s="21" t="s">
        <v>5981</v>
      </c>
      <c r="C11" s="21" t="s">
        <v>672</v>
      </c>
      <c r="D11" s="34">
        <v>0.742419434114447</v>
      </c>
      <c r="E11" s="21" t="s">
        <v>5974</v>
      </c>
    </row>
    <row r="12" spans="1:5" ht="19.5" customHeight="1" x14ac:dyDescent="0.35">
      <c r="A12" s="21" t="s">
        <v>660</v>
      </c>
      <c r="B12" s="21" t="s">
        <v>5982</v>
      </c>
      <c r="C12" s="21" t="s">
        <v>674</v>
      </c>
      <c r="D12" s="34">
        <v>0.74045890499767397</v>
      </c>
      <c r="E12" s="21" t="s">
        <v>5974</v>
      </c>
    </row>
    <row r="13" spans="1:5" ht="19.5" customHeight="1" x14ac:dyDescent="0.35">
      <c r="A13" s="21" t="s">
        <v>676</v>
      </c>
      <c r="B13" s="21" t="s">
        <v>5983</v>
      </c>
      <c r="C13" s="21" t="s">
        <v>677</v>
      </c>
      <c r="D13" s="34">
        <v>0.89959501057090496</v>
      </c>
      <c r="E13" s="21" t="s">
        <v>5974</v>
      </c>
    </row>
    <row r="14" spans="1:5" ht="19.5" customHeight="1" x14ac:dyDescent="0.35">
      <c r="A14" s="21" t="s">
        <v>679</v>
      </c>
      <c r="B14" s="21" t="s">
        <v>5984</v>
      </c>
      <c r="C14" s="21" t="s">
        <v>680</v>
      </c>
      <c r="D14" s="34">
        <v>0.82791392760917104</v>
      </c>
      <c r="E14" s="21" t="s">
        <v>5974</v>
      </c>
    </row>
    <row r="15" spans="1:5" ht="19.5" customHeight="1" x14ac:dyDescent="0.35">
      <c r="A15" s="21" t="s">
        <v>679</v>
      </c>
      <c r="B15" s="21" t="s">
        <v>5985</v>
      </c>
      <c r="C15" s="21" t="s">
        <v>682</v>
      </c>
      <c r="D15" s="34">
        <v>0.82802864691787503</v>
      </c>
      <c r="E15" s="21" t="s">
        <v>5974</v>
      </c>
    </row>
    <row r="16" spans="1:5" ht="19.5" customHeight="1" x14ac:dyDescent="0.35">
      <c r="A16" s="21" t="s">
        <v>660</v>
      </c>
      <c r="B16" s="21" t="s">
        <v>5986</v>
      </c>
      <c r="C16" s="21" t="s">
        <v>683</v>
      </c>
      <c r="D16" s="34">
        <v>0.88994978641518596</v>
      </c>
      <c r="E16" s="21" t="s">
        <v>5974</v>
      </c>
    </row>
    <row r="17" spans="1:5" ht="19.5" customHeight="1" x14ac:dyDescent="0.35">
      <c r="A17" s="21" t="s">
        <v>660</v>
      </c>
      <c r="B17" s="21" t="s">
        <v>5987</v>
      </c>
      <c r="C17" s="21" t="s">
        <v>685</v>
      </c>
      <c r="D17" s="34">
        <v>0.88641825885012304</v>
      </c>
      <c r="E17" s="21" t="s">
        <v>5974</v>
      </c>
    </row>
    <row r="18" spans="1:5" ht="19.5" customHeight="1" x14ac:dyDescent="0.35">
      <c r="A18" s="21" t="s">
        <v>660</v>
      </c>
      <c r="B18" s="21" t="s">
        <v>5988</v>
      </c>
      <c r="C18" s="21" t="s">
        <v>687</v>
      </c>
      <c r="D18" s="34">
        <v>0.88024814143795105</v>
      </c>
      <c r="E18" s="21" t="s">
        <v>5974</v>
      </c>
    </row>
    <row r="19" spans="1:5" ht="19.5" customHeight="1" x14ac:dyDescent="0.35">
      <c r="A19" s="21" t="s">
        <v>650</v>
      </c>
      <c r="B19" s="21" t="s">
        <v>5989</v>
      </c>
      <c r="C19" s="21" t="s">
        <v>689</v>
      </c>
      <c r="D19" s="34">
        <v>0.94049334786453997</v>
      </c>
      <c r="E19" s="21" t="s">
        <v>5974</v>
      </c>
    </row>
    <row r="20" spans="1:5" ht="19.5" customHeight="1" x14ac:dyDescent="0.35">
      <c r="A20" s="21" t="s">
        <v>650</v>
      </c>
      <c r="B20" s="21" t="s">
        <v>5990</v>
      </c>
      <c r="C20" s="21" t="s">
        <v>691</v>
      </c>
      <c r="D20" s="34">
        <v>0.92235667047793801</v>
      </c>
      <c r="E20" s="21" t="s">
        <v>5974</v>
      </c>
    </row>
    <row r="21" spans="1:5" ht="19.5" customHeight="1" x14ac:dyDescent="0.35">
      <c r="A21" s="21" t="s">
        <v>650</v>
      </c>
      <c r="B21" s="21" t="s">
        <v>5991</v>
      </c>
      <c r="C21" s="21" t="s">
        <v>693</v>
      </c>
      <c r="D21" s="34">
        <v>0.95695346039100104</v>
      </c>
      <c r="E21" s="21" t="s">
        <v>5974</v>
      </c>
    </row>
    <row r="22" spans="1:5" ht="19.5" customHeight="1" x14ac:dyDescent="0.35">
      <c r="A22" s="21" t="s">
        <v>650</v>
      </c>
      <c r="B22" s="21" t="s">
        <v>5992</v>
      </c>
      <c r="C22" s="21" t="s">
        <v>695</v>
      </c>
      <c r="D22" s="34">
        <v>0.92306440842172299</v>
      </c>
      <c r="E22" s="21" t="s">
        <v>5974</v>
      </c>
    </row>
    <row r="23" spans="1:5" ht="19.5" customHeight="1" x14ac:dyDescent="0.35">
      <c r="A23" s="21" t="s">
        <v>650</v>
      </c>
      <c r="B23" s="21" t="s">
        <v>5993</v>
      </c>
      <c r="C23" s="21" t="s">
        <v>697</v>
      </c>
      <c r="D23" s="34">
        <v>0.93416328080825795</v>
      </c>
      <c r="E23" s="21" t="s">
        <v>5974</v>
      </c>
    </row>
    <row r="24" spans="1:5" ht="19.5" customHeight="1" x14ac:dyDescent="0.35">
      <c r="A24" s="21" t="s">
        <v>650</v>
      </c>
      <c r="B24" s="21" t="s">
        <v>5994</v>
      </c>
      <c r="C24" s="21" t="s">
        <v>699</v>
      </c>
      <c r="D24" s="34">
        <v>0.94123199465827401</v>
      </c>
      <c r="E24" s="21" t="s">
        <v>5974</v>
      </c>
    </row>
    <row r="25" spans="1:5" ht="19.5" customHeight="1" x14ac:dyDescent="0.35">
      <c r="A25" s="21" t="s">
        <v>650</v>
      </c>
      <c r="B25" s="21" t="s">
        <v>5995</v>
      </c>
      <c r="C25" s="21" t="s">
        <v>701</v>
      </c>
      <c r="D25" s="34">
        <v>0.94880479406474505</v>
      </c>
      <c r="E25" s="21" t="s">
        <v>5974</v>
      </c>
    </row>
    <row r="26" spans="1:5" ht="19.5" customHeight="1" x14ac:dyDescent="0.35">
      <c r="A26" s="21" t="s">
        <v>650</v>
      </c>
      <c r="B26" s="21" t="s">
        <v>5996</v>
      </c>
      <c r="C26" s="21" t="s">
        <v>703</v>
      </c>
      <c r="D26" s="34">
        <v>0.95105100584279201</v>
      </c>
      <c r="E26" s="21" t="s">
        <v>5974</v>
      </c>
    </row>
    <row r="27" spans="1:5" ht="19.5" customHeight="1" x14ac:dyDescent="0.35">
      <c r="A27" s="21" t="s">
        <v>650</v>
      </c>
      <c r="B27" s="21" t="s">
        <v>5997</v>
      </c>
      <c r="C27" s="21" t="s">
        <v>705</v>
      </c>
      <c r="D27" s="34">
        <v>0.92657744808031395</v>
      </c>
      <c r="E27" s="21" t="s">
        <v>5974</v>
      </c>
    </row>
    <row r="28" spans="1:5" ht="19.5" customHeight="1" x14ac:dyDescent="0.35">
      <c r="A28" s="21" t="s">
        <v>650</v>
      </c>
      <c r="B28" s="21" t="s">
        <v>5998</v>
      </c>
      <c r="C28" s="21" t="s">
        <v>707</v>
      </c>
      <c r="D28" s="34">
        <v>0.92466336109875402</v>
      </c>
      <c r="E28" s="21" t="s">
        <v>5974</v>
      </c>
    </row>
    <row r="29" spans="1:5" ht="19.5" customHeight="1" x14ac:dyDescent="0.35">
      <c r="A29" s="21" t="s">
        <v>650</v>
      </c>
      <c r="B29" s="21" t="s">
        <v>5999</v>
      </c>
      <c r="C29" s="21" t="s">
        <v>709</v>
      </c>
      <c r="D29" s="34">
        <v>0.93274736316823903</v>
      </c>
      <c r="E29" s="21" t="s">
        <v>5974</v>
      </c>
    </row>
    <row r="30" spans="1:5" ht="19.5" customHeight="1" x14ac:dyDescent="0.35">
      <c r="A30" s="21" t="s">
        <v>650</v>
      </c>
      <c r="B30" s="21" t="s">
        <v>6000</v>
      </c>
      <c r="C30" s="21" t="s">
        <v>711</v>
      </c>
      <c r="D30" s="34">
        <v>0.92719508405421003</v>
      </c>
      <c r="E30" s="21" t="s">
        <v>5974</v>
      </c>
    </row>
    <row r="31" spans="1:5" ht="19.5" customHeight="1" x14ac:dyDescent="0.35">
      <c r="A31" s="21" t="s">
        <v>650</v>
      </c>
      <c r="B31" s="21" t="s">
        <v>6001</v>
      </c>
      <c r="C31" s="21" t="s">
        <v>712</v>
      </c>
      <c r="D31" s="34">
        <v>0.92842621565632599</v>
      </c>
      <c r="E31" s="21" t="s">
        <v>5974</v>
      </c>
    </row>
    <row r="32" spans="1:5" ht="19.5" customHeight="1" x14ac:dyDescent="0.35">
      <c r="A32" s="21" t="s">
        <v>650</v>
      </c>
      <c r="B32" s="21" t="s">
        <v>6002</v>
      </c>
      <c r="C32" s="21" t="s">
        <v>714</v>
      </c>
      <c r="D32" s="34">
        <v>0.92670534652594305</v>
      </c>
      <c r="E32" s="21" t="s">
        <v>5974</v>
      </c>
    </row>
    <row r="33" spans="1:5" ht="19.5" customHeight="1" x14ac:dyDescent="0.35">
      <c r="A33" s="21" t="s">
        <v>660</v>
      </c>
      <c r="B33" s="21" t="s">
        <v>6003</v>
      </c>
      <c r="C33" s="21" t="s">
        <v>715</v>
      </c>
      <c r="D33" s="34">
        <v>0.77464784721295799</v>
      </c>
      <c r="E33" s="21" t="s">
        <v>5974</v>
      </c>
    </row>
    <row r="34" spans="1:5" ht="19.5" customHeight="1" x14ac:dyDescent="0.35">
      <c r="A34" s="21" t="s">
        <v>717</v>
      </c>
      <c r="B34" s="21" t="s">
        <v>6004</v>
      </c>
      <c r="C34" s="21" t="s">
        <v>718</v>
      </c>
      <c r="D34" s="34">
        <v>0.86797217172088204</v>
      </c>
      <c r="E34" s="21" t="s">
        <v>5974</v>
      </c>
    </row>
    <row r="35" spans="1:5" ht="19.5" customHeight="1" x14ac:dyDescent="0.35">
      <c r="A35" s="21" t="s">
        <v>717</v>
      </c>
      <c r="B35" s="21" t="s">
        <v>6005</v>
      </c>
      <c r="C35" s="21" t="s">
        <v>720</v>
      </c>
      <c r="D35" s="34">
        <v>0.86771166979146597</v>
      </c>
      <c r="E35" s="21" t="s">
        <v>5974</v>
      </c>
    </row>
    <row r="36" spans="1:5" ht="19.5" customHeight="1" x14ac:dyDescent="0.35">
      <c r="A36" s="21" t="s">
        <v>717</v>
      </c>
      <c r="B36" s="21" t="s">
        <v>6006</v>
      </c>
      <c r="C36" s="21" t="s">
        <v>721</v>
      </c>
      <c r="D36" s="34">
        <v>0.89075358112546499</v>
      </c>
      <c r="E36" s="21" t="s">
        <v>5974</v>
      </c>
    </row>
    <row r="37" spans="1:5" ht="19.5" customHeight="1" x14ac:dyDescent="0.35">
      <c r="A37" s="21" t="s">
        <v>717</v>
      </c>
      <c r="B37" s="21" t="s">
        <v>6007</v>
      </c>
      <c r="C37" s="21" t="s">
        <v>723</v>
      </c>
      <c r="D37" s="34">
        <v>0.87117023835570695</v>
      </c>
      <c r="E37" s="21" t="s">
        <v>5974</v>
      </c>
    </row>
    <row r="38" spans="1:5" ht="19.5" customHeight="1" x14ac:dyDescent="0.35">
      <c r="A38" s="21" t="s">
        <v>725</v>
      </c>
      <c r="B38" s="21" t="s">
        <v>6008</v>
      </c>
      <c r="C38" s="21" t="s">
        <v>726</v>
      </c>
      <c r="D38" s="34">
        <v>0.87522288565492401</v>
      </c>
      <c r="E38" s="21" t="s">
        <v>5974</v>
      </c>
    </row>
    <row r="39" spans="1:5" ht="19.5" customHeight="1" x14ac:dyDescent="0.35">
      <c r="A39" s="21" t="s">
        <v>717</v>
      </c>
      <c r="B39" s="21" t="s">
        <v>6009</v>
      </c>
      <c r="C39" s="21" t="s">
        <v>728</v>
      </c>
      <c r="D39" s="34">
        <v>0.82377549534879502</v>
      </c>
      <c r="E39" s="21" t="s">
        <v>5974</v>
      </c>
    </row>
    <row r="40" spans="1:5" ht="19.5" customHeight="1" x14ac:dyDescent="0.35">
      <c r="A40" s="21" t="s">
        <v>730</v>
      </c>
      <c r="B40" s="21" t="s">
        <v>6010</v>
      </c>
      <c r="C40" s="21" t="s">
        <v>731</v>
      </c>
      <c r="D40" s="34">
        <v>0.698872339838291</v>
      </c>
      <c r="E40" s="21" t="s">
        <v>5974</v>
      </c>
    </row>
    <row r="41" spans="1:5" ht="19.5" customHeight="1" x14ac:dyDescent="0.35">
      <c r="A41" s="21" t="s">
        <v>730</v>
      </c>
      <c r="B41" s="21" t="s">
        <v>6011</v>
      </c>
      <c r="C41" s="21" t="s">
        <v>733</v>
      </c>
      <c r="D41" s="34">
        <v>0.79895833333333299</v>
      </c>
      <c r="E41" s="21" t="s">
        <v>5974</v>
      </c>
    </row>
    <row r="42" spans="1:5" ht="19.5" customHeight="1" x14ac:dyDescent="0.35">
      <c r="A42" s="21" t="s">
        <v>730</v>
      </c>
      <c r="B42" s="21" t="s">
        <v>6012</v>
      </c>
      <c r="C42" s="21" t="s">
        <v>735</v>
      </c>
      <c r="D42" s="34">
        <v>0.674741814097778</v>
      </c>
      <c r="E42" s="21" t="s">
        <v>5974</v>
      </c>
    </row>
    <row r="43" spans="1:5" ht="19.5" customHeight="1" x14ac:dyDescent="0.35">
      <c r="A43" s="21" t="s">
        <v>737</v>
      </c>
      <c r="B43" s="21" t="s">
        <v>6013</v>
      </c>
      <c r="C43" s="21" t="s">
        <v>738</v>
      </c>
      <c r="D43" s="34">
        <v>0.66873613646521901</v>
      </c>
      <c r="E43" s="21" t="s">
        <v>5974</v>
      </c>
    </row>
    <row r="44" spans="1:5" ht="19.5" customHeight="1" x14ac:dyDescent="0.35">
      <c r="A44" s="21" t="s">
        <v>730</v>
      </c>
      <c r="B44" s="21" t="s">
        <v>6014</v>
      </c>
      <c r="C44" s="21" t="s">
        <v>740</v>
      </c>
      <c r="D44" s="34">
        <v>0.67865766498570301</v>
      </c>
      <c r="E44" s="21" t="s">
        <v>5974</v>
      </c>
    </row>
    <row r="45" spans="1:5" ht="19.5" customHeight="1" x14ac:dyDescent="0.35">
      <c r="A45" s="21" t="s">
        <v>730</v>
      </c>
      <c r="B45" s="21" t="s">
        <v>6015</v>
      </c>
      <c r="C45" s="21" t="s">
        <v>742</v>
      </c>
      <c r="D45" s="34">
        <v>0.695678257481119</v>
      </c>
      <c r="E45" s="21" t="s">
        <v>5974</v>
      </c>
    </row>
    <row r="46" spans="1:5" ht="19.5" customHeight="1" x14ac:dyDescent="0.35">
      <c r="A46" s="21" t="s">
        <v>730</v>
      </c>
      <c r="B46" s="21" t="s">
        <v>6016</v>
      </c>
      <c r="C46" s="21" t="s">
        <v>744</v>
      </c>
      <c r="D46" s="34">
        <v>0.702994763676274</v>
      </c>
      <c r="E46" s="21" t="s">
        <v>5974</v>
      </c>
    </row>
    <row r="47" spans="1:5" ht="19.5" customHeight="1" x14ac:dyDescent="0.35">
      <c r="A47" s="21" t="s">
        <v>746</v>
      </c>
      <c r="B47" s="21" t="s">
        <v>747</v>
      </c>
      <c r="C47" s="21" t="s">
        <v>747</v>
      </c>
      <c r="D47" s="34">
        <v>0.59228537855963803</v>
      </c>
      <c r="E47" s="21" t="s">
        <v>5974</v>
      </c>
    </row>
    <row r="48" spans="1:5" ht="19.5" customHeight="1" x14ac:dyDescent="0.35">
      <c r="A48" s="21" t="s">
        <v>746</v>
      </c>
      <c r="B48" s="21" t="s">
        <v>749</v>
      </c>
      <c r="C48" s="21" t="s">
        <v>749</v>
      </c>
      <c r="D48" s="34">
        <v>0.66023235187139095</v>
      </c>
      <c r="E48" s="21" t="s">
        <v>5974</v>
      </c>
    </row>
    <row r="49" spans="1:5" ht="19.5" customHeight="1" x14ac:dyDescent="0.35">
      <c r="A49" s="21" t="s">
        <v>751</v>
      </c>
      <c r="B49" s="21" t="s">
        <v>752</v>
      </c>
      <c r="C49" s="21" t="s">
        <v>752</v>
      </c>
      <c r="D49" s="34">
        <v>0.54170993343985896</v>
      </c>
      <c r="E49" s="21" t="s">
        <v>5974</v>
      </c>
    </row>
    <row r="50" spans="1:5" ht="19.5" customHeight="1" x14ac:dyDescent="0.35">
      <c r="A50" s="21" t="s">
        <v>746</v>
      </c>
      <c r="B50" s="21" t="s">
        <v>754</v>
      </c>
      <c r="C50" s="21" t="s">
        <v>754</v>
      </c>
      <c r="D50" s="34">
        <v>0.83151515151515198</v>
      </c>
      <c r="E50" s="21" t="s">
        <v>5974</v>
      </c>
    </row>
    <row r="51" spans="1:5" ht="19.5" customHeight="1" x14ac:dyDescent="0.35">
      <c r="A51" s="21" t="s">
        <v>751</v>
      </c>
      <c r="B51" s="21" t="s">
        <v>756</v>
      </c>
      <c r="C51" s="21" t="s">
        <v>756</v>
      </c>
      <c r="D51" s="34">
        <v>0.69671182542976395</v>
      </c>
      <c r="E51" s="21" t="s">
        <v>5974</v>
      </c>
    </row>
    <row r="52" spans="1:5" ht="19.5" customHeight="1" x14ac:dyDescent="0.35">
      <c r="A52" s="21" t="s">
        <v>746</v>
      </c>
      <c r="B52" s="21" t="s">
        <v>758</v>
      </c>
      <c r="C52" s="21" t="s">
        <v>758</v>
      </c>
      <c r="D52" s="34">
        <v>0.46898682336182301</v>
      </c>
      <c r="E52" s="21" t="s">
        <v>5974</v>
      </c>
    </row>
    <row r="53" spans="1:5" ht="19.5" customHeight="1" x14ac:dyDescent="0.35">
      <c r="A53" s="21" t="s">
        <v>663</v>
      </c>
      <c r="B53" s="21" t="s">
        <v>6017</v>
      </c>
      <c r="C53" s="21" t="s">
        <v>760</v>
      </c>
      <c r="D53" s="34">
        <v>0.88835904360530404</v>
      </c>
      <c r="E53" s="21" t="s">
        <v>5974</v>
      </c>
    </row>
    <row r="54" spans="1:5" ht="19.5" customHeight="1" x14ac:dyDescent="0.35">
      <c r="A54" s="21" t="s">
        <v>725</v>
      </c>
      <c r="B54" s="21" t="s">
        <v>6018</v>
      </c>
      <c r="C54" s="21" t="s">
        <v>762</v>
      </c>
      <c r="D54" s="34">
        <v>0.87948074503479701</v>
      </c>
      <c r="E54" s="21" t="s">
        <v>5974</v>
      </c>
    </row>
    <row r="55" spans="1:5" ht="19.5" customHeight="1" x14ac:dyDescent="0.35">
      <c r="A55" s="21" t="s">
        <v>725</v>
      </c>
      <c r="B55" s="21" t="s">
        <v>6019</v>
      </c>
      <c r="C55" s="21" t="s">
        <v>764</v>
      </c>
      <c r="D55" s="34">
        <v>0.88394964851246505</v>
      </c>
      <c r="E55" s="21" t="s">
        <v>5974</v>
      </c>
    </row>
    <row r="56" spans="1:5" ht="19.5" customHeight="1" x14ac:dyDescent="0.35">
      <c r="A56" s="21" t="s">
        <v>766</v>
      </c>
      <c r="B56" s="21" t="s">
        <v>6020</v>
      </c>
      <c r="C56" s="21" t="s">
        <v>767</v>
      </c>
      <c r="D56" s="34">
        <v>0.87429880220705802</v>
      </c>
      <c r="E56" s="21" t="s">
        <v>5974</v>
      </c>
    </row>
    <row r="57" spans="1:5" ht="19.5" customHeight="1" x14ac:dyDescent="0.35">
      <c r="A57" s="21" t="s">
        <v>766</v>
      </c>
      <c r="B57" s="21" t="s">
        <v>6021</v>
      </c>
      <c r="C57" s="21" t="s">
        <v>769</v>
      </c>
      <c r="D57" s="34">
        <v>0.86948570757872001</v>
      </c>
      <c r="E57" s="21" t="s">
        <v>5974</v>
      </c>
    </row>
    <row r="58" spans="1:5" ht="19.5" customHeight="1" x14ac:dyDescent="0.35">
      <c r="A58" s="21" t="s">
        <v>771</v>
      </c>
      <c r="B58" s="21" t="s">
        <v>6022</v>
      </c>
      <c r="C58" s="21" t="s">
        <v>772</v>
      </c>
      <c r="D58" s="34">
        <v>0.89024027290100904</v>
      </c>
      <c r="E58" s="21" t="s">
        <v>5974</v>
      </c>
    </row>
    <row r="59" spans="1:5" ht="19.5" customHeight="1" x14ac:dyDescent="0.35">
      <c r="A59" s="21" t="s">
        <v>717</v>
      </c>
      <c r="B59" s="21" t="s">
        <v>6023</v>
      </c>
      <c r="C59" s="21" t="s">
        <v>773</v>
      </c>
      <c r="D59" s="34">
        <v>0.88986519175330703</v>
      </c>
      <c r="E59" s="21" t="s">
        <v>5974</v>
      </c>
    </row>
    <row r="60" spans="1:5" ht="19.5" customHeight="1" x14ac:dyDescent="0.35">
      <c r="A60" s="21" t="s">
        <v>717</v>
      </c>
      <c r="B60" s="21" t="s">
        <v>6024</v>
      </c>
      <c r="C60" s="21" t="s">
        <v>774</v>
      </c>
      <c r="D60" s="34">
        <v>0.88618271846963503</v>
      </c>
      <c r="E60" s="21" t="s">
        <v>5974</v>
      </c>
    </row>
    <row r="61" spans="1:5" ht="19.5" customHeight="1" x14ac:dyDescent="0.35">
      <c r="A61" s="21" t="s">
        <v>717</v>
      </c>
      <c r="B61" s="21" t="s">
        <v>6025</v>
      </c>
      <c r="C61" s="21" t="s">
        <v>775</v>
      </c>
      <c r="D61" s="34">
        <v>0.84330956272868396</v>
      </c>
      <c r="E61" s="21" t="s">
        <v>5974</v>
      </c>
    </row>
    <row r="62" spans="1:5" ht="19.5" customHeight="1" x14ac:dyDescent="0.35">
      <c r="A62" s="21" t="s">
        <v>717</v>
      </c>
      <c r="B62" s="21" t="s">
        <v>6026</v>
      </c>
      <c r="C62" s="21" t="s">
        <v>777</v>
      </c>
      <c r="D62" s="34">
        <v>0.89439595268521199</v>
      </c>
      <c r="E62" s="21" t="s">
        <v>5974</v>
      </c>
    </row>
    <row r="63" spans="1:5" ht="19.5" customHeight="1" x14ac:dyDescent="0.35">
      <c r="A63" s="21" t="s">
        <v>778</v>
      </c>
      <c r="B63" s="21" t="s">
        <v>6027</v>
      </c>
      <c r="C63" s="21" t="s">
        <v>779</v>
      </c>
      <c r="D63" s="34">
        <v>0.53242298941799004</v>
      </c>
      <c r="E63" s="21" t="s">
        <v>5974</v>
      </c>
    </row>
    <row r="64" spans="1:5" ht="19.5" customHeight="1" x14ac:dyDescent="0.35">
      <c r="A64" s="21" t="s">
        <v>778</v>
      </c>
      <c r="B64" s="21" t="s">
        <v>6028</v>
      </c>
      <c r="C64" s="21" t="s">
        <v>781</v>
      </c>
      <c r="D64" s="34">
        <v>0.53767604091995203</v>
      </c>
      <c r="E64" s="21" t="s">
        <v>5974</v>
      </c>
    </row>
    <row r="65" spans="1:5" ht="19.5" customHeight="1" x14ac:dyDescent="0.35">
      <c r="A65" s="21" t="s">
        <v>783</v>
      </c>
      <c r="B65" s="21" t="s">
        <v>6029</v>
      </c>
      <c r="C65" s="21" t="s">
        <v>784</v>
      </c>
      <c r="D65" s="34">
        <v>0.66047053478712403</v>
      </c>
      <c r="E65" s="21" t="s">
        <v>5974</v>
      </c>
    </row>
    <row r="66" spans="1:5" ht="19.5" customHeight="1" x14ac:dyDescent="0.35">
      <c r="A66" s="21" t="s">
        <v>783</v>
      </c>
      <c r="B66" s="21" t="s">
        <v>6030</v>
      </c>
      <c r="C66" s="21" t="s">
        <v>785</v>
      </c>
      <c r="D66" s="34">
        <v>0.56614919753086401</v>
      </c>
      <c r="E66" s="21" t="s">
        <v>5974</v>
      </c>
    </row>
    <row r="67" spans="1:5" ht="19.5" customHeight="1" x14ac:dyDescent="0.35">
      <c r="A67" s="21" t="s">
        <v>783</v>
      </c>
      <c r="B67" s="21" t="s">
        <v>6031</v>
      </c>
      <c r="C67" s="21" t="s">
        <v>787</v>
      </c>
      <c r="D67" s="34">
        <v>0.54522669956140402</v>
      </c>
      <c r="E67" s="21" t="s">
        <v>5974</v>
      </c>
    </row>
    <row r="68" spans="1:5" ht="19.5" customHeight="1" x14ac:dyDescent="0.35">
      <c r="A68" s="21" t="s">
        <v>778</v>
      </c>
      <c r="B68" s="21" t="s">
        <v>6032</v>
      </c>
      <c r="C68" s="21" t="s">
        <v>789</v>
      </c>
      <c r="D68" s="34">
        <v>0.48692819999999998</v>
      </c>
      <c r="E68" s="21" t="s">
        <v>5974</v>
      </c>
    </row>
    <row r="69" spans="1:5" ht="19.5" customHeight="1" x14ac:dyDescent="0.35">
      <c r="A69" s="21" t="s">
        <v>778</v>
      </c>
      <c r="B69" s="21" t="s">
        <v>6033</v>
      </c>
      <c r="C69" s="21" t="s">
        <v>791</v>
      </c>
      <c r="D69" s="34">
        <v>0.46973993271605002</v>
      </c>
      <c r="E69" s="21" t="s">
        <v>5974</v>
      </c>
    </row>
    <row r="70" spans="1:5" ht="19.5" customHeight="1" x14ac:dyDescent="0.35">
      <c r="A70" s="21" t="s">
        <v>783</v>
      </c>
      <c r="B70" s="21" t="s">
        <v>6034</v>
      </c>
      <c r="C70" s="21" t="s">
        <v>793</v>
      </c>
      <c r="D70" s="34">
        <v>0.556602756694075</v>
      </c>
      <c r="E70" s="21" t="s">
        <v>5974</v>
      </c>
    </row>
    <row r="71" spans="1:5" ht="19.5" customHeight="1" x14ac:dyDescent="0.35">
      <c r="A71" s="21" t="s">
        <v>783</v>
      </c>
      <c r="B71" s="21" t="s">
        <v>6035</v>
      </c>
      <c r="C71" s="21" t="s">
        <v>795</v>
      </c>
      <c r="D71" s="34">
        <v>0.63655970118600602</v>
      </c>
      <c r="E71" s="21" t="s">
        <v>5974</v>
      </c>
    </row>
    <row r="72" spans="1:5" ht="19.5" customHeight="1" x14ac:dyDescent="0.35">
      <c r="A72" s="21" t="s">
        <v>778</v>
      </c>
      <c r="B72" s="21" t="s">
        <v>6036</v>
      </c>
      <c r="C72" s="21" t="s">
        <v>797</v>
      </c>
      <c r="D72" s="34">
        <v>0.662934105436081</v>
      </c>
      <c r="E72" s="21" t="s">
        <v>5974</v>
      </c>
    </row>
    <row r="73" spans="1:5" ht="19.5" customHeight="1" x14ac:dyDescent="0.35">
      <c r="A73" s="21" t="s">
        <v>783</v>
      </c>
      <c r="B73" s="21" t="s">
        <v>6037</v>
      </c>
      <c r="C73" s="21" t="s">
        <v>799</v>
      </c>
      <c r="D73" s="34">
        <v>0.65728484734734705</v>
      </c>
      <c r="E73" s="21" t="s">
        <v>5974</v>
      </c>
    </row>
    <row r="74" spans="1:5" ht="19.5" customHeight="1" x14ac:dyDescent="0.35">
      <c r="A74" s="21" t="s">
        <v>801</v>
      </c>
      <c r="B74" s="21" t="s">
        <v>6038</v>
      </c>
      <c r="C74" s="21" t="s">
        <v>802</v>
      </c>
      <c r="D74" s="34">
        <v>0.96115734532936004</v>
      </c>
      <c r="E74" s="21" t="s">
        <v>5974</v>
      </c>
    </row>
    <row r="75" spans="1:5" ht="19.5" customHeight="1" x14ac:dyDescent="0.35">
      <c r="A75" s="21" t="s">
        <v>801</v>
      </c>
      <c r="B75" s="21" t="s">
        <v>6039</v>
      </c>
      <c r="C75" s="21" t="s">
        <v>804</v>
      </c>
      <c r="D75" s="34">
        <v>0.94353403216446197</v>
      </c>
      <c r="E75" s="21" t="s">
        <v>5974</v>
      </c>
    </row>
    <row r="76" spans="1:5" ht="19.5" customHeight="1" x14ac:dyDescent="0.35">
      <c r="A76" s="21" t="s">
        <v>679</v>
      </c>
      <c r="B76" s="21" t="s">
        <v>6040</v>
      </c>
      <c r="C76" s="21" t="s">
        <v>806</v>
      </c>
      <c r="D76" s="34">
        <v>0.85282729425585702</v>
      </c>
      <c r="E76" s="21" t="s">
        <v>5974</v>
      </c>
    </row>
    <row r="77" spans="1:5" ht="19.5" customHeight="1" x14ac:dyDescent="0.35">
      <c r="A77" s="21" t="s">
        <v>679</v>
      </c>
      <c r="B77" s="21" t="s">
        <v>6041</v>
      </c>
      <c r="C77" s="21" t="s">
        <v>808</v>
      </c>
      <c r="D77" s="34">
        <v>0.84900918198503506</v>
      </c>
      <c r="E77" s="21" t="s">
        <v>5974</v>
      </c>
    </row>
    <row r="78" spans="1:5" ht="19.5" customHeight="1" x14ac:dyDescent="0.35">
      <c r="A78" s="21" t="s">
        <v>679</v>
      </c>
      <c r="B78" s="21" t="s">
        <v>6042</v>
      </c>
      <c r="C78" s="21" t="s">
        <v>810</v>
      </c>
      <c r="D78" s="34">
        <v>0.83495062029494305</v>
      </c>
      <c r="E78" s="21" t="s">
        <v>5974</v>
      </c>
    </row>
    <row r="79" spans="1:5" ht="19.5" customHeight="1" x14ac:dyDescent="0.35">
      <c r="A79" s="21" t="s">
        <v>679</v>
      </c>
      <c r="B79" s="21" t="s">
        <v>6043</v>
      </c>
      <c r="C79" s="21" t="s">
        <v>812</v>
      </c>
      <c r="D79" s="34">
        <v>0.87015836890371401</v>
      </c>
      <c r="E79" s="21" t="s">
        <v>5974</v>
      </c>
    </row>
    <row r="80" spans="1:5" ht="19.5" customHeight="1" x14ac:dyDescent="0.35">
      <c r="A80" s="21" t="s">
        <v>814</v>
      </c>
      <c r="B80" s="21" t="s">
        <v>6044</v>
      </c>
      <c r="C80" s="21" t="s">
        <v>815</v>
      </c>
      <c r="D80" s="34">
        <v>0.82972789987789997</v>
      </c>
      <c r="E80" s="21" t="s">
        <v>5974</v>
      </c>
    </row>
    <row r="81" spans="1:5" ht="19.5" customHeight="1" x14ac:dyDescent="0.35">
      <c r="A81" s="21" t="s">
        <v>814</v>
      </c>
      <c r="B81" s="21" t="s">
        <v>6045</v>
      </c>
      <c r="C81" s="21" t="s">
        <v>817</v>
      </c>
      <c r="D81" s="34">
        <v>0.89567312499999996</v>
      </c>
      <c r="E81" s="21" t="s">
        <v>5974</v>
      </c>
    </row>
    <row r="82" spans="1:5" ht="19.5" customHeight="1" x14ac:dyDescent="0.35">
      <c r="A82" s="21" t="s">
        <v>814</v>
      </c>
      <c r="B82" s="21" t="s">
        <v>6046</v>
      </c>
      <c r="C82" s="21" t="s">
        <v>819</v>
      </c>
      <c r="D82" s="34">
        <v>0.86518106852929499</v>
      </c>
      <c r="E82" s="21" t="s">
        <v>5974</v>
      </c>
    </row>
    <row r="83" spans="1:5" ht="19.5" customHeight="1" x14ac:dyDescent="0.35">
      <c r="A83" s="21" t="s">
        <v>814</v>
      </c>
      <c r="B83" s="21" t="s">
        <v>6047</v>
      </c>
      <c r="C83" s="21" t="s">
        <v>821</v>
      </c>
      <c r="D83" s="34">
        <v>0.86330276041543696</v>
      </c>
      <c r="E83" s="21" t="s">
        <v>5974</v>
      </c>
    </row>
    <row r="84" spans="1:5" ht="19.5" customHeight="1" x14ac:dyDescent="0.35">
      <c r="A84" s="21" t="s">
        <v>814</v>
      </c>
      <c r="B84" s="21" t="s">
        <v>6048</v>
      </c>
      <c r="C84" s="21" t="s">
        <v>823</v>
      </c>
      <c r="D84" s="34">
        <v>0.83291617332322099</v>
      </c>
      <c r="E84" s="21" t="s">
        <v>5974</v>
      </c>
    </row>
    <row r="85" spans="1:5" ht="19.5" customHeight="1" x14ac:dyDescent="0.35">
      <c r="A85" s="21" t="s">
        <v>814</v>
      </c>
      <c r="B85" s="21" t="s">
        <v>6049</v>
      </c>
      <c r="C85" s="21" t="s">
        <v>825</v>
      </c>
      <c r="D85" s="34">
        <v>0.883068624854212</v>
      </c>
      <c r="E85" s="21" t="s">
        <v>5974</v>
      </c>
    </row>
    <row r="86" spans="1:5" ht="19.5" customHeight="1" x14ac:dyDescent="0.35">
      <c r="A86" s="21" t="s">
        <v>814</v>
      </c>
      <c r="B86" s="21" t="s">
        <v>6050</v>
      </c>
      <c r="C86" s="21" t="s">
        <v>826</v>
      </c>
      <c r="D86" s="34">
        <v>0.84415519125683103</v>
      </c>
      <c r="E86" s="21" t="s">
        <v>5974</v>
      </c>
    </row>
    <row r="87" spans="1:5" ht="19.5" customHeight="1" x14ac:dyDescent="0.35">
      <c r="A87" s="21" t="s">
        <v>679</v>
      </c>
      <c r="B87" s="21" t="s">
        <v>6051</v>
      </c>
      <c r="C87" s="21" t="s">
        <v>828</v>
      </c>
      <c r="D87" s="34">
        <v>0.86973291823443899</v>
      </c>
      <c r="E87" s="21" t="s">
        <v>5974</v>
      </c>
    </row>
    <row r="88" spans="1:5" ht="19.5" customHeight="1" x14ac:dyDescent="0.35">
      <c r="A88" s="21" t="s">
        <v>679</v>
      </c>
      <c r="B88" s="21" t="s">
        <v>6052</v>
      </c>
      <c r="C88" s="21" t="s">
        <v>829</v>
      </c>
      <c r="D88" s="34">
        <v>0.84869264299358804</v>
      </c>
      <c r="E88" s="21" t="s">
        <v>5974</v>
      </c>
    </row>
    <row r="89" spans="1:5" ht="19.5" customHeight="1" x14ac:dyDescent="0.35">
      <c r="A89" s="21" t="s">
        <v>814</v>
      </c>
      <c r="B89" s="21" t="s">
        <v>6053</v>
      </c>
      <c r="C89" s="21" t="s">
        <v>830</v>
      </c>
      <c r="D89" s="34">
        <v>0.836082739901015</v>
      </c>
      <c r="E89" s="21" t="s">
        <v>5974</v>
      </c>
    </row>
    <row r="90" spans="1:5" ht="19.5" customHeight="1" x14ac:dyDescent="0.35">
      <c r="A90" s="21" t="s">
        <v>814</v>
      </c>
      <c r="B90" s="21" t="s">
        <v>6054</v>
      </c>
      <c r="C90" s="21" t="s">
        <v>832</v>
      </c>
      <c r="D90" s="34">
        <v>0.84430122493954696</v>
      </c>
      <c r="E90" s="21" t="s">
        <v>5974</v>
      </c>
    </row>
    <row r="91" spans="1:5" ht="19.5" customHeight="1" x14ac:dyDescent="0.35">
      <c r="A91" s="21" t="s">
        <v>814</v>
      </c>
      <c r="B91" s="21" t="s">
        <v>6055</v>
      </c>
      <c r="C91" s="21" t="s">
        <v>833</v>
      </c>
      <c r="D91" s="34">
        <v>0.89939558823529397</v>
      </c>
      <c r="E91" s="21" t="s">
        <v>5974</v>
      </c>
    </row>
    <row r="92" spans="1:5" ht="19.5" customHeight="1" x14ac:dyDescent="0.35">
      <c r="A92" s="21" t="s">
        <v>679</v>
      </c>
      <c r="B92" s="21" t="s">
        <v>6056</v>
      </c>
      <c r="C92" s="21" t="s">
        <v>835</v>
      </c>
      <c r="D92" s="34">
        <v>0.85479479217452303</v>
      </c>
      <c r="E92" s="21" t="s">
        <v>5974</v>
      </c>
    </row>
    <row r="93" spans="1:5" ht="19.5" customHeight="1" x14ac:dyDescent="0.35">
      <c r="A93" s="21" t="s">
        <v>679</v>
      </c>
      <c r="B93" s="21" t="s">
        <v>6057</v>
      </c>
      <c r="C93" s="21" t="s">
        <v>837</v>
      </c>
      <c r="D93" s="34">
        <v>0.850440016033431</v>
      </c>
      <c r="E93" s="21" t="s">
        <v>5974</v>
      </c>
    </row>
    <row r="94" spans="1:5" ht="19.5" customHeight="1" x14ac:dyDescent="0.35">
      <c r="A94" s="21" t="s">
        <v>814</v>
      </c>
      <c r="B94" s="21" t="s">
        <v>6058</v>
      </c>
      <c r="C94" s="21" t="s">
        <v>838</v>
      </c>
      <c r="D94" s="34">
        <v>0.85160183758430796</v>
      </c>
      <c r="E94" s="21" t="s">
        <v>5974</v>
      </c>
    </row>
    <row r="95" spans="1:5" ht="19.5" customHeight="1" x14ac:dyDescent="0.35">
      <c r="A95" s="21" t="s">
        <v>814</v>
      </c>
      <c r="B95" s="21" t="s">
        <v>6059</v>
      </c>
      <c r="C95" s="21" t="s">
        <v>840</v>
      </c>
      <c r="D95" s="34">
        <v>0.88437837150452503</v>
      </c>
      <c r="E95" s="21" t="s">
        <v>5974</v>
      </c>
    </row>
    <row r="96" spans="1:5" ht="19.5" customHeight="1" x14ac:dyDescent="0.35">
      <c r="A96" s="21" t="s">
        <v>814</v>
      </c>
      <c r="B96" s="21" t="s">
        <v>6060</v>
      </c>
      <c r="C96" s="21" t="s">
        <v>841</v>
      </c>
      <c r="D96" s="34">
        <v>0.842732572059679</v>
      </c>
      <c r="E96" s="21" t="s">
        <v>5974</v>
      </c>
    </row>
    <row r="97" spans="1:5" ht="19.5" customHeight="1" x14ac:dyDescent="0.35">
      <c r="A97" s="21" t="s">
        <v>814</v>
      </c>
      <c r="B97" s="21" t="s">
        <v>6061</v>
      </c>
      <c r="C97" s="21" t="s">
        <v>842</v>
      </c>
      <c r="D97" s="34">
        <v>0.87173474706083798</v>
      </c>
      <c r="E97" s="21" t="s">
        <v>5974</v>
      </c>
    </row>
    <row r="98" spans="1:5" ht="19.5" customHeight="1" x14ac:dyDescent="0.35">
      <c r="A98" s="21" t="s">
        <v>660</v>
      </c>
      <c r="B98" s="21" t="s">
        <v>6062</v>
      </c>
      <c r="C98" s="21" t="s">
        <v>844</v>
      </c>
      <c r="D98" s="34">
        <v>0.87617370938740502</v>
      </c>
      <c r="E98" s="21" t="s">
        <v>5974</v>
      </c>
    </row>
    <row r="99" spans="1:5" ht="19.5" customHeight="1" x14ac:dyDescent="0.35">
      <c r="A99" s="21" t="s">
        <v>660</v>
      </c>
      <c r="B99" s="21" t="s">
        <v>6063</v>
      </c>
      <c r="C99" s="21" t="s">
        <v>846</v>
      </c>
      <c r="D99" s="34">
        <v>0.85345163329274698</v>
      </c>
      <c r="E99" s="21" t="s">
        <v>5974</v>
      </c>
    </row>
    <row r="100" spans="1:5" ht="19.5" customHeight="1" x14ac:dyDescent="0.35">
      <c r="A100" s="21" t="s">
        <v>717</v>
      </c>
      <c r="B100" s="21" t="s">
        <v>6064</v>
      </c>
      <c r="C100" s="21" t="s">
        <v>847</v>
      </c>
      <c r="D100" s="34">
        <v>0.88835715411379501</v>
      </c>
      <c r="E100" s="21" t="s">
        <v>5974</v>
      </c>
    </row>
    <row r="101" spans="1:5" ht="19.5" customHeight="1" x14ac:dyDescent="0.35">
      <c r="A101" s="21" t="s">
        <v>717</v>
      </c>
      <c r="B101" s="21" t="s">
        <v>6065</v>
      </c>
      <c r="C101" s="21" t="s">
        <v>848</v>
      </c>
      <c r="D101" s="34">
        <v>0.86488569297428497</v>
      </c>
      <c r="E101" s="21" t="s">
        <v>5974</v>
      </c>
    </row>
    <row r="102" spans="1:5" ht="19.5" customHeight="1" x14ac:dyDescent="0.35">
      <c r="A102" s="21" t="s">
        <v>679</v>
      </c>
      <c r="B102" s="21" t="s">
        <v>6066</v>
      </c>
      <c r="C102" s="21" t="s">
        <v>849</v>
      </c>
      <c r="D102" s="34">
        <v>0.87871789732496397</v>
      </c>
      <c r="E102" s="21" t="s">
        <v>5974</v>
      </c>
    </row>
    <row r="103" spans="1:5" ht="19.5" customHeight="1" x14ac:dyDescent="0.35">
      <c r="A103" s="21" t="s">
        <v>679</v>
      </c>
      <c r="B103" s="21" t="s">
        <v>6067</v>
      </c>
      <c r="C103" s="21" t="s">
        <v>850</v>
      </c>
      <c r="D103" s="34">
        <v>0.89619884606045497</v>
      </c>
      <c r="E103" s="21" t="s">
        <v>5974</v>
      </c>
    </row>
    <row r="104" spans="1:5" ht="19.5" customHeight="1" x14ac:dyDescent="0.35">
      <c r="A104" s="21" t="s">
        <v>771</v>
      </c>
      <c r="B104" s="21" t="s">
        <v>6068</v>
      </c>
      <c r="C104" s="21" t="s">
        <v>851</v>
      </c>
      <c r="D104" s="34">
        <v>0.90276205308321</v>
      </c>
      <c r="E104" s="21" t="s">
        <v>5974</v>
      </c>
    </row>
    <row r="105" spans="1:5" ht="19.5" customHeight="1" x14ac:dyDescent="0.35">
      <c r="A105" s="21" t="s">
        <v>771</v>
      </c>
      <c r="B105" s="21" t="s">
        <v>6069</v>
      </c>
      <c r="C105" s="21" t="s">
        <v>853</v>
      </c>
      <c r="D105" s="34">
        <v>0.87212092996166302</v>
      </c>
      <c r="E105" s="21" t="s">
        <v>5974</v>
      </c>
    </row>
    <row r="106" spans="1:5" ht="19.5" customHeight="1" x14ac:dyDescent="0.35">
      <c r="A106" s="21" t="s">
        <v>771</v>
      </c>
      <c r="B106" s="21" t="s">
        <v>6070</v>
      </c>
      <c r="C106" s="21" t="s">
        <v>854</v>
      </c>
      <c r="D106" s="34">
        <v>0.86216366792094601</v>
      </c>
      <c r="E106" s="21" t="s">
        <v>5974</v>
      </c>
    </row>
    <row r="107" spans="1:5" ht="19.5" customHeight="1" x14ac:dyDescent="0.35">
      <c r="A107" s="21" t="s">
        <v>717</v>
      </c>
      <c r="B107" s="21" t="s">
        <v>6071</v>
      </c>
      <c r="C107" s="21" t="s">
        <v>856</v>
      </c>
      <c r="D107" s="34">
        <v>0.88141221799959601</v>
      </c>
      <c r="E107" s="21" t="s">
        <v>5974</v>
      </c>
    </row>
    <row r="108" spans="1:5" ht="19.5" customHeight="1" x14ac:dyDescent="0.35">
      <c r="A108" s="21" t="s">
        <v>717</v>
      </c>
      <c r="B108" s="21" t="s">
        <v>6072</v>
      </c>
      <c r="C108" s="21" t="s">
        <v>858</v>
      </c>
      <c r="D108" s="34">
        <v>0.85856454197533205</v>
      </c>
      <c r="E108" s="21" t="s">
        <v>5974</v>
      </c>
    </row>
    <row r="109" spans="1:5" ht="19.5" customHeight="1" x14ac:dyDescent="0.35">
      <c r="A109" s="21" t="s">
        <v>771</v>
      </c>
      <c r="B109" s="21" t="s">
        <v>6073</v>
      </c>
      <c r="C109" s="21" t="s">
        <v>860</v>
      </c>
      <c r="D109" s="34">
        <v>0.81060114852649601</v>
      </c>
      <c r="E109" s="21" t="s">
        <v>5974</v>
      </c>
    </row>
    <row r="110" spans="1:5" ht="19.5" customHeight="1" x14ac:dyDescent="0.35">
      <c r="A110" s="21" t="s">
        <v>650</v>
      </c>
      <c r="B110" s="21" t="s">
        <v>6074</v>
      </c>
      <c r="C110" s="21" t="s">
        <v>862</v>
      </c>
      <c r="D110" s="34">
        <v>0.89068810423850298</v>
      </c>
      <c r="E110" s="21" t="s">
        <v>5974</v>
      </c>
    </row>
    <row r="111" spans="1:5" ht="19.5" customHeight="1" x14ac:dyDescent="0.35">
      <c r="A111" s="21" t="s">
        <v>717</v>
      </c>
      <c r="B111" s="21" t="s">
        <v>6075</v>
      </c>
      <c r="C111" s="21" t="s">
        <v>863</v>
      </c>
      <c r="D111" s="34">
        <v>0.83003333222828402</v>
      </c>
      <c r="E111" s="21" t="s">
        <v>5974</v>
      </c>
    </row>
    <row r="112" spans="1:5" ht="19.5" customHeight="1" x14ac:dyDescent="0.35">
      <c r="A112" s="21" t="s">
        <v>717</v>
      </c>
      <c r="B112" s="21" t="s">
        <v>6076</v>
      </c>
      <c r="C112" s="21" t="s">
        <v>864</v>
      </c>
      <c r="D112" s="34">
        <v>0.859177599687038</v>
      </c>
      <c r="E112" s="21" t="s">
        <v>5974</v>
      </c>
    </row>
    <row r="113" spans="1:5" ht="19.5" customHeight="1" x14ac:dyDescent="0.35">
      <c r="A113" s="21" t="s">
        <v>771</v>
      </c>
      <c r="B113" s="21" t="s">
        <v>6077</v>
      </c>
      <c r="C113" s="21" t="s">
        <v>865</v>
      </c>
      <c r="D113" s="34">
        <v>0.87729664128801299</v>
      </c>
      <c r="E113" s="21" t="s">
        <v>5974</v>
      </c>
    </row>
    <row r="114" spans="1:5" ht="19.5" customHeight="1" x14ac:dyDescent="0.35">
      <c r="A114" s="21" t="s">
        <v>771</v>
      </c>
      <c r="B114" s="21" t="s">
        <v>6078</v>
      </c>
      <c r="C114" s="21" t="s">
        <v>867</v>
      </c>
      <c r="D114" s="34">
        <v>0.890424504173566</v>
      </c>
      <c r="E114" s="21" t="s">
        <v>5974</v>
      </c>
    </row>
    <row r="115" spans="1:5" ht="19.5" customHeight="1" x14ac:dyDescent="0.35">
      <c r="A115" s="21" t="s">
        <v>771</v>
      </c>
      <c r="B115" s="21" t="s">
        <v>6079</v>
      </c>
      <c r="C115" s="21" t="s">
        <v>868</v>
      </c>
      <c r="D115" s="34">
        <v>0.88206178084327003</v>
      </c>
      <c r="E115" s="21" t="s">
        <v>5974</v>
      </c>
    </row>
    <row r="116" spans="1:5" ht="19.5" customHeight="1" x14ac:dyDescent="0.35">
      <c r="A116" s="21" t="s">
        <v>771</v>
      </c>
      <c r="B116" s="21" t="s">
        <v>6080</v>
      </c>
      <c r="C116" s="21" t="s">
        <v>870</v>
      </c>
      <c r="D116" s="34">
        <v>0.87959855131328801</v>
      </c>
      <c r="E116" s="21" t="s">
        <v>5974</v>
      </c>
    </row>
    <row r="117" spans="1:5" ht="19.5" customHeight="1" x14ac:dyDescent="0.35">
      <c r="A117" s="21" t="s">
        <v>771</v>
      </c>
      <c r="B117" s="21" t="s">
        <v>6081</v>
      </c>
      <c r="C117" s="21" t="s">
        <v>871</v>
      </c>
      <c r="D117" s="34">
        <v>0.88965312351193504</v>
      </c>
      <c r="E117" s="21" t="s">
        <v>5974</v>
      </c>
    </row>
    <row r="118" spans="1:5" ht="19.5" customHeight="1" x14ac:dyDescent="0.35">
      <c r="A118" s="21" t="s">
        <v>771</v>
      </c>
      <c r="B118" s="21" t="s">
        <v>6082</v>
      </c>
      <c r="C118" s="21" t="s">
        <v>872</v>
      </c>
      <c r="D118" s="34">
        <v>0.88361821643709704</v>
      </c>
      <c r="E118" s="21" t="s">
        <v>5974</v>
      </c>
    </row>
    <row r="119" spans="1:5" ht="19.5" customHeight="1" x14ac:dyDescent="0.35">
      <c r="A119" s="21" t="s">
        <v>771</v>
      </c>
      <c r="B119" s="21" t="s">
        <v>6083</v>
      </c>
      <c r="C119" s="21" t="s">
        <v>873</v>
      </c>
      <c r="D119" s="34">
        <v>0.88873634749110497</v>
      </c>
      <c r="E119" s="21" t="s">
        <v>5974</v>
      </c>
    </row>
    <row r="120" spans="1:5" ht="19.5" customHeight="1" x14ac:dyDescent="0.35">
      <c r="A120" s="21" t="s">
        <v>771</v>
      </c>
      <c r="B120" s="21" t="s">
        <v>6084</v>
      </c>
      <c r="C120" s="21" t="s">
        <v>875</v>
      </c>
      <c r="D120" s="34">
        <v>0.83055555555555605</v>
      </c>
      <c r="E120" s="21" t="s">
        <v>5974</v>
      </c>
    </row>
    <row r="121" spans="1:5" ht="19.5" customHeight="1" x14ac:dyDescent="0.35">
      <c r="A121" s="21" t="s">
        <v>660</v>
      </c>
      <c r="B121" s="21" t="s">
        <v>6085</v>
      </c>
      <c r="C121" s="21" t="s">
        <v>877</v>
      </c>
      <c r="D121" s="34">
        <v>0.76320344347676705</v>
      </c>
      <c r="E121" s="21" t="s">
        <v>5974</v>
      </c>
    </row>
    <row r="122" spans="1:5" ht="19.5" customHeight="1" x14ac:dyDescent="0.35">
      <c r="A122" s="21" t="s">
        <v>660</v>
      </c>
      <c r="B122" s="21" t="s">
        <v>6086</v>
      </c>
      <c r="C122" s="21" t="s">
        <v>879</v>
      </c>
      <c r="D122" s="34">
        <v>0.76983077264024202</v>
      </c>
      <c r="E122" s="21" t="s">
        <v>5974</v>
      </c>
    </row>
    <row r="123" spans="1:5" ht="19.5" customHeight="1" x14ac:dyDescent="0.35">
      <c r="A123" s="21" t="s">
        <v>771</v>
      </c>
      <c r="B123" s="21" t="s">
        <v>6087</v>
      </c>
      <c r="C123" s="21" t="s">
        <v>881</v>
      </c>
      <c r="D123" s="34">
        <v>0.88483396190374697</v>
      </c>
      <c r="E123" s="21" t="s">
        <v>5974</v>
      </c>
    </row>
    <row r="124" spans="1:5" ht="19.5" customHeight="1" x14ac:dyDescent="0.35">
      <c r="A124" s="21" t="s">
        <v>660</v>
      </c>
      <c r="B124" s="21" t="s">
        <v>6088</v>
      </c>
      <c r="C124" s="21" t="s">
        <v>883</v>
      </c>
      <c r="D124" s="34">
        <v>0.874254552257414</v>
      </c>
      <c r="E124" s="21" t="s">
        <v>5974</v>
      </c>
    </row>
    <row r="125" spans="1:5" ht="19.5" customHeight="1" x14ac:dyDescent="0.35">
      <c r="A125" s="21" t="s">
        <v>660</v>
      </c>
      <c r="B125" s="21" t="s">
        <v>6089</v>
      </c>
      <c r="C125" s="21" t="s">
        <v>884</v>
      </c>
      <c r="D125" s="34">
        <v>0.88743060199577195</v>
      </c>
      <c r="E125" s="21" t="s">
        <v>5974</v>
      </c>
    </row>
    <row r="126" spans="1:5" ht="19.5" customHeight="1" x14ac:dyDescent="0.35">
      <c r="A126" s="21" t="s">
        <v>660</v>
      </c>
      <c r="B126" s="21" t="s">
        <v>6090</v>
      </c>
      <c r="C126" s="21" t="s">
        <v>886</v>
      </c>
      <c r="D126" s="34">
        <v>0.85196448045256401</v>
      </c>
      <c r="E126" s="21" t="s">
        <v>5974</v>
      </c>
    </row>
    <row r="127" spans="1:5" ht="19.5" customHeight="1" x14ac:dyDescent="0.35">
      <c r="A127" s="21" t="s">
        <v>660</v>
      </c>
      <c r="B127" s="21" t="s">
        <v>6091</v>
      </c>
      <c r="C127" s="21" t="s">
        <v>887</v>
      </c>
      <c r="D127" s="34">
        <v>0.88526401948266498</v>
      </c>
      <c r="E127" s="21" t="s">
        <v>5974</v>
      </c>
    </row>
    <row r="128" spans="1:5" ht="19.5" customHeight="1" x14ac:dyDescent="0.35">
      <c r="A128" s="21" t="s">
        <v>771</v>
      </c>
      <c r="B128" s="21" t="s">
        <v>6092</v>
      </c>
      <c r="C128" s="21" t="s">
        <v>888</v>
      </c>
      <c r="D128" s="34">
        <v>0.85997101474833304</v>
      </c>
      <c r="E128" s="21" t="s">
        <v>5974</v>
      </c>
    </row>
    <row r="129" spans="1:5" ht="19.5" customHeight="1" x14ac:dyDescent="0.35">
      <c r="A129" s="21" t="s">
        <v>771</v>
      </c>
      <c r="B129" s="21" t="s">
        <v>6093</v>
      </c>
      <c r="C129" s="21" t="s">
        <v>890</v>
      </c>
      <c r="D129" s="34">
        <v>0.86358610241712896</v>
      </c>
      <c r="E129" s="21" t="s">
        <v>5974</v>
      </c>
    </row>
    <row r="130" spans="1:5" ht="19.5" customHeight="1" x14ac:dyDescent="0.35">
      <c r="A130" s="21" t="s">
        <v>679</v>
      </c>
      <c r="B130" s="21" t="s">
        <v>6094</v>
      </c>
      <c r="C130" s="21" t="s">
        <v>892</v>
      </c>
      <c r="D130" s="34">
        <v>0.81859767289492003</v>
      </c>
      <c r="E130" s="21" t="s">
        <v>5974</v>
      </c>
    </row>
    <row r="131" spans="1:5" ht="19.5" customHeight="1" x14ac:dyDescent="0.35">
      <c r="A131" s="21" t="s">
        <v>679</v>
      </c>
      <c r="B131" s="21" t="s">
        <v>6095</v>
      </c>
      <c r="C131" s="21" t="s">
        <v>894</v>
      </c>
      <c r="D131" s="34">
        <v>0.87048690958018404</v>
      </c>
      <c r="E131" s="21" t="s">
        <v>5974</v>
      </c>
    </row>
    <row r="132" spans="1:5" ht="19.5" customHeight="1" x14ac:dyDescent="0.35">
      <c r="A132" s="21" t="s">
        <v>814</v>
      </c>
      <c r="B132" s="21" t="s">
        <v>6096</v>
      </c>
      <c r="C132" s="21" t="s">
        <v>895</v>
      </c>
      <c r="D132" s="34">
        <v>0.85171878364248998</v>
      </c>
      <c r="E132" s="21" t="s">
        <v>5974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A5A5A5"/>
    <pageSetUpPr fitToPage="1"/>
  </sheetPr>
  <dimension ref="A1:D17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86.7265625" customWidth="1"/>
    <col min="2" max="2" width="10.7265625" customWidth="1"/>
    <col min="3" max="3" width="85.1796875" customWidth="1"/>
    <col min="4" max="4" width="42" customWidth="1"/>
  </cols>
  <sheetData>
    <row r="1" spans="1:4" ht="19.5" customHeight="1" x14ac:dyDescent="0.35">
      <c r="A1" s="14" t="s">
        <v>6097</v>
      </c>
      <c r="B1" s="2"/>
      <c r="C1" s="2"/>
      <c r="D1" s="2"/>
    </row>
    <row r="2" spans="1:4" ht="19.5" customHeight="1" x14ac:dyDescent="0.35">
      <c r="A2" s="20" t="s">
        <v>6098</v>
      </c>
      <c r="B2" s="2"/>
      <c r="C2" s="2"/>
      <c r="D2" s="2"/>
    </row>
    <row r="3" spans="1:4" ht="19.5" customHeight="1" x14ac:dyDescent="0.35">
      <c r="A3" s="17" t="s">
        <v>91</v>
      </c>
      <c r="B3" s="17" t="s">
        <v>94</v>
      </c>
      <c r="C3" s="17" t="s">
        <v>6099</v>
      </c>
      <c r="D3" s="17" t="s">
        <v>97</v>
      </c>
    </row>
    <row r="4" spans="1:4" ht="19.5" customHeight="1" x14ac:dyDescent="0.35">
      <c r="A4" s="16" t="s">
        <v>101</v>
      </c>
      <c r="B4" s="19">
        <v>430</v>
      </c>
      <c r="C4" s="16" t="s">
        <v>103</v>
      </c>
      <c r="D4" s="16" t="s">
        <v>104</v>
      </c>
    </row>
    <row r="5" spans="1:4" ht="19.5" customHeight="1" x14ac:dyDescent="0.35">
      <c r="A5" s="16" t="s">
        <v>107</v>
      </c>
      <c r="B5" s="19">
        <v>92</v>
      </c>
      <c r="C5" s="16" t="s">
        <v>108</v>
      </c>
      <c r="D5" s="16" t="s">
        <v>104</v>
      </c>
    </row>
    <row r="6" spans="1:4" ht="19.5" customHeight="1" x14ac:dyDescent="0.35">
      <c r="A6" s="16" t="s">
        <v>109</v>
      </c>
      <c r="B6" s="19">
        <v>264</v>
      </c>
      <c r="C6" s="16" t="s">
        <v>110</v>
      </c>
      <c r="D6" s="16" t="s">
        <v>111</v>
      </c>
    </row>
    <row r="7" spans="1:4" ht="19.5" customHeight="1" x14ac:dyDescent="0.35">
      <c r="A7" s="16" t="s">
        <v>112</v>
      </c>
      <c r="B7" s="19">
        <v>58</v>
      </c>
      <c r="C7" s="16" t="s">
        <v>113</v>
      </c>
      <c r="D7" s="16" t="s">
        <v>104</v>
      </c>
    </row>
    <row r="8" spans="1:4" ht="19.5" customHeight="1" x14ac:dyDescent="0.35">
      <c r="A8" s="16" t="s">
        <v>114</v>
      </c>
      <c r="B8" s="19">
        <v>290</v>
      </c>
      <c r="C8" s="16" t="s">
        <v>115</v>
      </c>
      <c r="D8" s="16" t="s">
        <v>104</v>
      </c>
    </row>
    <row r="9" spans="1:4" ht="19.5" customHeight="1" x14ac:dyDescent="0.35">
      <c r="A9" s="16" t="s">
        <v>116</v>
      </c>
      <c r="B9" s="19">
        <v>74</v>
      </c>
      <c r="C9" s="16" t="s">
        <v>117</v>
      </c>
      <c r="D9" s="16" t="s">
        <v>104</v>
      </c>
    </row>
    <row r="10" spans="1:4" ht="19.5" customHeight="1" x14ac:dyDescent="0.35">
      <c r="A10" s="16" t="s">
        <v>118</v>
      </c>
      <c r="B10" s="19">
        <v>355</v>
      </c>
      <c r="C10" s="16" t="s">
        <v>119</v>
      </c>
      <c r="D10" s="16" t="s">
        <v>104</v>
      </c>
    </row>
    <row r="11" spans="1:4" ht="19.5" customHeight="1" x14ac:dyDescent="0.35">
      <c r="A11" s="16" t="s">
        <v>120</v>
      </c>
      <c r="B11" s="19">
        <v>386</v>
      </c>
      <c r="C11" s="16" t="s">
        <v>121</v>
      </c>
      <c r="D11" s="16" t="s">
        <v>104</v>
      </c>
    </row>
    <row r="12" spans="1:4" ht="19.5" customHeight="1" x14ac:dyDescent="0.35">
      <c r="A12" s="16" t="s">
        <v>122</v>
      </c>
      <c r="B12" s="19">
        <v>94</v>
      </c>
      <c r="C12" s="16" t="s">
        <v>123</v>
      </c>
      <c r="D12" s="16" t="s">
        <v>104</v>
      </c>
    </row>
    <row r="13" spans="1:4" ht="19.5" customHeight="1" x14ac:dyDescent="0.35">
      <c r="A13" s="16" t="s">
        <v>124</v>
      </c>
      <c r="B13" s="19">
        <v>9000</v>
      </c>
      <c r="C13" s="16" t="s">
        <v>125</v>
      </c>
      <c r="D13" s="16" t="s">
        <v>104</v>
      </c>
    </row>
    <row r="14" spans="1:4" ht="19.5" customHeight="1" x14ac:dyDescent="0.35">
      <c r="A14" s="16" t="s">
        <v>126</v>
      </c>
      <c r="B14" s="19">
        <v>50000</v>
      </c>
      <c r="C14" s="16" t="s">
        <v>127</v>
      </c>
      <c r="D14" s="16" t="s">
        <v>104</v>
      </c>
    </row>
    <row r="15" spans="1:4" ht="19.5" customHeight="1" x14ac:dyDescent="0.35">
      <c r="A15" s="16" t="s">
        <v>128</v>
      </c>
      <c r="B15" s="19">
        <v>10000</v>
      </c>
      <c r="C15" s="16" t="s">
        <v>129</v>
      </c>
      <c r="D15" s="16" t="s">
        <v>104</v>
      </c>
    </row>
    <row r="16" spans="1:4" ht="19.5" customHeight="1" x14ac:dyDescent="0.35">
      <c r="A16" s="16" t="s">
        <v>130</v>
      </c>
      <c r="B16" s="19">
        <v>3000</v>
      </c>
      <c r="C16" s="16" t="s">
        <v>131</v>
      </c>
      <c r="D16" s="16" t="s">
        <v>104</v>
      </c>
    </row>
    <row r="17" spans="1:4" ht="19.5" customHeight="1" x14ac:dyDescent="0.35">
      <c r="A17" s="16" t="s">
        <v>132</v>
      </c>
      <c r="B17" s="19">
        <v>10000</v>
      </c>
      <c r="C17" s="16" t="s">
        <v>133</v>
      </c>
      <c r="D17" s="16" t="s">
        <v>104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A5A5A5"/>
    <pageSetUpPr fitToPage="1"/>
  </sheetPr>
  <dimension ref="A1:C20"/>
  <sheetViews>
    <sheetView showGridLines="0" zoomScale="90" zoomScaleNormal="90"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42.453125" customWidth="1"/>
    <col min="2" max="2" width="27.54296875" customWidth="1"/>
    <col min="3" max="3" width="42" customWidth="1"/>
  </cols>
  <sheetData>
    <row r="1" spans="1:3" ht="19.5" customHeight="1" x14ac:dyDescent="0.35">
      <c r="A1" s="14" t="s">
        <v>6100</v>
      </c>
      <c r="B1" s="2"/>
      <c r="C1" s="2"/>
    </row>
    <row r="2" spans="1:3" ht="19.5" customHeight="1" x14ac:dyDescent="0.35">
      <c r="A2" s="20" t="s">
        <v>6101</v>
      </c>
      <c r="B2" s="2"/>
      <c r="C2" s="2"/>
    </row>
    <row r="3" spans="1:3" ht="19.5" customHeight="1" x14ac:dyDescent="0.35">
      <c r="A3" s="17" t="s">
        <v>51</v>
      </c>
      <c r="B3" s="17" t="s">
        <v>6102</v>
      </c>
      <c r="C3" s="17" t="s">
        <v>61</v>
      </c>
    </row>
    <row r="4" spans="1:3" ht="19.5" customHeight="1" x14ac:dyDescent="0.35">
      <c r="A4" s="16" t="s">
        <v>25</v>
      </c>
      <c r="B4" s="19">
        <v>80</v>
      </c>
      <c r="C4" s="16" t="s">
        <v>6103</v>
      </c>
    </row>
    <row r="5" spans="1:3" ht="19.5" customHeight="1" x14ac:dyDescent="0.35">
      <c r="A5" s="16" t="s">
        <v>74</v>
      </c>
      <c r="B5" s="19">
        <v>100</v>
      </c>
      <c r="C5" s="16" t="s">
        <v>6104</v>
      </c>
    </row>
    <row r="6" spans="1:3" ht="19.5" customHeight="1" x14ac:dyDescent="0.35">
      <c r="A6" s="16" t="s">
        <v>76</v>
      </c>
      <c r="B6" s="19">
        <v>114</v>
      </c>
      <c r="C6" s="16" t="s">
        <v>6105</v>
      </c>
    </row>
    <row r="7" spans="1:3" ht="19.5" customHeight="1" x14ac:dyDescent="0.35">
      <c r="A7" s="16" t="s">
        <v>6106</v>
      </c>
      <c r="B7" s="19">
        <v>20</v>
      </c>
      <c r="C7" s="16" t="s">
        <v>6107</v>
      </c>
    </row>
    <row r="8" spans="1:3" ht="19.5" customHeight="1" x14ac:dyDescent="0.35">
      <c r="A8" s="16" t="s">
        <v>6108</v>
      </c>
      <c r="B8" s="19">
        <v>34</v>
      </c>
      <c r="C8" s="16" t="s">
        <v>6109</v>
      </c>
    </row>
    <row r="9" spans="1:3" ht="19.5" customHeight="1" x14ac:dyDescent="0.35">
      <c r="A9" s="16" t="s">
        <v>6110</v>
      </c>
      <c r="B9" s="19">
        <v>110</v>
      </c>
      <c r="C9" s="16" t="s">
        <v>6111</v>
      </c>
    </row>
    <row r="10" spans="1:3" ht="19.5" customHeight="1" x14ac:dyDescent="0.35">
      <c r="A10" s="16" t="s">
        <v>6112</v>
      </c>
      <c r="B10" s="19">
        <v>124</v>
      </c>
      <c r="C10" s="16" t="s">
        <v>6111</v>
      </c>
    </row>
    <row r="11" spans="1:3" ht="19.5" customHeight="1" x14ac:dyDescent="0.35">
      <c r="A11" s="16" t="s">
        <v>6113</v>
      </c>
      <c r="B11" s="19">
        <v>30</v>
      </c>
      <c r="C11" s="16" t="s">
        <v>6114</v>
      </c>
    </row>
    <row r="12" spans="1:3" ht="19.5" customHeight="1" x14ac:dyDescent="0.35">
      <c r="A12" s="16" t="s">
        <v>6115</v>
      </c>
      <c r="B12" s="19">
        <v>44</v>
      </c>
      <c r="C12" s="16" t="s">
        <v>6116</v>
      </c>
    </row>
    <row r="13" spans="1:3" ht="19.5" customHeight="1" x14ac:dyDescent="0.35">
      <c r="A13" s="16"/>
      <c r="B13" s="16"/>
      <c r="C13" s="16"/>
    </row>
    <row r="14" spans="1:3" ht="19.5" customHeight="1" x14ac:dyDescent="0.35">
      <c r="A14" s="16"/>
      <c r="B14" s="16"/>
      <c r="C14" s="16"/>
    </row>
    <row r="15" spans="1:3" ht="19.5" customHeight="1" x14ac:dyDescent="0.35">
      <c r="A15" s="17" t="s">
        <v>6117</v>
      </c>
      <c r="B15" s="17" t="s">
        <v>60</v>
      </c>
      <c r="C15" s="17" t="s">
        <v>61</v>
      </c>
    </row>
    <row r="16" spans="1:3" ht="19.5" customHeight="1" x14ac:dyDescent="0.35">
      <c r="A16" s="16" t="s">
        <v>6118</v>
      </c>
      <c r="B16" s="16" t="s">
        <v>6119</v>
      </c>
      <c r="C16" s="16" t="s">
        <v>6120</v>
      </c>
    </row>
    <row r="17" spans="1:3" ht="19.5" customHeight="1" x14ac:dyDescent="0.35">
      <c r="A17" s="16" t="s">
        <v>126</v>
      </c>
      <c r="B17" s="16" t="s">
        <v>6121</v>
      </c>
      <c r="C17" s="16" t="s">
        <v>6120</v>
      </c>
    </row>
    <row r="18" spans="1:3" ht="19.5" customHeight="1" x14ac:dyDescent="0.35">
      <c r="A18" s="16" t="s">
        <v>6122</v>
      </c>
      <c r="B18" s="16" t="s">
        <v>6123</v>
      </c>
      <c r="C18" s="16" t="s">
        <v>6120</v>
      </c>
    </row>
    <row r="19" spans="1:3" ht="19.5" customHeight="1" x14ac:dyDescent="0.35">
      <c r="A19" s="16" t="s">
        <v>6124</v>
      </c>
      <c r="B19" s="16" t="s">
        <v>6125</v>
      </c>
      <c r="C19" s="16" t="s">
        <v>6120</v>
      </c>
    </row>
    <row r="20" spans="1:3" ht="19.5" customHeight="1" x14ac:dyDescent="0.35">
      <c r="A20" s="16" t="s">
        <v>6126</v>
      </c>
      <c r="B20" s="19">
        <v>1450</v>
      </c>
      <c r="C20" s="16" t="s">
        <v>6127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A5A5A5"/>
    <pageSetUpPr fitToPage="1"/>
  </sheetPr>
  <dimension ref="A1:C14"/>
  <sheetViews>
    <sheetView showGridLines="0" zoomScale="90" zoomScaleNormal="90" workbookViewId="0">
      <pane ySplit="3" topLeftCell="A4" activePane="bottomLeft" state="frozen"/>
      <selection pane="bottomLeft" activeCell="E17" sqref="E17"/>
    </sheetView>
  </sheetViews>
  <sheetFormatPr baseColWidth="10" defaultColWidth="8.7265625" defaultRowHeight="14.5" x14ac:dyDescent="0.35"/>
  <cols>
    <col min="1" max="1" width="21.81640625" customWidth="1"/>
    <col min="2" max="2" width="26.1796875" customWidth="1"/>
    <col min="3" max="3" width="61.453125" bestFit="1" customWidth="1"/>
  </cols>
  <sheetData>
    <row r="1" spans="1:3" ht="19.5" customHeight="1" x14ac:dyDescent="0.35">
      <c r="A1" s="14" t="s">
        <v>6128</v>
      </c>
      <c r="B1" s="2"/>
      <c r="C1" s="2"/>
    </row>
    <row r="2" spans="1:3" ht="19.5" customHeight="1" x14ac:dyDescent="0.35">
      <c r="A2" s="20" t="s">
        <v>6129</v>
      </c>
      <c r="B2" s="2"/>
      <c r="C2" s="2"/>
    </row>
    <row r="3" spans="1:3" ht="19.5" customHeight="1" x14ac:dyDescent="0.35">
      <c r="A3" s="17" t="s">
        <v>6130</v>
      </c>
      <c r="B3" s="17" t="s">
        <v>6131</v>
      </c>
      <c r="C3" s="17" t="s">
        <v>6132</v>
      </c>
    </row>
    <row r="4" spans="1:3" ht="19.5" customHeight="1" x14ac:dyDescent="0.35">
      <c r="A4" s="16" t="s">
        <v>6133</v>
      </c>
      <c r="B4" s="16" t="s">
        <v>3701</v>
      </c>
      <c r="C4" s="16" t="s">
        <v>6533</v>
      </c>
    </row>
    <row r="5" spans="1:3" ht="19.5" customHeight="1" x14ac:dyDescent="0.35">
      <c r="A5" s="16" t="s">
        <v>85</v>
      </c>
      <c r="B5" s="16" t="s">
        <v>38</v>
      </c>
      <c r="C5" s="16" t="s">
        <v>6134</v>
      </c>
    </row>
    <row r="6" spans="1:3" ht="19.5" customHeight="1" x14ac:dyDescent="0.35">
      <c r="A6" s="16" t="s">
        <v>85</v>
      </c>
      <c r="B6" s="16" t="s">
        <v>40</v>
      </c>
      <c r="C6" s="16" t="s">
        <v>6135</v>
      </c>
    </row>
    <row r="7" spans="1:3" ht="19.5" customHeight="1" x14ac:dyDescent="0.35">
      <c r="A7" s="16" t="s">
        <v>85</v>
      </c>
      <c r="B7" s="16" t="s">
        <v>42</v>
      </c>
      <c r="C7" s="16" t="s">
        <v>6136</v>
      </c>
    </row>
    <row r="8" spans="1:3" ht="19.5" customHeight="1" x14ac:dyDescent="0.35">
      <c r="A8" s="16" t="s">
        <v>85</v>
      </c>
      <c r="B8" s="16" t="s">
        <v>44</v>
      </c>
      <c r="C8" s="16" t="s">
        <v>6137</v>
      </c>
    </row>
    <row r="9" spans="1:3" ht="19.5" customHeight="1" x14ac:dyDescent="0.35">
      <c r="A9" s="16" t="s">
        <v>85</v>
      </c>
      <c r="B9" s="16" t="s">
        <v>45</v>
      </c>
      <c r="C9" s="16" t="s">
        <v>6138</v>
      </c>
    </row>
    <row r="10" spans="1:3" ht="19.5" customHeight="1" x14ac:dyDescent="0.35">
      <c r="A10" s="16" t="s">
        <v>6139</v>
      </c>
      <c r="B10" s="16" t="s">
        <v>143</v>
      </c>
      <c r="C10" s="16" t="s">
        <v>6140</v>
      </c>
    </row>
    <row r="11" spans="1:3" ht="19.5" customHeight="1" x14ac:dyDescent="0.35">
      <c r="A11" s="16" t="s">
        <v>6139</v>
      </c>
      <c r="B11" s="16" t="s">
        <v>497</v>
      </c>
      <c r="C11" s="16" t="s">
        <v>6141</v>
      </c>
    </row>
    <row r="12" spans="1:3" ht="19.5" customHeight="1" x14ac:dyDescent="0.35">
      <c r="A12" s="16" t="s">
        <v>32</v>
      </c>
      <c r="B12" s="16" t="s">
        <v>6142</v>
      </c>
      <c r="C12" s="16" t="s">
        <v>6143</v>
      </c>
    </row>
    <row r="13" spans="1:3" ht="19.5" customHeight="1" x14ac:dyDescent="0.35">
      <c r="A13" s="16" t="s">
        <v>32</v>
      </c>
      <c r="B13" s="16" t="s">
        <v>6144</v>
      </c>
      <c r="C13" s="16" t="s">
        <v>6145</v>
      </c>
    </row>
    <row r="14" spans="1:3" ht="19.5" customHeight="1" x14ac:dyDescent="0.35">
      <c r="A14" s="16" t="s">
        <v>6146</v>
      </c>
      <c r="B14" s="16" t="s">
        <v>6102</v>
      </c>
      <c r="C14" s="16" t="s">
        <v>6147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A5A5A5"/>
    <pageSetUpPr fitToPage="1"/>
  </sheetPr>
  <dimension ref="A1:H25"/>
  <sheetViews>
    <sheetView showGridLines="0" zoomScale="90" zoomScaleNormal="90" workbookViewId="0">
      <pane ySplit="9" topLeftCell="A10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8" ht="27.75" customHeight="1" x14ac:dyDescent="0.35">
      <c r="A1" s="74" t="s">
        <v>22</v>
      </c>
      <c r="B1" s="65"/>
      <c r="C1" s="65"/>
      <c r="D1" s="65"/>
      <c r="E1" s="65"/>
      <c r="F1" s="65"/>
      <c r="G1" s="65"/>
      <c r="H1" s="65"/>
    </row>
    <row r="2" spans="1:8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2"/>
      <c r="B3" s="2"/>
      <c r="C3" s="2"/>
      <c r="D3" s="2"/>
      <c r="E3" s="2"/>
      <c r="F3" s="2"/>
      <c r="G3" s="2"/>
      <c r="H3" s="2"/>
    </row>
    <row r="4" spans="1:8" ht="15" customHeight="1" x14ac:dyDescent="0.35">
      <c r="A4" s="75" t="s">
        <v>6149</v>
      </c>
      <c r="B4" s="65"/>
      <c r="C4" s="65"/>
      <c r="D4" s="65"/>
      <c r="E4" s="65"/>
      <c r="F4" s="65"/>
      <c r="G4" s="65"/>
      <c r="H4" s="65"/>
    </row>
    <row r="5" spans="1:8" ht="15" customHeight="1" x14ac:dyDescent="0.35">
      <c r="A5" s="37" t="s">
        <v>6150</v>
      </c>
      <c r="B5" s="37" t="s">
        <v>60</v>
      </c>
      <c r="C5" s="37" t="s">
        <v>6151</v>
      </c>
      <c r="D5" s="37" t="s">
        <v>61</v>
      </c>
      <c r="E5" s="37" t="s">
        <v>6152</v>
      </c>
      <c r="F5" s="37" t="s">
        <v>6130</v>
      </c>
      <c r="G5" s="37" t="s">
        <v>6153</v>
      </c>
      <c r="H5" s="37" t="s">
        <v>99</v>
      </c>
    </row>
    <row r="6" spans="1:8" ht="43.5" customHeight="1" x14ac:dyDescent="0.35">
      <c r="A6" s="38" t="s">
        <v>6154</v>
      </c>
      <c r="B6" s="39">
        <v>2043</v>
      </c>
      <c r="C6" s="38" t="s">
        <v>6155</v>
      </c>
      <c r="D6" s="38" t="s">
        <v>6156</v>
      </c>
      <c r="E6" s="38" t="s">
        <v>5</v>
      </c>
      <c r="F6" s="38" t="s">
        <v>6157</v>
      </c>
      <c r="G6" s="38" t="s">
        <v>6158</v>
      </c>
      <c r="H6" s="38" t="s">
        <v>6159</v>
      </c>
    </row>
    <row r="7" spans="1:8" ht="15" customHeight="1" x14ac:dyDescent="0.35">
      <c r="A7" s="38" t="s">
        <v>6160</v>
      </c>
      <c r="B7" s="39">
        <v>1646</v>
      </c>
      <c r="C7" s="38" t="s">
        <v>6155</v>
      </c>
      <c r="D7" s="38" t="s">
        <v>6161</v>
      </c>
      <c r="E7" s="38" t="s">
        <v>5</v>
      </c>
      <c r="F7" s="38" t="s">
        <v>6157</v>
      </c>
      <c r="G7" s="38" t="s">
        <v>6158</v>
      </c>
      <c r="H7" s="38"/>
    </row>
    <row r="8" spans="1:8" ht="28.5" customHeight="1" x14ac:dyDescent="0.35">
      <c r="A8" s="38" t="s">
        <v>6162</v>
      </c>
      <c r="B8" s="40">
        <v>397</v>
      </c>
      <c r="C8" s="38" t="s">
        <v>6155</v>
      </c>
      <c r="D8" s="38" t="s">
        <v>6163</v>
      </c>
      <c r="E8" s="38" t="s">
        <v>6164</v>
      </c>
      <c r="F8" s="38" t="s">
        <v>6165</v>
      </c>
      <c r="G8" s="38" t="s">
        <v>6158</v>
      </c>
      <c r="H8" s="38" t="s">
        <v>6166</v>
      </c>
    </row>
    <row r="9" spans="1:8" ht="15" customHeight="1" x14ac:dyDescent="0.35">
      <c r="A9" s="38" t="s">
        <v>6167</v>
      </c>
      <c r="B9" s="41">
        <v>29627.200000000001</v>
      </c>
      <c r="C9" s="38" t="s">
        <v>6168</v>
      </c>
      <c r="D9" s="38" t="s">
        <v>6169</v>
      </c>
      <c r="E9" s="38" t="s">
        <v>6170</v>
      </c>
      <c r="F9" s="38" t="s">
        <v>6157</v>
      </c>
      <c r="G9" s="38" t="s">
        <v>6158</v>
      </c>
      <c r="H9" s="38" t="s">
        <v>6171</v>
      </c>
    </row>
    <row r="10" spans="1:8" ht="15" customHeight="1" x14ac:dyDescent="0.35">
      <c r="A10" s="38" t="s">
        <v>6172</v>
      </c>
      <c r="B10" s="42">
        <v>68.099999999999994</v>
      </c>
      <c r="C10" s="38" t="s">
        <v>52</v>
      </c>
      <c r="D10" s="38" t="s">
        <v>6173</v>
      </c>
      <c r="E10" s="38" t="s">
        <v>6174</v>
      </c>
      <c r="F10" s="38" t="s">
        <v>6175</v>
      </c>
      <c r="G10" s="38" t="s">
        <v>6158</v>
      </c>
      <c r="H10" s="38"/>
    </row>
    <row r="11" spans="1:8" ht="15" customHeight="1" x14ac:dyDescent="0.35">
      <c r="A11" s="38" t="s">
        <v>6176</v>
      </c>
      <c r="B11" s="42">
        <v>9.5</v>
      </c>
      <c r="C11" s="38" t="s">
        <v>52</v>
      </c>
      <c r="D11" s="38" t="s">
        <v>6177</v>
      </c>
      <c r="E11" s="38" t="s">
        <v>6178</v>
      </c>
      <c r="F11" s="38" t="s">
        <v>6175</v>
      </c>
      <c r="G11" s="38" t="s">
        <v>6158</v>
      </c>
      <c r="H11" s="38" t="s">
        <v>6179</v>
      </c>
    </row>
    <row r="12" spans="1:8" ht="15" customHeight="1" x14ac:dyDescent="0.35">
      <c r="A12" s="38" t="s">
        <v>6180</v>
      </c>
      <c r="B12" s="42">
        <v>3</v>
      </c>
      <c r="C12" s="38" t="s">
        <v>52</v>
      </c>
      <c r="D12" s="38" t="s">
        <v>6181</v>
      </c>
      <c r="E12" s="38" t="s">
        <v>6182</v>
      </c>
      <c r="F12" s="38" t="s">
        <v>6175</v>
      </c>
      <c r="G12" s="38" t="s">
        <v>6158</v>
      </c>
      <c r="H12" s="38"/>
    </row>
    <row r="13" spans="1:8" ht="28.5" customHeight="1" x14ac:dyDescent="0.35">
      <c r="A13" s="38" t="s">
        <v>6183</v>
      </c>
      <c r="B13" s="42">
        <v>2</v>
      </c>
      <c r="C13" s="38" t="s">
        <v>52</v>
      </c>
      <c r="D13" s="38" t="s">
        <v>6184</v>
      </c>
      <c r="E13" s="38" t="s">
        <v>6185</v>
      </c>
      <c r="F13" s="38" t="s">
        <v>6175</v>
      </c>
      <c r="G13" s="38" t="s">
        <v>6158</v>
      </c>
      <c r="H13" s="38"/>
    </row>
    <row r="14" spans="1:8" ht="15" customHeight="1" x14ac:dyDescent="0.35">
      <c r="A14" s="38" t="s">
        <v>6186</v>
      </c>
      <c r="B14" s="42">
        <v>11.6</v>
      </c>
      <c r="C14" s="38" t="s">
        <v>52</v>
      </c>
      <c r="D14" s="38" t="s">
        <v>6187</v>
      </c>
      <c r="E14" s="38" t="s">
        <v>6188</v>
      </c>
      <c r="F14" s="38" t="s">
        <v>6175</v>
      </c>
      <c r="G14" s="38" t="s">
        <v>6158</v>
      </c>
      <c r="H14" s="38"/>
    </row>
    <row r="15" spans="1:8" ht="15" customHeight="1" x14ac:dyDescent="0.35">
      <c r="A15" s="38" t="s">
        <v>6189</v>
      </c>
      <c r="B15" s="42">
        <v>19.399999999999999</v>
      </c>
      <c r="C15" s="38" t="s">
        <v>52</v>
      </c>
      <c r="D15" s="38" t="s">
        <v>6187</v>
      </c>
      <c r="E15" s="38" t="s">
        <v>6190</v>
      </c>
      <c r="F15" s="38" t="s">
        <v>6175</v>
      </c>
      <c r="G15" s="38" t="s">
        <v>6158</v>
      </c>
      <c r="H15" s="38"/>
    </row>
    <row r="16" spans="1:8" ht="28.5" customHeight="1" x14ac:dyDescent="0.35">
      <c r="A16" s="38" t="s">
        <v>6191</v>
      </c>
      <c r="B16" s="42">
        <v>94.4</v>
      </c>
      <c r="C16" s="38" t="s">
        <v>52</v>
      </c>
      <c r="D16" s="38" t="s">
        <v>6192</v>
      </c>
      <c r="E16" s="38" t="s">
        <v>6193</v>
      </c>
      <c r="F16" s="38" t="s">
        <v>6175</v>
      </c>
      <c r="G16" s="38" t="s">
        <v>6158</v>
      </c>
      <c r="H16" s="38"/>
    </row>
    <row r="17" spans="1:8" ht="28.5" customHeight="1" x14ac:dyDescent="0.35">
      <c r="A17" s="38" t="s">
        <v>6194</v>
      </c>
      <c r="B17" s="42">
        <v>102.2</v>
      </c>
      <c r="C17" s="38" t="s">
        <v>52</v>
      </c>
      <c r="D17" s="38" t="s">
        <v>6195</v>
      </c>
      <c r="E17" s="38" t="s">
        <v>6196</v>
      </c>
      <c r="F17" s="38" t="s">
        <v>6175</v>
      </c>
      <c r="G17" s="38" t="s">
        <v>6158</v>
      </c>
      <c r="H17" s="38"/>
    </row>
    <row r="18" spans="1:8" ht="15" customHeight="1" x14ac:dyDescent="0.35">
      <c r="A18" s="38" t="s">
        <v>6197</v>
      </c>
      <c r="B18" s="42">
        <v>14.4</v>
      </c>
      <c r="C18" s="38" t="s">
        <v>52</v>
      </c>
      <c r="D18" s="38" t="s">
        <v>6198</v>
      </c>
      <c r="E18" s="38" t="s">
        <v>6199</v>
      </c>
      <c r="F18" s="38" t="s">
        <v>6175</v>
      </c>
      <c r="G18" s="38" t="s">
        <v>6158</v>
      </c>
      <c r="H18" s="38"/>
    </row>
    <row r="19" spans="1:8" ht="15" customHeight="1" x14ac:dyDescent="0.35">
      <c r="A19" s="38" t="s">
        <v>6200</v>
      </c>
      <c r="B19" s="42">
        <v>22.2</v>
      </c>
      <c r="C19" s="38" t="s">
        <v>52</v>
      </c>
      <c r="D19" s="38" t="s">
        <v>6201</v>
      </c>
      <c r="E19" s="38" t="s">
        <v>6202</v>
      </c>
      <c r="F19" s="38" t="s">
        <v>6175</v>
      </c>
      <c r="G19" s="38" t="s">
        <v>6158</v>
      </c>
      <c r="H19" s="38"/>
    </row>
    <row r="20" spans="1:8" ht="15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ht="15" customHeight="1" x14ac:dyDescent="0.35">
      <c r="A21" s="2"/>
      <c r="B21" s="2"/>
      <c r="C21" s="2"/>
      <c r="D21" s="2"/>
      <c r="E21" s="2"/>
      <c r="F21" s="2"/>
      <c r="G21" s="2"/>
      <c r="H21" s="2"/>
    </row>
    <row r="22" spans="1:8" ht="15" customHeight="1" x14ac:dyDescent="0.35">
      <c r="A22" s="76" t="s">
        <v>6203</v>
      </c>
      <c r="B22" s="77"/>
      <c r="C22" s="77"/>
      <c r="D22" s="77"/>
      <c r="E22" s="77"/>
      <c r="F22" s="77"/>
      <c r="G22" s="77"/>
      <c r="H22" s="77"/>
    </row>
    <row r="23" spans="1:8" ht="15" customHeight="1" x14ac:dyDescent="0.35">
      <c r="A23" s="78" t="s">
        <v>6204</v>
      </c>
      <c r="B23" s="65"/>
      <c r="C23" s="65"/>
      <c r="D23" s="65"/>
      <c r="E23" s="65"/>
      <c r="F23" s="65"/>
      <c r="G23" s="65"/>
      <c r="H23" s="65"/>
    </row>
    <row r="24" spans="1:8" ht="15" customHeight="1" x14ac:dyDescent="0.35">
      <c r="A24" s="65"/>
      <c r="B24" s="65"/>
      <c r="C24" s="65"/>
      <c r="D24" s="65"/>
      <c r="E24" s="65"/>
      <c r="F24" s="65"/>
      <c r="G24" s="65"/>
      <c r="H24" s="65"/>
    </row>
    <row r="25" spans="1:8" ht="15" customHeight="1" x14ac:dyDescent="0.35">
      <c r="A25" s="77"/>
      <c r="B25" s="77"/>
      <c r="C25" s="77"/>
      <c r="D25" s="77"/>
      <c r="E25" s="77"/>
      <c r="F25" s="77"/>
      <c r="G25" s="77"/>
      <c r="H25" s="77"/>
    </row>
  </sheetData>
  <mergeCells count="4">
    <mergeCell ref="A1:H1"/>
    <mergeCell ref="A4:H4"/>
    <mergeCell ref="A22:H22"/>
    <mergeCell ref="A23:H25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rgb="FFA5A5A5"/>
    <pageSetUpPr fitToPage="1"/>
  </sheetPr>
  <dimension ref="A1:H23"/>
  <sheetViews>
    <sheetView showGridLines="0" zoomScale="90" zoomScaleNormal="90" workbookViewId="0">
      <pane ySplit="4" topLeftCell="A15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87.453125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8" ht="27.75" customHeight="1" x14ac:dyDescent="0.35">
      <c r="A1" s="74" t="s">
        <v>6205</v>
      </c>
      <c r="B1" s="65"/>
      <c r="C1" s="65"/>
      <c r="D1" s="65"/>
      <c r="E1" s="65"/>
      <c r="F1" s="65"/>
      <c r="G1" s="65"/>
      <c r="H1" s="65"/>
    </row>
    <row r="2" spans="1:8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2"/>
      <c r="B3" s="2"/>
      <c r="C3" s="2"/>
      <c r="D3" s="2"/>
      <c r="E3" s="2"/>
      <c r="F3" s="2"/>
      <c r="G3" s="2"/>
      <c r="H3" s="2"/>
    </row>
    <row r="4" spans="1:8" ht="15" customHeight="1" x14ac:dyDescent="0.35">
      <c r="A4" s="75" t="s">
        <v>6206</v>
      </c>
      <c r="B4" s="65"/>
      <c r="C4" s="65"/>
      <c r="D4" s="65"/>
      <c r="E4" s="65"/>
      <c r="F4" s="65"/>
      <c r="G4" s="2"/>
      <c r="H4" s="2"/>
    </row>
    <row r="5" spans="1:8" ht="15" customHeight="1" x14ac:dyDescent="0.35">
      <c r="A5" s="37" t="s">
        <v>6207</v>
      </c>
      <c r="B5" s="37" t="s">
        <v>60</v>
      </c>
      <c r="C5" s="37" t="s">
        <v>6151</v>
      </c>
      <c r="D5" s="37" t="s">
        <v>6099</v>
      </c>
      <c r="E5" s="37" t="s">
        <v>97</v>
      </c>
      <c r="F5" s="37" t="s">
        <v>6130</v>
      </c>
      <c r="G5" s="36"/>
      <c r="H5" s="36"/>
    </row>
    <row r="6" spans="1:8" ht="15" customHeight="1" x14ac:dyDescent="0.35">
      <c r="A6" s="38" t="s">
        <v>6208</v>
      </c>
      <c r="B6" s="43">
        <v>80</v>
      </c>
      <c r="C6" s="38" t="s">
        <v>6209</v>
      </c>
      <c r="D6" s="38" t="s">
        <v>6210</v>
      </c>
      <c r="E6" s="38" t="s">
        <v>6211</v>
      </c>
      <c r="F6" s="38" t="s">
        <v>6212</v>
      </c>
      <c r="G6" s="2"/>
      <c r="H6" s="2"/>
    </row>
    <row r="7" spans="1:8" ht="15" customHeight="1" x14ac:dyDescent="0.35">
      <c r="A7" s="38" t="s">
        <v>6213</v>
      </c>
      <c r="B7" s="43">
        <v>55</v>
      </c>
      <c r="C7" s="38" t="s">
        <v>6214</v>
      </c>
      <c r="D7" s="38" t="s">
        <v>6215</v>
      </c>
      <c r="E7" s="38" t="s">
        <v>6216</v>
      </c>
      <c r="F7" s="38" t="s">
        <v>6212</v>
      </c>
      <c r="G7" s="2"/>
      <c r="H7" s="2"/>
    </row>
    <row r="8" spans="1:8" ht="15" customHeight="1" x14ac:dyDescent="0.35">
      <c r="A8" s="38" t="s">
        <v>6217</v>
      </c>
      <c r="B8" s="43">
        <v>1450</v>
      </c>
      <c r="C8" s="38" t="s">
        <v>6218</v>
      </c>
      <c r="D8" s="38" t="s">
        <v>6219</v>
      </c>
      <c r="E8" s="38" t="s">
        <v>6220</v>
      </c>
      <c r="F8" s="38" t="s">
        <v>6212</v>
      </c>
      <c r="G8" s="2"/>
      <c r="H8" s="2"/>
    </row>
    <row r="9" spans="1:8" ht="15" customHeight="1" x14ac:dyDescent="0.35">
      <c r="A9" s="38" t="s">
        <v>6221</v>
      </c>
      <c r="B9" s="43">
        <v>10</v>
      </c>
      <c r="C9" s="38" t="s">
        <v>6222</v>
      </c>
      <c r="D9" s="38" t="s">
        <v>6223</v>
      </c>
      <c r="E9" s="38" t="s">
        <v>6216</v>
      </c>
      <c r="F9" s="38" t="s">
        <v>6212</v>
      </c>
      <c r="G9" s="2"/>
      <c r="H9" s="2"/>
    </row>
    <row r="10" spans="1:8" ht="15" customHeight="1" x14ac:dyDescent="0.35">
      <c r="A10" s="38" t="s">
        <v>6224</v>
      </c>
      <c r="B10" s="43">
        <v>45</v>
      </c>
      <c r="C10" s="38" t="s">
        <v>6225</v>
      </c>
      <c r="D10" s="38" t="s">
        <v>6226</v>
      </c>
      <c r="E10" s="38" t="s">
        <v>6220</v>
      </c>
      <c r="F10" s="38" t="s">
        <v>6212</v>
      </c>
      <c r="G10" s="2"/>
      <c r="H10" s="2"/>
    </row>
    <row r="11" spans="1:8" ht="15" customHeight="1" x14ac:dyDescent="0.35">
      <c r="A11" s="38" t="s">
        <v>6227</v>
      </c>
      <c r="B11" s="43">
        <v>220</v>
      </c>
      <c r="C11" s="38" t="s">
        <v>6228</v>
      </c>
      <c r="D11" s="38" t="s">
        <v>6229</v>
      </c>
      <c r="E11" s="38" t="s">
        <v>6220</v>
      </c>
      <c r="F11" s="38" t="s">
        <v>6212</v>
      </c>
      <c r="G11" s="2"/>
      <c r="H11" s="2"/>
    </row>
    <row r="12" spans="1:8" ht="15" customHeight="1" x14ac:dyDescent="0.35">
      <c r="A12" s="38" t="s">
        <v>6230</v>
      </c>
      <c r="B12" s="39">
        <v>60000</v>
      </c>
      <c r="C12" s="38" t="s">
        <v>6231</v>
      </c>
      <c r="D12" s="38" t="s">
        <v>6232</v>
      </c>
      <c r="E12" s="38" t="s">
        <v>5</v>
      </c>
      <c r="F12" s="38" t="s">
        <v>6157</v>
      </c>
      <c r="G12" s="2"/>
      <c r="H12" s="2"/>
    </row>
    <row r="13" spans="1:8" ht="28.5" customHeight="1" x14ac:dyDescent="0.35">
      <c r="A13" s="38" t="s">
        <v>6233</v>
      </c>
      <c r="B13" s="43">
        <v>6300</v>
      </c>
      <c r="C13" s="38" t="s">
        <v>6234</v>
      </c>
      <c r="D13" s="38" t="s">
        <v>6235</v>
      </c>
      <c r="E13" s="38" t="s">
        <v>6220</v>
      </c>
      <c r="F13" s="38" t="s">
        <v>6212</v>
      </c>
      <c r="G13" s="2"/>
      <c r="H13" s="2"/>
    </row>
    <row r="14" spans="1:8" ht="15" customHeight="1" x14ac:dyDescent="0.35">
      <c r="A14" s="38" t="s">
        <v>6186</v>
      </c>
      <c r="B14" s="44">
        <v>0.15</v>
      </c>
      <c r="C14" s="38" t="s">
        <v>6236</v>
      </c>
      <c r="D14" s="38" t="s">
        <v>6237</v>
      </c>
      <c r="E14" s="38" t="s">
        <v>6220</v>
      </c>
      <c r="F14" s="38" t="s">
        <v>6212</v>
      </c>
      <c r="G14" s="2"/>
      <c r="H14" s="2"/>
    </row>
    <row r="15" spans="1:8" ht="15" customHeight="1" x14ac:dyDescent="0.35">
      <c r="A15" s="38" t="s">
        <v>6189</v>
      </c>
      <c r="B15" s="44">
        <v>0.25</v>
      </c>
      <c r="C15" s="38" t="s">
        <v>6236</v>
      </c>
      <c r="D15" s="38" t="s">
        <v>6237</v>
      </c>
      <c r="E15" s="38" t="s">
        <v>6220</v>
      </c>
      <c r="F15" s="38" t="s">
        <v>6212</v>
      </c>
      <c r="G15" s="2"/>
      <c r="H15" s="2"/>
    </row>
    <row r="16" spans="1:8" ht="15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15" customHeight="1" x14ac:dyDescent="0.35">
      <c r="A17" s="2"/>
      <c r="B17" s="2"/>
      <c r="C17" s="2"/>
      <c r="D17" s="2"/>
      <c r="E17" s="2"/>
      <c r="F17" s="2"/>
      <c r="G17" s="2"/>
      <c r="H17" s="2"/>
    </row>
    <row r="18" spans="1:8" ht="15" customHeight="1" x14ac:dyDescent="0.35">
      <c r="A18" s="76" t="s">
        <v>6238</v>
      </c>
      <c r="B18" s="77"/>
      <c r="C18" s="77"/>
      <c r="D18" s="77"/>
      <c r="E18" s="77"/>
      <c r="F18" s="77"/>
      <c r="G18" s="2"/>
      <c r="H18" s="2"/>
    </row>
    <row r="19" spans="1:8" ht="15" customHeight="1" x14ac:dyDescent="0.35">
      <c r="A19" s="37" t="s">
        <v>97</v>
      </c>
      <c r="B19" s="37" t="s">
        <v>6239</v>
      </c>
      <c r="C19" s="37" t="s">
        <v>6240</v>
      </c>
      <c r="D19" s="37" t="s">
        <v>6241</v>
      </c>
      <c r="E19" s="37" t="s">
        <v>6242</v>
      </c>
      <c r="F19" s="37" t="s">
        <v>6243</v>
      </c>
      <c r="G19" s="36"/>
      <c r="H19" s="36"/>
    </row>
    <row r="20" spans="1:8" ht="108" customHeight="1" x14ac:dyDescent="0.35">
      <c r="A20" s="38" t="s">
        <v>6244</v>
      </c>
      <c r="B20" s="38" t="s">
        <v>6245</v>
      </c>
      <c r="C20" s="45" t="s">
        <v>6246</v>
      </c>
      <c r="D20" s="38" t="s">
        <v>6247</v>
      </c>
      <c r="E20" s="38" t="s">
        <v>6248</v>
      </c>
      <c r="F20" s="38" t="s">
        <v>6249</v>
      </c>
      <c r="G20" s="2"/>
      <c r="H20" s="2"/>
    </row>
    <row r="21" spans="1:8" ht="77.25" customHeight="1" x14ac:dyDescent="0.35">
      <c r="A21" s="38" t="s">
        <v>6250</v>
      </c>
      <c r="B21" s="38" t="s">
        <v>6251</v>
      </c>
      <c r="C21" s="45" t="s">
        <v>6252</v>
      </c>
      <c r="D21" s="38" t="s">
        <v>6253</v>
      </c>
      <c r="E21" s="38" t="s">
        <v>6254</v>
      </c>
      <c r="F21" s="38" t="s">
        <v>6255</v>
      </c>
      <c r="G21" s="2"/>
      <c r="H21" s="2"/>
    </row>
    <row r="22" spans="1:8" ht="43.5" customHeight="1" x14ac:dyDescent="0.35">
      <c r="A22" s="38" t="s">
        <v>5</v>
      </c>
      <c r="B22" s="38" t="s">
        <v>6256</v>
      </c>
      <c r="C22" s="38" t="s">
        <v>6257</v>
      </c>
      <c r="D22" s="38" t="s">
        <v>6258</v>
      </c>
      <c r="E22" s="38" t="s">
        <v>6259</v>
      </c>
      <c r="F22" s="38" t="s">
        <v>6260</v>
      </c>
      <c r="G22" s="2"/>
      <c r="H22" s="2"/>
    </row>
    <row r="23" spans="1:8" ht="43.5" customHeight="1" x14ac:dyDescent="0.35">
      <c r="A23" s="38" t="s">
        <v>6170</v>
      </c>
      <c r="B23" s="38" t="s">
        <v>6261</v>
      </c>
      <c r="C23" s="38" t="s">
        <v>6257</v>
      </c>
      <c r="D23" s="38" t="s">
        <v>6262</v>
      </c>
      <c r="E23" s="38" t="s">
        <v>6263</v>
      </c>
      <c r="F23" s="38" t="s">
        <v>6260</v>
      </c>
      <c r="G23" s="2"/>
      <c r="H23" s="2"/>
    </row>
  </sheetData>
  <mergeCells count="3">
    <mergeCell ref="A18:F18"/>
    <mergeCell ref="A4:F4"/>
    <mergeCell ref="A1:H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A5A5A5"/>
    <pageSetUpPr fitToPage="1"/>
  </sheetPr>
  <dimension ref="A1:H23"/>
  <sheetViews>
    <sheetView showGridLines="0" zoomScale="90" zoomScaleNormal="90" workbookViewId="0">
      <pane ySplit="5" topLeftCell="A6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8" ht="27.75" customHeight="1" x14ac:dyDescent="0.35">
      <c r="A1" s="74" t="s">
        <v>6264</v>
      </c>
      <c r="B1" s="65"/>
      <c r="C1" s="65"/>
      <c r="D1" s="65"/>
      <c r="E1" s="65"/>
      <c r="F1" s="65"/>
      <c r="G1" s="65"/>
      <c r="H1" s="65"/>
    </row>
    <row r="2" spans="1:8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2"/>
      <c r="B3" s="2"/>
      <c r="C3" s="2"/>
      <c r="D3" s="2"/>
      <c r="E3" s="2"/>
      <c r="F3" s="2"/>
      <c r="G3" s="2"/>
      <c r="H3" s="2"/>
    </row>
    <row r="4" spans="1:8" ht="15" customHeight="1" x14ac:dyDescent="0.35">
      <c r="A4" s="75" t="s">
        <v>6265</v>
      </c>
      <c r="B4" s="65"/>
      <c r="C4" s="65"/>
      <c r="D4" s="65"/>
      <c r="E4" s="2"/>
      <c r="F4" s="2"/>
      <c r="G4" s="2"/>
      <c r="H4" s="2"/>
    </row>
    <row r="5" spans="1:8" ht="15" customHeight="1" x14ac:dyDescent="0.35">
      <c r="A5" s="37" t="s">
        <v>6266</v>
      </c>
      <c r="B5" s="37" t="s">
        <v>94</v>
      </c>
      <c r="C5" s="37" t="s">
        <v>97</v>
      </c>
      <c r="D5" s="37" t="s">
        <v>99</v>
      </c>
      <c r="E5" s="36"/>
      <c r="F5" s="36"/>
      <c r="G5" s="36"/>
      <c r="H5" s="36"/>
    </row>
    <row r="6" spans="1:8" ht="28.5" customHeight="1" x14ac:dyDescent="0.35">
      <c r="A6" s="38" t="s">
        <v>101</v>
      </c>
      <c r="B6" s="39">
        <v>430</v>
      </c>
      <c r="C6" s="38" t="s">
        <v>5</v>
      </c>
      <c r="D6" s="38" t="s">
        <v>6267</v>
      </c>
      <c r="E6" s="2"/>
      <c r="F6" s="2"/>
      <c r="G6" s="2"/>
      <c r="H6" s="2"/>
    </row>
    <row r="7" spans="1:8" ht="28.5" customHeight="1" x14ac:dyDescent="0.35">
      <c r="A7" s="38" t="s">
        <v>107</v>
      </c>
      <c r="B7" s="39">
        <v>92</v>
      </c>
      <c r="C7" s="38" t="s">
        <v>5</v>
      </c>
      <c r="D7" s="38" t="s">
        <v>6267</v>
      </c>
      <c r="E7" s="2"/>
      <c r="F7" s="2"/>
      <c r="G7" s="2"/>
      <c r="H7" s="2"/>
    </row>
    <row r="8" spans="1:8" ht="28.5" customHeight="1" x14ac:dyDescent="0.35">
      <c r="A8" s="38" t="s">
        <v>109</v>
      </c>
      <c r="B8" s="39">
        <v>264</v>
      </c>
      <c r="C8" s="38" t="s">
        <v>5</v>
      </c>
      <c r="D8" s="38" t="s">
        <v>6267</v>
      </c>
      <c r="E8" s="2"/>
      <c r="F8" s="2"/>
      <c r="G8" s="2"/>
      <c r="H8" s="2"/>
    </row>
    <row r="9" spans="1:8" ht="28.5" customHeight="1" x14ac:dyDescent="0.35">
      <c r="A9" s="38" t="s">
        <v>6268</v>
      </c>
      <c r="B9" s="39">
        <v>58</v>
      </c>
      <c r="C9" s="38" t="s">
        <v>5</v>
      </c>
      <c r="D9" s="38" t="s">
        <v>6267</v>
      </c>
      <c r="E9" s="2"/>
      <c r="F9" s="2"/>
      <c r="G9" s="2"/>
      <c r="H9" s="2"/>
    </row>
    <row r="10" spans="1:8" ht="28.5" customHeight="1" x14ac:dyDescent="0.35">
      <c r="A10" s="38" t="s">
        <v>6269</v>
      </c>
      <c r="B10" s="39">
        <v>290</v>
      </c>
      <c r="C10" s="38" t="s">
        <v>5</v>
      </c>
      <c r="D10" s="38" t="s">
        <v>6267</v>
      </c>
      <c r="E10" s="2"/>
      <c r="F10" s="2"/>
      <c r="G10" s="2"/>
      <c r="H10" s="2"/>
    </row>
    <row r="11" spans="1:8" ht="28.5" customHeight="1" x14ac:dyDescent="0.35">
      <c r="A11" s="38" t="s">
        <v>116</v>
      </c>
      <c r="B11" s="39">
        <v>74</v>
      </c>
      <c r="C11" s="38" t="s">
        <v>5</v>
      </c>
      <c r="D11" s="38" t="s">
        <v>6267</v>
      </c>
      <c r="E11" s="2"/>
      <c r="F11" s="2"/>
      <c r="G11" s="2"/>
      <c r="H11" s="2"/>
    </row>
    <row r="12" spans="1:8" ht="28.5" customHeight="1" x14ac:dyDescent="0.35">
      <c r="A12" s="38" t="s">
        <v>6270</v>
      </c>
      <c r="B12" s="39">
        <v>355</v>
      </c>
      <c r="C12" s="38" t="s">
        <v>5</v>
      </c>
      <c r="D12" s="38" t="s">
        <v>6267</v>
      </c>
      <c r="E12" s="2"/>
      <c r="F12" s="2"/>
      <c r="G12" s="2"/>
      <c r="H12" s="2"/>
    </row>
    <row r="13" spans="1:8" ht="28.5" customHeight="1" x14ac:dyDescent="0.35">
      <c r="A13" s="38" t="s">
        <v>6271</v>
      </c>
      <c r="B13" s="39">
        <v>386</v>
      </c>
      <c r="C13" s="38" t="s">
        <v>5</v>
      </c>
      <c r="D13" s="38" t="s">
        <v>6267</v>
      </c>
      <c r="E13" s="2"/>
      <c r="F13" s="2"/>
      <c r="G13" s="2"/>
      <c r="H13" s="2"/>
    </row>
    <row r="14" spans="1:8" ht="28.5" customHeight="1" x14ac:dyDescent="0.35">
      <c r="A14" s="38" t="s">
        <v>6272</v>
      </c>
      <c r="B14" s="39">
        <v>94</v>
      </c>
      <c r="C14" s="38" t="s">
        <v>5</v>
      </c>
      <c r="D14" s="38" t="s">
        <v>6267</v>
      </c>
      <c r="E14" s="2"/>
      <c r="F14" s="2"/>
      <c r="G14" s="2"/>
      <c r="H14" s="2"/>
    </row>
    <row r="15" spans="1:8" ht="15" customHeight="1" x14ac:dyDescent="0.35">
      <c r="A15" s="46" t="s">
        <v>6273</v>
      </c>
      <c r="B15" s="46">
        <v>2043</v>
      </c>
      <c r="C15" s="46" t="s">
        <v>6175</v>
      </c>
      <c r="D15" s="46" t="s">
        <v>6274</v>
      </c>
      <c r="E15" s="2"/>
      <c r="F15" s="2"/>
      <c r="G15" s="2"/>
      <c r="H15" s="2"/>
    </row>
    <row r="16" spans="1:8" ht="15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15" customHeight="1" x14ac:dyDescent="0.35">
      <c r="A17" s="76" t="s">
        <v>6275</v>
      </c>
      <c r="B17" s="77"/>
      <c r="C17" s="77"/>
      <c r="D17" s="77"/>
      <c r="E17" s="77"/>
      <c r="F17" s="2"/>
      <c r="G17" s="2"/>
      <c r="H17" s="2"/>
    </row>
    <row r="18" spans="1:8" ht="15" customHeight="1" x14ac:dyDescent="0.35">
      <c r="A18" s="37" t="s">
        <v>32</v>
      </c>
      <c r="B18" s="37" t="s">
        <v>33</v>
      </c>
      <c r="C18" s="37" t="s">
        <v>6276</v>
      </c>
      <c r="D18" s="37" t="s">
        <v>34</v>
      </c>
      <c r="E18" s="37" t="s">
        <v>99</v>
      </c>
      <c r="F18" s="36"/>
      <c r="G18" s="36"/>
      <c r="H18" s="36"/>
    </row>
    <row r="19" spans="1:8" ht="15" customHeight="1" x14ac:dyDescent="0.35">
      <c r="A19" s="38" t="s">
        <v>37</v>
      </c>
      <c r="B19" s="39">
        <v>418</v>
      </c>
      <c r="C19" s="43">
        <v>12</v>
      </c>
      <c r="D19" s="47">
        <v>34.8333333333333</v>
      </c>
      <c r="E19" s="38" t="s">
        <v>6277</v>
      </c>
      <c r="F19" s="2"/>
      <c r="G19" s="2"/>
      <c r="H19" s="2"/>
    </row>
    <row r="20" spans="1:8" ht="15" customHeight="1" x14ac:dyDescent="0.35">
      <c r="A20" s="38" t="s">
        <v>39</v>
      </c>
      <c r="B20" s="39">
        <v>275</v>
      </c>
      <c r="C20" s="43">
        <v>20</v>
      </c>
      <c r="D20" s="47">
        <v>13.75</v>
      </c>
      <c r="E20" s="38" t="s">
        <v>6278</v>
      </c>
      <c r="F20" s="2"/>
      <c r="G20" s="2"/>
      <c r="H20" s="2"/>
    </row>
    <row r="21" spans="1:8" ht="15" customHeight="1" x14ac:dyDescent="0.35">
      <c r="A21" s="38" t="s">
        <v>41</v>
      </c>
      <c r="B21" s="39">
        <v>1200</v>
      </c>
      <c r="C21" s="43">
        <v>35</v>
      </c>
      <c r="D21" s="47">
        <v>34.285714285714299</v>
      </c>
      <c r="E21" s="38" t="s">
        <v>6279</v>
      </c>
      <c r="F21" s="2"/>
      <c r="G21" s="2"/>
      <c r="H21" s="2"/>
    </row>
    <row r="22" spans="1:8" ht="15" customHeight="1" x14ac:dyDescent="0.35">
      <c r="A22" s="38" t="s">
        <v>43</v>
      </c>
      <c r="B22" s="39">
        <v>150</v>
      </c>
      <c r="C22" s="43">
        <v>60</v>
      </c>
      <c r="D22" s="47">
        <v>2.5</v>
      </c>
      <c r="E22" s="38" t="s">
        <v>6280</v>
      </c>
      <c r="F22" s="2"/>
      <c r="G22" s="2"/>
      <c r="H22" s="2"/>
    </row>
    <row r="23" spans="1:8" ht="15" customHeight="1" x14ac:dyDescent="0.35">
      <c r="A23" s="46" t="s">
        <v>88</v>
      </c>
      <c r="B23" s="46">
        <v>2043</v>
      </c>
      <c r="C23" s="2"/>
      <c r="D23" s="46">
        <v>85.369047619047606</v>
      </c>
      <c r="E23" s="2"/>
      <c r="F23" s="2"/>
      <c r="G23" s="2"/>
      <c r="H23" s="2"/>
    </row>
  </sheetData>
  <mergeCells count="3">
    <mergeCell ref="A4:D4"/>
    <mergeCell ref="A17:E17"/>
    <mergeCell ref="A1:H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rgb="FFA5A5A5"/>
    <pageSetUpPr fitToPage="1"/>
  </sheetPr>
  <dimension ref="A1:H14"/>
  <sheetViews>
    <sheetView showGridLines="0" zoomScale="90" zoomScaleNormal="90" workbookViewId="0">
      <pane ySplit="4" topLeftCell="A5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8" ht="27.75" customHeight="1" x14ac:dyDescent="0.35">
      <c r="A1" s="74" t="s">
        <v>6281</v>
      </c>
      <c r="B1" s="65"/>
      <c r="C1" s="65"/>
      <c r="D1" s="65"/>
      <c r="E1" s="65"/>
      <c r="F1" s="65"/>
      <c r="G1" s="65"/>
      <c r="H1" s="65"/>
    </row>
    <row r="2" spans="1:8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2"/>
      <c r="B3" s="2"/>
      <c r="C3" s="2"/>
      <c r="D3" s="2"/>
      <c r="E3" s="2"/>
      <c r="F3" s="2"/>
      <c r="G3" s="2"/>
      <c r="H3" s="2"/>
    </row>
    <row r="4" spans="1:8" ht="15" customHeight="1" x14ac:dyDescent="0.35">
      <c r="A4" s="75" t="s">
        <v>6282</v>
      </c>
      <c r="B4" s="65"/>
      <c r="C4" s="65"/>
      <c r="D4" s="65"/>
      <c r="E4" s="65"/>
      <c r="F4" s="65"/>
      <c r="G4" s="65"/>
      <c r="H4" s="65"/>
    </row>
    <row r="5" spans="1:8" ht="15" customHeight="1" x14ac:dyDescent="0.35">
      <c r="A5" s="37" t="s">
        <v>6283</v>
      </c>
      <c r="B5" s="37" t="s">
        <v>37</v>
      </c>
      <c r="C5" s="37" t="s">
        <v>39</v>
      </c>
      <c r="D5" s="37" t="s">
        <v>41</v>
      </c>
      <c r="E5" s="37" t="s">
        <v>43</v>
      </c>
      <c r="F5" s="37" t="s">
        <v>6284</v>
      </c>
      <c r="G5" s="37" t="s">
        <v>34</v>
      </c>
      <c r="H5" s="37" t="s">
        <v>99</v>
      </c>
    </row>
    <row r="6" spans="1:8" ht="28.5" customHeight="1" x14ac:dyDescent="0.35">
      <c r="A6" s="38" t="s">
        <v>6285</v>
      </c>
      <c r="B6" s="48">
        <v>117</v>
      </c>
      <c r="C6" s="48">
        <v>19</v>
      </c>
      <c r="D6" s="48">
        <v>6</v>
      </c>
      <c r="E6" s="48">
        <v>29</v>
      </c>
      <c r="F6" s="48">
        <v>0</v>
      </c>
      <c r="G6" s="38">
        <v>11.354761904761901</v>
      </c>
      <c r="H6" s="38" t="s">
        <v>6286</v>
      </c>
    </row>
    <row r="7" spans="1:8" ht="28.5" customHeight="1" x14ac:dyDescent="0.35">
      <c r="A7" s="38" t="s">
        <v>6287</v>
      </c>
      <c r="B7" s="48">
        <v>65</v>
      </c>
      <c r="C7" s="48">
        <v>36</v>
      </c>
      <c r="D7" s="48">
        <v>38</v>
      </c>
      <c r="E7" s="48">
        <v>57</v>
      </c>
      <c r="F7" s="48">
        <v>0</v>
      </c>
      <c r="G7" s="38">
        <v>9.2523809523809497</v>
      </c>
      <c r="H7" s="38" t="s">
        <v>6286</v>
      </c>
    </row>
    <row r="8" spans="1:8" ht="28.5" customHeight="1" x14ac:dyDescent="0.35">
      <c r="A8" s="38" t="s">
        <v>40</v>
      </c>
      <c r="B8" s="48">
        <v>14</v>
      </c>
      <c r="C8" s="48">
        <v>0</v>
      </c>
      <c r="D8" s="48">
        <v>0</v>
      </c>
      <c r="E8" s="48">
        <v>0</v>
      </c>
      <c r="F8" s="48">
        <v>14</v>
      </c>
      <c r="G8" s="38">
        <v>2.3333333333333299</v>
      </c>
      <c r="H8" s="38" t="s">
        <v>6286</v>
      </c>
    </row>
    <row r="9" spans="1:8" ht="28.5" customHeight="1" x14ac:dyDescent="0.35">
      <c r="A9" s="38" t="s">
        <v>6288</v>
      </c>
      <c r="B9" s="48">
        <v>17</v>
      </c>
      <c r="C9" s="48">
        <v>0</v>
      </c>
      <c r="D9" s="48">
        <v>0</v>
      </c>
      <c r="E9" s="48">
        <v>0</v>
      </c>
      <c r="F9" s="48">
        <v>17</v>
      </c>
      <c r="G9" s="38">
        <v>2.8333333333333299</v>
      </c>
      <c r="H9" s="38" t="s">
        <v>6286</v>
      </c>
    </row>
    <row r="10" spans="1:8" ht="28.5" customHeight="1" x14ac:dyDescent="0.35">
      <c r="A10" s="38" t="s">
        <v>38</v>
      </c>
      <c r="B10" s="48">
        <v>15</v>
      </c>
      <c r="C10" s="48">
        <v>0</v>
      </c>
      <c r="D10" s="48">
        <v>0</v>
      </c>
      <c r="E10" s="48">
        <v>0</v>
      </c>
      <c r="F10" s="48">
        <v>15</v>
      </c>
      <c r="G10" s="38">
        <v>2.5</v>
      </c>
      <c r="H10" s="38" t="s">
        <v>6286</v>
      </c>
    </row>
    <row r="11" spans="1:8" ht="28.5" customHeight="1" x14ac:dyDescent="0.35">
      <c r="A11" s="38" t="s">
        <v>6289</v>
      </c>
      <c r="B11" s="48">
        <v>14</v>
      </c>
      <c r="C11" s="48">
        <v>0</v>
      </c>
      <c r="D11" s="48">
        <v>5</v>
      </c>
      <c r="E11" s="48">
        <v>17</v>
      </c>
      <c r="F11" s="48">
        <v>14</v>
      </c>
      <c r="G11" s="38">
        <v>2.7595238095238099</v>
      </c>
      <c r="H11" s="38" t="s">
        <v>6286</v>
      </c>
    </row>
    <row r="12" spans="1:8" ht="28.5" customHeight="1" x14ac:dyDescent="0.35">
      <c r="A12" s="38" t="s">
        <v>6290</v>
      </c>
      <c r="B12" s="48">
        <v>15</v>
      </c>
      <c r="C12" s="48">
        <v>3</v>
      </c>
      <c r="D12" s="48">
        <v>0</v>
      </c>
      <c r="E12" s="48">
        <v>0</v>
      </c>
      <c r="F12" s="48">
        <v>15</v>
      </c>
      <c r="G12" s="38">
        <v>2.65</v>
      </c>
      <c r="H12" s="38" t="s">
        <v>6286</v>
      </c>
    </row>
    <row r="13" spans="1:8" ht="28.5" customHeight="1" x14ac:dyDescent="0.35">
      <c r="A13" s="38" t="s">
        <v>6291</v>
      </c>
      <c r="B13" s="38"/>
      <c r="C13" s="38"/>
      <c r="D13" s="38"/>
      <c r="E13" s="38"/>
      <c r="F13" s="38"/>
      <c r="G13" s="38">
        <v>51.685714285714297</v>
      </c>
      <c r="H13" s="38" t="s">
        <v>6292</v>
      </c>
    </row>
    <row r="14" spans="1:8" ht="28.5" customHeight="1" x14ac:dyDescent="0.35">
      <c r="A14" s="46" t="s">
        <v>6293</v>
      </c>
      <c r="B14" s="2"/>
      <c r="C14" s="2"/>
      <c r="D14" s="2"/>
      <c r="E14" s="2"/>
      <c r="F14" s="2"/>
      <c r="G14" s="46">
        <v>85.369047619047606</v>
      </c>
      <c r="H14" s="46" t="s">
        <v>6294</v>
      </c>
    </row>
  </sheetData>
  <mergeCells count="2">
    <mergeCell ref="A4:H4"/>
    <mergeCell ref="A1:H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A5A5A5"/>
    <pageSetUpPr fitToPage="1"/>
  </sheetPr>
  <dimension ref="A1:I16"/>
  <sheetViews>
    <sheetView showGridLines="0" zoomScale="90" zoomScaleNormal="90" workbookViewId="0">
      <pane ySplit="5" topLeftCell="A6" activePane="bottomLeft" state="frozen"/>
      <selection pane="bottomLeft" activeCell="K18" sqref="K18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9" ht="27.75" customHeight="1" x14ac:dyDescent="0.35">
      <c r="A1" s="74" t="s">
        <v>6295</v>
      </c>
      <c r="B1" s="65"/>
      <c r="C1" s="65"/>
      <c r="D1" s="65"/>
      <c r="E1" s="65"/>
      <c r="F1" s="65"/>
      <c r="G1" s="65"/>
      <c r="H1" s="65"/>
      <c r="I1" s="2"/>
    </row>
    <row r="2" spans="1:9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 x14ac:dyDescent="0.35">
      <c r="A4" s="75" t="s">
        <v>6296</v>
      </c>
      <c r="B4" s="65"/>
      <c r="C4" s="65"/>
      <c r="D4" s="65"/>
      <c r="E4" s="65"/>
      <c r="F4" s="65"/>
      <c r="G4" s="2"/>
      <c r="H4" s="2"/>
      <c r="I4" s="2"/>
    </row>
    <row r="5" spans="1:9" ht="15" customHeight="1" x14ac:dyDescent="0.35">
      <c r="A5" s="37" t="s">
        <v>6297</v>
      </c>
      <c r="B5" s="37" t="s">
        <v>6298</v>
      </c>
      <c r="C5" s="37" t="s">
        <v>6151</v>
      </c>
      <c r="D5" s="37" t="s">
        <v>97</v>
      </c>
      <c r="E5" s="37" t="s">
        <v>99</v>
      </c>
      <c r="F5" s="37" t="s">
        <v>6130</v>
      </c>
      <c r="G5" s="36"/>
      <c r="H5" s="49" t="s">
        <v>6297</v>
      </c>
      <c r="I5" s="49" t="s">
        <v>52</v>
      </c>
    </row>
    <row r="6" spans="1:9" ht="28.5" customHeight="1" x14ac:dyDescent="0.35">
      <c r="A6" s="38" t="s">
        <v>6172</v>
      </c>
      <c r="B6" s="42">
        <v>85.369047619047606</v>
      </c>
      <c r="C6" s="38" t="s">
        <v>52</v>
      </c>
      <c r="D6" s="38" t="s">
        <v>6299</v>
      </c>
      <c r="E6" s="38" t="s">
        <v>6300</v>
      </c>
      <c r="F6" s="38" t="s">
        <v>6175</v>
      </c>
      <c r="G6" s="2"/>
      <c r="H6" s="38" t="s">
        <v>55</v>
      </c>
      <c r="I6" s="50">
        <v>114.206723018361</v>
      </c>
    </row>
    <row r="7" spans="1:9" ht="15" customHeight="1" x14ac:dyDescent="0.35">
      <c r="A7" s="38" t="s">
        <v>6535</v>
      </c>
      <c r="B7" s="42">
        <v>9.5238095238095202</v>
      </c>
      <c r="C7" s="38" t="s">
        <v>52</v>
      </c>
      <c r="D7" s="38" t="s">
        <v>6301</v>
      </c>
      <c r="E7" s="38" t="s">
        <v>6534</v>
      </c>
      <c r="F7" s="38" t="s">
        <v>6175</v>
      </c>
      <c r="G7" s="2"/>
      <c r="H7" s="38" t="s">
        <v>56</v>
      </c>
      <c r="I7" s="50">
        <v>123.696008732647</v>
      </c>
    </row>
    <row r="8" spans="1:9" ht="28.5" customHeight="1" x14ac:dyDescent="0.35">
      <c r="A8" s="38" t="s">
        <v>6180</v>
      </c>
      <c r="B8" s="42">
        <v>3.0344827586206899</v>
      </c>
      <c r="C8" s="38" t="s">
        <v>52</v>
      </c>
      <c r="D8" s="38" t="s">
        <v>6301</v>
      </c>
      <c r="E8" s="38" t="s">
        <v>6302</v>
      </c>
      <c r="F8" s="38" t="s">
        <v>6175</v>
      </c>
      <c r="G8" s="2"/>
      <c r="H8" s="38" t="s">
        <v>25</v>
      </c>
      <c r="I8" s="50">
        <v>80</v>
      </c>
    </row>
    <row r="9" spans="1:9" ht="15" customHeight="1" x14ac:dyDescent="0.35">
      <c r="A9" s="38" t="s">
        <v>6536</v>
      </c>
      <c r="B9" s="42">
        <v>2.0454545454545499</v>
      </c>
      <c r="C9" s="38" t="s">
        <v>52</v>
      </c>
      <c r="D9" s="38" t="s">
        <v>6301</v>
      </c>
      <c r="E9" s="38" t="s">
        <v>6303</v>
      </c>
      <c r="F9" s="38" t="s">
        <v>6175</v>
      </c>
      <c r="G9" s="2"/>
      <c r="H9" s="38" t="s">
        <v>6304</v>
      </c>
      <c r="I9" s="50">
        <v>34.206723018360996</v>
      </c>
    </row>
    <row r="10" spans="1:9" ht="28.5" customHeight="1" x14ac:dyDescent="0.35">
      <c r="A10" s="38" t="s">
        <v>6186</v>
      </c>
      <c r="B10" s="42">
        <v>14.233928571428599</v>
      </c>
      <c r="C10" s="38" t="s">
        <v>52</v>
      </c>
      <c r="D10" s="38" t="s">
        <v>6301</v>
      </c>
      <c r="E10" s="38" t="s">
        <v>6305</v>
      </c>
      <c r="F10" s="38" t="s">
        <v>6175</v>
      </c>
      <c r="G10" s="2"/>
      <c r="H10" s="38" t="s">
        <v>6306</v>
      </c>
      <c r="I10" s="50">
        <v>43.696008732646703</v>
      </c>
    </row>
    <row r="11" spans="1:9" ht="28.5" customHeight="1" x14ac:dyDescent="0.35">
      <c r="A11" s="38" t="s">
        <v>6189</v>
      </c>
      <c r="B11" s="42">
        <v>23.723214285714299</v>
      </c>
      <c r="C11" s="38" t="s">
        <v>52</v>
      </c>
      <c r="D11" s="38" t="s">
        <v>6301</v>
      </c>
      <c r="E11" s="38" t="s">
        <v>6307</v>
      </c>
      <c r="F11" s="38" t="s">
        <v>6175</v>
      </c>
      <c r="G11" s="2"/>
      <c r="H11" s="2"/>
      <c r="I11" s="2"/>
    </row>
    <row r="12" spans="1:9" ht="28.5" customHeight="1" x14ac:dyDescent="0.35">
      <c r="A12" s="51" t="s">
        <v>6191</v>
      </c>
      <c r="B12" s="52">
        <v>114.206723018361</v>
      </c>
      <c r="C12" s="51" t="s">
        <v>52</v>
      </c>
      <c r="D12" s="51" t="s">
        <v>6308</v>
      </c>
      <c r="E12" s="51" t="s">
        <v>6309</v>
      </c>
      <c r="F12" s="51" t="s">
        <v>6175</v>
      </c>
      <c r="G12" s="2"/>
      <c r="H12" s="2"/>
      <c r="I12" s="2"/>
    </row>
    <row r="13" spans="1:9" ht="28.5" customHeight="1" x14ac:dyDescent="0.35">
      <c r="A13" s="51" t="s">
        <v>6194</v>
      </c>
      <c r="B13" s="52">
        <v>123.696008732647</v>
      </c>
      <c r="C13" s="51" t="s">
        <v>52</v>
      </c>
      <c r="D13" s="51" t="s">
        <v>6308</v>
      </c>
      <c r="E13" s="51" t="s">
        <v>6310</v>
      </c>
      <c r="F13" s="51" t="s">
        <v>6175</v>
      </c>
      <c r="G13" s="2"/>
      <c r="H13" s="2"/>
      <c r="I13" s="2"/>
    </row>
    <row r="14" spans="1:9" ht="15" customHeight="1" x14ac:dyDescent="0.35">
      <c r="A14" s="38" t="s">
        <v>6208</v>
      </c>
      <c r="B14" s="44">
        <v>80</v>
      </c>
      <c r="C14" s="38" t="s">
        <v>6209</v>
      </c>
      <c r="D14" s="38" t="s">
        <v>6311</v>
      </c>
      <c r="E14" s="38" t="s">
        <v>6312</v>
      </c>
      <c r="F14" s="38" t="s">
        <v>6212</v>
      </c>
      <c r="G14" s="2"/>
      <c r="H14" s="2"/>
      <c r="I14" s="2"/>
    </row>
    <row r="15" spans="1:9" ht="15" customHeight="1" x14ac:dyDescent="0.35">
      <c r="A15" s="51" t="s">
        <v>28</v>
      </c>
      <c r="B15" s="52">
        <v>34.206723018360996</v>
      </c>
      <c r="C15" s="51" t="s">
        <v>52</v>
      </c>
      <c r="D15" s="51" t="s">
        <v>6308</v>
      </c>
      <c r="E15" s="51" t="s">
        <v>6313</v>
      </c>
      <c r="F15" s="51" t="s">
        <v>6175</v>
      </c>
      <c r="G15" s="2"/>
      <c r="H15" s="2"/>
      <c r="I15" s="2"/>
    </row>
    <row r="16" spans="1:9" ht="15" customHeight="1" x14ac:dyDescent="0.35">
      <c r="A16" s="51" t="s">
        <v>29</v>
      </c>
      <c r="B16" s="52">
        <v>43.696008732646703</v>
      </c>
      <c r="C16" s="51" t="s">
        <v>52</v>
      </c>
      <c r="D16" s="51" t="s">
        <v>6308</v>
      </c>
      <c r="E16" s="51" t="s">
        <v>6314</v>
      </c>
      <c r="F16" s="51" t="s">
        <v>6175</v>
      </c>
      <c r="G16" s="2"/>
      <c r="H16" s="2"/>
      <c r="I16" s="2"/>
    </row>
  </sheetData>
  <mergeCells count="2">
    <mergeCell ref="A4:F4"/>
    <mergeCell ref="A1:H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rgb="FFA5A5A5"/>
    <pageSetUpPr fitToPage="1"/>
  </sheetPr>
  <dimension ref="A1:H16"/>
  <sheetViews>
    <sheetView showGridLines="0" zoomScale="90" zoomScaleNormal="90" workbookViewId="0">
      <pane ySplit="4" topLeftCell="A5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6" customWidth="1"/>
    <col min="4" max="4" width="32" customWidth="1"/>
    <col min="5" max="5" width="40" customWidth="1"/>
    <col min="6" max="6" width="18" customWidth="1"/>
    <col min="7" max="7" width="16" customWidth="1"/>
    <col min="8" max="8" width="32" customWidth="1"/>
    <col min="9" max="9" width="16" customWidth="1"/>
    <col min="10" max="10" width="4" customWidth="1"/>
  </cols>
  <sheetData>
    <row r="1" spans="1:8" ht="27.75" customHeight="1" x14ac:dyDescent="0.35">
      <c r="A1" s="74" t="s">
        <v>6315</v>
      </c>
      <c r="B1" s="65"/>
      <c r="C1" s="65"/>
      <c r="D1" s="65"/>
      <c r="E1" s="65"/>
      <c r="F1" s="65"/>
      <c r="G1" s="65"/>
      <c r="H1" s="65"/>
    </row>
    <row r="2" spans="1:8" ht="39" customHeight="1" x14ac:dyDescent="0.35">
      <c r="A2" s="35" t="s">
        <v>6148</v>
      </c>
      <c r="B2" s="2"/>
      <c r="C2" s="2"/>
      <c r="D2" s="2"/>
      <c r="E2" s="2"/>
      <c r="F2" s="2"/>
      <c r="G2" s="2"/>
      <c r="H2" s="2"/>
    </row>
    <row r="3" spans="1:8" ht="15" customHeight="1" x14ac:dyDescent="0.35">
      <c r="A3" s="2"/>
      <c r="B3" s="2"/>
      <c r="C3" s="2"/>
      <c r="D3" s="2"/>
      <c r="E3" s="2"/>
      <c r="F3" s="2"/>
      <c r="G3" s="2"/>
      <c r="H3" s="2"/>
    </row>
    <row r="4" spans="1:8" ht="15" customHeight="1" x14ac:dyDescent="0.35">
      <c r="A4" s="75" t="s">
        <v>6316</v>
      </c>
      <c r="B4" s="65"/>
      <c r="C4" s="65"/>
      <c r="D4" s="65"/>
      <c r="E4" s="65"/>
      <c r="F4" s="65"/>
      <c r="G4" s="2"/>
      <c r="H4" s="2"/>
    </row>
    <row r="5" spans="1:8" ht="15" customHeight="1" x14ac:dyDescent="0.35">
      <c r="A5" s="37" t="s">
        <v>6150</v>
      </c>
      <c r="B5" s="37" t="s">
        <v>60</v>
      </c>
      <c r="C5" s="37" t="s">
        <v>6151</v>
      </c>
      <c r="D5" s="37" t="s">
        <v>97</v>
      </c>
      <c r="E5" s="37" t="s">
        <v>99</v>
      </c>
      <c r="F5" s="37" t="s">
        <v>6130</v>
      </c>
      <c r="G5" s="36"/>
      <c r="H5" s="36"/>
    </row>
    <row r="6" spans="1:8" ht="28.5" customHeight="1" x14ac:dyDescent="0.35">
      <c r="A6" s="38" t="s">
        <v>6317</v>
      </c>
      <c r="B6" s="39">
        <v>737</v>
      </c>
      <c r="C6" s="38" t="s">
        <v>6318</v>
      </c>
      <c r="D6" s="38" t="s">
        <v>6170</v>
      </c>
      <c r="E6" s="38" t="s">
        <v>6319</v>
      </c>
      <c r="F6" s="38" t="s">
        <v>6157</v>
      </c>
      <c r="G6" s="2"/>
      <c r="H6" s="2"/>
    </row>
    <row r="7" spans="1:8" ht="28.5" customHeight="1" x14ac:dyDescent="0.35">
      <c r="A7" s="38" t="s">
        <v>6320</v>
      </c>
      <c r="B7" s="41">
        <v>29627.200000000001</v>
      </c>
      <c r="C7" s="38" t="s">
        <v>6168</v>
      </c>
      <c r="D7" s="38" t="s">
        <v>6170</v>
      </c>
      <c r="E7" s="38" t="s">
        <v>6321</v>
      </c>
      <c r="F7" s="38" t="s">
        <v>6157</v>
      </c>
      <c r="G7" s="2"/>
      <c r="H7" s="2"/>
    </row>
    <row r="8" spans="1:8" ht="28.5" customHeight="1" x14ac:dyDescent="0.35">
      <c r="A8" s="38" t="s">
        <v>6322</v>
      </c>
      <c r="B8" s="41">
        <v>28449</v>
      </c>
      <c r="C8" s="38" t="s">
        <v>6323</v>
      </c>
      <c r="D8" s="38" t="s">
        <v>6170</v>
      </c>
      <c r="E8" s="38" t="s">
        <v>6324</v>
      </c>
      <c r="F8" s="38" t="s">
        <v>6157</v>
      </c>
      <c r="G8" s="2"/>
      <c r="H8" s="2"/>
    </row>
    <row r="9" spans="1:8" ht="15" customHeight="1" x14ac:dyDescent="0.35">
      <c r="A9" s="2"/>
      <c r="B9" s="2"/>
      <c r="C9" s="2"/>
      <c r="D9" s="2"/>
      <c r="E9" s="2"/>
      <c r="F9" s="2"/>
      <c r="G9" s="2"/>
      <c r="H9" s="2"/>
    </row>
    <row r="10" spans="1:8" ht="15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35">
      <c r="A11" s="76" t="s">
        <v>6325</v>
      </c>
      <c r="B11" s="77"/>
      <c r="C11" s="77"/>
      <c r="D11" s="77"/>
      <c r="E11" s="2"/>
      <c r="F11" s="2"/>
      <c r="G11" s="2"/>
      <c r="H11" s="2"/>
    </row>
    <row r="12" spans="1:8" ht="28.5" customHeight="1" x14ac:dyDescent="0.35">
      <c r="A12" s="37" t="s">
        <v>32</v>
      </c>
      <c r="B12" s="37" t="s">
        <v>6326</v>
      </c>
      <c r="C12" s="37" t="s">
        <v>6327</v>
      </c>
      <c r="D12" s="37" t="s">
        <v>97</v>
      </c>
      <c r="E12" s="36"/>
      <c r="F12" s="36"/>
      <c r="G12" s="36"/>
      <c r="H12" s="36"/>
    </row>
    <row r="13" spans="1:8" ht="28.5" customHeight="1" x14ac:dyDescent="0.35">
      <c r="A13" s="38" t="s">
        <v>37</v>
      </c>
      <c r="B13" s="48">
        <v>30</v>
      </c>
      <c r="C13" s="48">
        <v>120</v>
      </c>
      <c r="D13" s="38" t="s">
        <v>6170</v>
      </c>
      <c r="E13" s="2"/>
      <c r="F13" s="2"/>
      <c r="G13" s="2"/>
      <c r="H13" s="2"/>
    </row>
    <row r="14" spans="1:8" ht="28.5" customHeight="1" x14ac:dyDescent="0.35">
      <c r="A14" s="38" t="s">
        <v>39</v>
      </c>
      <c r="B14" s="48">
        <v>75</v>
      </c>
      <c r="C14" s="50">
        <v>187.5</v>
      </c>
      <c r="D14" s="38" t="s">
        <v>6170</v>
      </c>
      <c r="E14" s="2"/>
      <c r="F14" s="2"/>
      <c r="G14" s="2"/>
      <c r="H14" s="2"/>
    </row>
    <row r="15" spans="1:8" ht="28.5" customHeight="1" x14ac:dyDescent="0.35">
      <c r="A15" s="38" t="s">
        <v>41</v>
      </c>
      <c r="B15" s="48">
        <v>158</v>
      </c>
      <c r="C15" s="50">
        <v>237</v>
      </c>
      <c r="D15" s="38" t="s">
        <v>6170</v>
      </c>
      <c r="E15" s="2"/>
      <c r="F15" s="2"/>
      <c r="G15" s="2"/>
      <c r="H15" s="2"/>
    </row>
    <row r="16" spans="1:8" ht="28.5" customHeight="1" x14ac:dyDescent="0.35">
      <c r="A16" s="38" t="s">
        <v>43</v>
      </c>
      <c r="B16" s="48">
        <v>474</v>
      </c>
      <c r="C16" s="48">
        <v>474</v>
      </c>
      <c r="D16" s="38" t="s">
        <v>6170</v>
      </c>
      <c r="E16" s="2"/>
      <c r="F16" s="2"/>
      <c r="G16" s="2"/>
      <c r="H16" s="2"/>
    </row>
  </sheetData>
  <mergeCells count="3">
    <mergeCell ref="A1:H1"/>
    <mergeCell ref="A4:F4"/>
    <mergeCell ref="A11:D11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A1:J1661"/>
  <sheetViews>
    <sheetView showGridLines="0" zoomScale="90" zoomScaleNormal="90" workbookViewId="0">
      <pane ySplit="1" topLeftCell="A2" activePane="bottomLeft" state="frozen"/>
      <selection pane="bottomLeft" activeCell="E41" sqref="E41"/>
    </sheetView>
  </sheetViews>
  <sheetFormatPr baseColWidth="10" defaultColWidth="8.7265625" defaultRowHeight="14.5" x14ac:dyDescent="0.35"/>
  <cols>
    <col min="1" max="1" width="18" customWidth="1"/>
    <col min="2" max="2" width="29" customWidth="1"/>
    <col min="3" max="3" width="21" customWidth="1"/>
    <col min="4" max="4" width="10" customWidth="1"/>
    <col min="5" max="5" width="45" customWidth="1"/>
    <col min="6" max="6" width="34" customWidth="1"/>
    <col min="7" max="8" width="45" customWidth="1"/>
    <col min="9" max="9" width="40" customWidth="1"/>
    <col min="10" max="10" width="45" customWidth="1"/>
  </cols>
  <sheetData>
    <row r="1" spans="1:10" ht="26.9" customHeight="1" x14ac:dyDescent="0.35">
      <c r="A1" s="11" t="s">
        <v>91</v>
      </c>
      <c r="B1" s="11" t="s">
        <v>92</v>
      </c>
      <c r="C1" s="11" t="s">
        <v>93</v>
      </c>
      <c r="D1" s="11" t="s">
        <v>94</v>
      </c>
      <c r="E1" s="11" t="s">
        <v>95</v>
      </c>
      <c r="F1" s="11" t="s">
        <v>32</v>
      </c>
      <c r="G1" s="11" t="s">
        <v>96</v>
      </c>
      <c r="H1" s="11" t="s">
        <v>97</v>
      </c>
      <c r="I1" s="11" t="s">
        <v>98</v>
      </c>
      <c r="J1" s="11" t="s">
        <v>99</v>
      </c>
    </row>
    <row r="2" spans="1:10" ht="15" customHeight="1" x14ac:dyDescent="0.35">
      <c r="A2" s="53" t="s">
        <v>100</v>
      </c>
      <c r="B2" s="53" t="s">
        <v>101</v>
      </c>
      <c r="C2" s="53" t="s">
        <v>102</v>
      </c>
      <c r="D2" s="53">
        <v>430</v>
      </c>
      <c r="E2" s="53" t="s">
        <v>103</v>
      </c>
      <c r="F2" s="53"/>
      <c r="G2" s="53"/>
      <c r="H2" s="53" t="s">
        <v>104</v>
      </c>
      <c r="I2" s="53" t="s">
        <v>105</v>
      </c>
      <c r="J2" s="53" t="s">
        <v>106</v>
      </c>
    </row>
    <row r="3" spans="1:10" ht="15" customHeight="1" x14ac:dyDescent="0.35">
      <c r="A3" s="53" t="s">
        <v>100</v>
      </c>
      <c r="B3" s="53" t="s">
        <v>107</v>
      </c>
      <c r="C3" s="53" t="s">
        <v>102</v>
      </c>
      <c r="D3" s="53">
        <v>92</v>
      </c>
      <c r="E3" s="53" t="s">
        <v>108</v>
      </c>
      <c r="F3" s="53"/>
      <c r="G3" s="53"/>
      <c r="H3" s="53" t="s">
        <v>104</v>
      </c>
      <c r="I3" s="53" t="s">
        <v>105</v>
      </c>
      <c r="J3" s="53" t="s">
        <v>106</v>
      </c>
    </row>
    <row r="4" spans="1:10" ht="15" customHeight="1" x14ac:dyDescent="0.35">
      <c r="A4" s="53" t="s">
        <v>100</v>
      </c>
      <c r="B4" s="53" t="s">
        <v>109</v>
      </c>
      <c r="C4" s="53" t="s">
        <v>102</v>
      </c>
      <c r="D4" s="53">
        <v>264</v>
      </c>
      <c r="E4" s="53" t="s">
        <v>110</v>
      </c>
      <c r="F4" s="53"/>
      <c r="G4" s="53"/>
      <c r="H4" s="53" t="s">
        <v>111</v>
      </c>
      <c r="I4" s="53" t="s">
        <v>105</v>
      </c>
      <c r="J4" s="53" t="s">
        <v>106</v>
      </c>
    </row>
    <row r="5" spans="1:10" ht="15" customHeight="1" x14ac:dyDescent="0.35">
      <c r="A5" s="53" t="s">
        <v>100</v>
      </c>
      <c r="B5" s="53" t="s">
        <v>112</v>
      </c>
      <c r="C5" s="53" t="s">
        <v>102</v>
      </c>
      <c r="D5" s="53">
        <v>58</v>
      </c>
      <c r="E5" s="53" t="s">
        <v>113</v>
      </c>
      <c r="F5" s="53"/>
      <c r="G5" s="53"/>
      <c r="H5" s="53" t="s">
        <v>104</v>
      </c>
      <c r="I5" s="53" t="s">
        <v>105</v>
      </c>
      <c r="J5" s="53" t="s">
        <v>106</v>
      </c>
    </row>
    <row r="6" spans="1:10" ht="15" customHeight="1" x14ac:dyDescent="0.35">
      <c r="A6" s="53" t="s">
        <v>100</v>
      </c>
      <c r="B6" s="53" t="s">
        <v>114</v>
      </c>
      <c r="C6" s="53" t="s">
        <v>102</v>
      </c>
      <c r="D6" s="53">
        <v>290</v>
      </c>
      <c r="E6" s="53" t="s">
        <v>115</v>
      </c>
      <c r="F6" s="53"/>
      <c r="G6" s="53"/>
      <c r="H6" s="53" t="s">
        <v>104</v>
      </c>
      <c r="I6" s="53" t="s">
        <v>105</v>
      </c>
      <c r="J6" s="53" t="s">
        <v>106</v>
      </c>
    </row>
    <row r="7" spans="1:10" ht="15" customHeight="1" x14ac:dyDescent="0.35">
      <c r="A7" s="53" t="s">
        <v>100</v>
      </c>
      <c r="B7" s="53" t="s">
        <v>116</v>
      </c>
      <c r="C7" s="53" t="s">
        <v>102</v>
      </c>
      <c r="D7" s="53">
        <v>74</v>
      </c>
      <c r="E7" s="53" t="s">
        <v>117</v>
      </c>
      <c r="F7" s="53"/>
      <c r="G7" s="53"/>
      <c r="H7" s="53" t="s">
        <v>104</v>
      </c>
      <c r="I7" s="53" t="s">
        <v>105</v>
      </c>
      <c r="J7" s="53" t="s">
        <v>106</v>
      </c>
    </row>
    <row r="8" spans="1:10" ht="15" customHeight="1" x14ac:dyDescent="0.35">
      <c r="A8" s="53" t="s">
        <v>100</v>
      </c>
      <c r="B8" s="53" t="s">
        <v>118</v>
      </c>
      <c r="C8" s="53" t="s">
        <v>102</v>
      </c>
      <c r="D8" s="53">
        <v>355</v>
      </c>
      <c r="E8" s="53" t="s">
        <v>119</v>
      </c>
      <c r="F8" s="53"/>
      <c r="G8" s="53"/>
      <c r="H8" s="53" t="s">
        <v>104</v>
      </c>
      <c r="I8" s="53" t="s">
        <v>105</v>
      </c>
      <c r="J8" s="53" t="s">
        <v>106</v>
      </c>
    </row>
    <row r="9" spans="1:10" ht="15" customHeight="1" x14ac:dyDescent="0.35">
      <c r="A9" s="53" t="s">
        <v>100</v>
      </c>
      <c r="B9" s="53" t="s">
        <v>120</v>
      </c>
      <c r="C9" s="53" t="s">
        <v>102</v>
      </c>
      <c r="D9" s="53">
        <v>386</v>
      </c>
      <c r="E9" s="53" t="s">
        <v>121</v>
      </c>
      <c r="F9" s="53"/>
      <c r="G9" s="53"/>
      <c r="H9" s="53" t="s">
        <v>104</v>
      </c>
      <c r="I9" s="53" t="s">
        <v>105</v>
      </c>
      <c r="J9" s="53" t="s">
        <v>106</v>
      </c>
    </row>
    <row r="10" spans="1:10" ht="15" customHeight="1" x14ac:dyDescent="0.35">
      <c r="A10" s="53" t="s">
        <v>100</v>
      </c>
      <c r="B10" s="53" t="s">
        <v>122</v>
      </c>
      <c r="C10" s="53" t="s">
        <v>102</v>
      </c>
      <c r="D10" s="53">
        <v>94</v>
      </c>
      <c r="E10" s="53" t="s">
        <v>123</v>
      </c>
      <c r="F10" s="53"/>
      <c r="G10" s="53"/>
      <c r="H10" s="53" t="s">
        <v>104</v>
      </c>
      <c r="I10" s="53" t="s">
        <v>105</v>
      </c>
      <c r="J10" s="53" t="s">
        <v>106</v>
      </c>
    </row>
    <row r="11" spans="1:10" ht="15" customHeight="1" x14ac:dyDescent="0.35">
      <c r="A11" s="53" t="s">
        <v>100</v>
      </c>
      <c r="B11" s="53" t="s">
        <v>124</v>
      </c>
      <c r="C11" s="53" t="s">
        <v>102</v>
      </c>
      <c r="D11" s="53">
        <v>9000</v>
      </c>
      <c r="E11" s="53" t="s">
        <v>125</v>
      </c>
      <c r="F11" s="53"/>
      <c r="G11" s="53"/>
      <c r="H11" s="53" t="s">
        <v>104</v>
      </c>
      <c r="I11" s="53" t="s">
        <v>105</v>
      </c>
      <c r="J11" s="53" t="s">
        <v>106</v>
      </c>
    </row>
    <row r="12" spans="1:10" ht="15" customHeight="1" x14ac:dyDescent="0.35">
      <c r="A12" s="53" t="s">
        <v>100</v>
      </c>
      <c r="B12" s="53" t="s">
        <v>126</v>
      </c>
      <c r="C12" s="53" t="s">
        <v>102</v>
      </c>
      <c r="D12" s="53">
        <v>50000</v>
      </c>
      <c r="E12" s="53" t="s">
        <v>127</v>
      </c>
      <c r="F12" s="53"/>
      <c r="G12" s="53"/>
      <c r="H12" s="53" t="s">
        <v>104</v>
      </c>
      <c r="I12" s="53" t="s">
        <v>105</v>
      </c>
      <c r="J12" s="53" t="s">
        <v>106</v>
      </c>
    </row>
    <row r="13" spans="1:10" ht="15" customHeight="1" x14ac:dyDescent="0.35">
      <c r="A13" s="53" t="s">
        <v>100</v>
      </c>
      <c r="B13" s="53" t="s">
        <v>128</v>
      </c>
      <c r="C13" s="53" t="s">
        <v>102</v>
      </c>
      <c r="D13" s="53">
        <v>10000</v>
      </c>
      <c r="E13" s="53" t="s">
        <v>129</v>
      </c>
      <c r="F13" s="53"/>
      <c r="G13" s="53"/>
      <c r="H13" s="53" t="s">
        <v>104</v>
      </c>
      <c r="I13" s="53" t="s">
        <v>105</v>
      </c>
      <c r="J13" s="53" t="s">
        <v>106</v>
      </c>
    </row>
    <row r="14" spans="1:10" ht="15" customHeight="1" x14ac:dyDescent="0.35">
      <c r="A14" s="53" t="s">
        <v>100</v>
      </c>
      <c r="B14" s="53" t="s">
        <v>130</v>
      </c>
      <c r="C14" s="53" t="s">
        <v>102</v>
      </c>
      <c r="D14" s="53">
        <v>3000</v>
      </c>
      <c r="E14" s="53" t="s">
        <v>131</v>
      </c>
      <c r="F14" s="53"/>
      <c r="G14" s="53"/>
      <c r="H14" s="53" t="s">
        <v>104</v>
      </c>
      <c r="I14" s="53" t="s">
        <v>105</v>
      </c>
      <c r="J14" s="53" t="s">
        <v>106</v>
      </c>
    </row>
    <row r="15" spans="1:10" ht="15" customHeight="1" x14ac:dyDescent="0.35">
      <c r="A15" s="53" t="s">
        <v>100</v>
      </c>
      <c r="B15" s="53" t="s">
        <v>132</v>
      </c>
      <c r="C15" s="53" t="s">
        <v>102</v>
      </c>
      <c r="D15" s="53">
        <v>10000</v>
      </c>
      <c r="E15" s="53" t="s">
        <v>133</v>
      </c>
      <c r="F15" s="53"/>
      <c r="G15" s="53"/>
      <c r="H15" s="53" t="s">
        <v>104</v>
      </c>
      <c r="I15" s="53" t="s">
        <v>105</v>
      </c>
      <c r="J15" s="53" t="s">
        <v>106</v>
      </c>
    </row>
    <row r="16" spans="1:10" ht="15" customHeight="1" x14ac:dyDescent="0.35">
      <c r="A16" s="53" t="s">
        <v>134</v>
      </c>
      <c r="B16" s="53" t="s">
        <v>38</v>
      </c>
      <c r="C16" s="53" t="s">
        <v>109</v>
      </c>
      <c r="D16" s="53">
        <v>15</v>
      </c>
      <c r="E16" s="53" t="s">
        <v>135</v>
      </c>
      <c r="F16" s="53" t="s">
        <v>136</v>
      </c>
      <c r="G16" s="53" t="s">
        <v>137</v>
      </c>
      <c r="H16" s="53" t="s">
        <v>138</v>
      </c>
      <c r="I16" s="53" t="s">
        <v>139</v>
      </c>
      <c r="J16" s="53" t="s">
        <v>32</v>
      </c>
    </row>
    <row r="17" spans="1:10" ht="15" customHeight="1" x14ac:dyDescent="0.35">
      <c r="A17" s="53" t="s">
        <v>134</v>
      </c>
      <c r="B17" s="53" t="s">
        <v>40</v>
      </c>
      <c r="C17" s="53" t="s">
        <v>109</v>
      </c>
      <c r="D17" s="53">
        <v>14</v>
      </c>
      <c r="E17" s="53" t="s">
        <v>135</v>
      </c>
      <c r="F17" s="53" t="s">
        <v>136</v>
      </c>
      <c r="G17" s="53" t="s">
        <v>137</v>
      </c>
      <c r="H17" s="53" t="s">
        <v>138</v>
      </c>
      <c r="I17" s="53" t="s">
        <v>139</v>
      </c>
      <c r="J17" s="53" t="s">
        <v>32</v>
      </c>
    </row>
    <row r="18" spans="1:10" ht="15" customHeight="1" x14ac:dyDescent="0.35">
      <c r="A18" s="53" t="s">
        <v>134</v>
      </c>
      <c r="B18" s="53" t="s">
        <v>42</v>
      </c>
      <c r="C18" s="53" t="s">
        <v>109</v>
      </c>
      <c r="D18" s="53">
        <v>10</v>
      </c>
      <c r="E18" s="53" t="s">
        <v>135</v>
      </c>
      <c r="F18" s="53" t="s">
        <v>136</v>
      </c>
      <c r="G18" s="53" t="s">
        <v>137</v>
      </c>
      <c r="H18" s="53" t="s">
        <v>138</v>
      </c>
      <c r="I18" s="53" t="s">
        <v>139</v>
      </c>
      <c r="J18" s="53" t="s">
        <v>32</v>
      </c>
    </row>
    <row r="19" spans="1:10" ht="15" customHeight="1" x14ac:dyDescent="0.35">
      <c r="A19" s="53" t="s">
        <v>134</v>
      </c>
      <c r="B19" s="53" t="s">
        <v>42</v>
      </c>
      <c r="C19" s="53" t="s">
        <v>101</v>
      </c>
      <c r="D19" s="53">
        <v>4</v>
      </c>
      <c r="E19" s="53" t="s">
        <v>140</v>
      </c>
      <c r="F19" s="53" t="s">
        <v>136</v>
      </c>
      <c r="G19" s="53" t="s">
        <v>137</v>
      </c>
      <c r="H19" s="53" t="s">
        <v>138</v>
      </c>
      <c r="I19" s="53" t="s">
        <v>139</v>
      </c>
      <c r="J19" s="53" t="s">
        <v>32</v>
      </c>
    </row>
    <row r="20" spans="1:10" ht="15" customHeight="1" x14ac:dyDescent="0.35">
      <c r="A20" s="53" t="s">
        <v>134</v>
      </c>
      <c r="B20" s="53" t="s">
        <v>44</v>
      </c>
      <c r="C20" s="53" t="s">
        <v>109</v>
      </c>
      <c r="D20" s="53">
        <v>17</v>
      </c>
      <c r="E20" s="53" t="s">
        <v>135</v>
      </c>
      <c r="F20" s="53" t="s">
        <v>136</v>
      </c>
      <c r="G20" s="53" t="s">
        <v>137</v>
      </c>
      <c r="H20" s="53" t="s">
        <v>138</v>
      </c>
      <c r="I20" s="53" t="s">
        <v>139</v>
      </c>
      <c r="J20" s="53" t="s">
        <v>32</v>
      </c>
    </row>
    <row r="21" spans="1:10" ht="15" customHeight="1" x14ac:dyDescent="0.35">
      <c r="A21" s="53" t="s">
        <v>134</v>
      </c>
      <c r="B21" s="53" t="s">
        <v>45</v>
      </c>
      <c r="C21" s="53" t="s">
        <v>101</v>
      </c>
      <c r="D21" s="53">
        <v>15</v>
      </c>
      <c r="E21" s="53" t="s">
        <v>141</v>
      </c>
      <c r="F21" s="53" t="s">
        <v>136</v>
      </c>
      <c r="G21" s="53" t="s">
        <v>137</v>
      </c>
      <c r="H21" s="53" t="s">
        <v>138</v>
      </c>
      <c r="I21" s="53" t="s">
        <v>139</v>
      </c>
      <c r="J21" s="53" t="s">
        <v>32</v>
      </c>
    </row>
    <row r="22" spans="1:10" ht="15" customHeight="1" x14ac:dyDescent="0.35">
      <c r="A22" s="53" t="s">
        <v>142</v>
      </c>
      <c r="B22" s="53" t="s">
        <v>143</v>
      </c>
      <c r="C22" s="53" t="s">
        <v>109</v>
      </c>
      <c r="D22" s="53">
        <v>1</v>
      </c>
      <c r="E22" s="53" t="s">
        <v>144</v>
      </c>
      <c r="F22" s="53" t="s">
        <v>145</v>
      </c>
      <c r="G22" s="53" t="s">
        <v>146</v>
      </c>
      <c r="H22" s="53" t="s">
        <v>147</v>
      </c>
      <c r="I22" s="53" t="s">
        <v>148</v>
      </c>
      <c r="J22" s="53" t="s">
        <v>149</v>
      </c>
    </row>
    <row r="23" spans="1:10" ht="15" customHeight="1" x14ac:dyDescent="0.35">
      <c r="A23" s="53" t="s">
        <v>142</v>
      </c>
      <c r="B23" s="53" t="s">
        <v>44</v>
      </c>
      <c r="C23" s="53" t="s">
        <v>109</v>
      </c>
      <c r="D23" s="53">
        <v>1</v>
      </c>
      <c r="E23" s="53" t="s">
        <v>150</v>
      </c>
      <c r="F23" s="53" t="s">
        <v>151</v>
      </c>
      <c r="G23" s="53" t="s">
        <v>146</v>
      </c>
      <c r="H23" s="53" t="s">
        <v>152</v>
      </c>
      <c r="I23" s="53" t="s">
        <v>148</v>
      </c>
      <c r="J23" s="53" t="s">
        <v>153</v>
      </c>
    </row>
    <row r="24" spans="1:10" ht="15" customHeight="1" x14ac:dyDescent="0.35">
      <c r="A24" s="53" t="s">
        <v>142</v>
      </c>
      <c r="B24" s="53" t="s">
        <v>44</v>
      </c>
      <c r="C24" s="53" t="s">
        <v>109</v>
      </c>
      <c r="D24" s="53">
        <v>1</v>
      </c>
      <c r="E24" s="53" t="s">
        <v>154</v>
      </c>
      <c r="F24" s="53" t="s">
        <v>151</v>
      </c>
      <c r="G24" s="53" t="s">
        <v>146</v>
      </c>
      <c r="H24" s="53" t="s">
        <v>152</v>
      </c>
      <c r="I24" s="53" t="s">
        <v>148</v>
      </c>
      <c r="J24" s="53" t="s">
        <v>155</v>
      </c>
    </row>
    <row r="25" spans="1:10" ht="15" customHeight="1" x14ac:dyDescent="0.35">
      <c r="A25" s="53" t="s">
        <v>142</v>
      </c>
      <c r="B25" s="53" t="s">
        <v>44</v>
      </c>
      <c r="C25" s="53" t="s">
        <v>109</v>
      </c>
      <c r="D25" s="53">
        <v>1</v>
      </c>
      <c r="E25" s="53" t="s">
        <v>156</v>
      </c>
      <c r="F25" s="53" t="s">
        <v>157</v>
      </c>
      <c r="G25" s="53" t="s">
        <v>158</v>
      </c>
      <c r="H25" s="53" t="s">
        <v>152</v>
      </c>
      <c r="I25" s="53" t="s">
        <v>148</v>
      </c>
      <c r="J25" s="53" t="s">
        <v>159</v>
      </c>
    </row>
    <row r="26" spans="1:10" ht="15" customHeight="1" x14ac:dyDescent="0.35">
      <c r="A26" s="53" t="s">
        <v>142</v>
      </c>
      <c r="B26" s="53" t="s">
        <v>44</v>
      </c>
      <c r="C26" s="53" t="s">
        <v>109</v>
      </c>
      <c r="D26" s="53">
        <v>1</v>
      </c>
      <c r="E26" s="53" t="s">
        <v>160</v>
      </c>
      <c r="F26" s="53" t="s">
        <v>151</v>
      </c>
      <c r="G26" s="53" t="s">
        <v>146</v>
      </c>
      <c r="H26" s="53" t="s">
        <v>152</v>
      </c>
      <c r="I26" s="53" t="s">
        <v>148</v>
      </c>
      <c r="J26" s="53" t="s">
        <v>161</v>
      </c>
    </row>
    <row r="27" spans="1:10" ht="15" customHeight="1" x14ac:dyDescent="0.35">
      <c r="A27" s="53" t="s">
        <v>142</v>
      </c>
      <c r="B27" s="53" t="s">
        <v>44</v>
      </c>
      <c r="C27" s="53" t="s">
        <v>109</v>
      </c>
      <c r="D27" s="53">
        <v>1</v>
      </c>
      <c r="E27" s="53" t="s">
        <v>162</v>
      </c>
      <c r="F27" s="53" t="s">
        <v>157</v>
      </c>
      <c r="G27" s="53" t="s">
        <v>158</v>
      </c>
      <c r="H27" s="53" t="s">
        <v>152</v>
      </c>
      <c r="I27" s="53" t="s">
        <v>148</v>
      </c>
      <c r="J27" s="53" t="s">
        <v>159</v>
      </c>
    </row>
    <row r="28" spans="1:10" ht="15" customHeight="1" x14ac:dyDescent="0.35">
      <c r="A28" s="53" t="s">
        <v>142</v>
      </c>
      <c r="B28" s="53" t="s">
        <v>44</v>
      </c>
      <c r="C28" s="53" t="s">
        <v>109</v>
      </c>
      <c r="D28" s="53">
        <v>1</v>
      </c>
      <c r="E28" s="53" t="s">
        <v>163</v>
      </c>
      <c r="F28" s="53" t="s">
        <v>151</v>
      </c>
      <c r="G28" s="53" t="s">
        <v>146</v>
      </c>
      <c r="H28" s="53" t="s">
        <v>152</v>
      </c>
      <c r="I28" s="53" t="s">
        <v>148</v>
      </c>
      <c r="J28" s="53" t="s">
        <v>164</v>
      </c>
    </row>
    <row r="29" spans="1:10" ht="15" customHeight="1" x14ac:dyDescent="0.35">
      <c r="A29" s="53" t="s">
        <v>142</v>
      </c>
      <c r="B29" s="53" t="s">
        <v>44</v>
      </c>
      <c r="C29" s="53" t="s">
        <v>109</v>
      </c>
      <c r="D29" s="53">
        <v>1</v>
      </c>
      <c r="E29" s="53" t="s">
        <v>165</v>
      </c>
      <c r="F29" s="53" t="s">
        <v>157</v>
      </c>
      <c r="G29" s="53" t="s">
        <v>158</v>
      </c>
      <c r="H29" s="53" t="s">
        <v>152</v>
      </c>
      <c r="I29" s="53" t="s">
        <v>148</v>
      </c>
      <c r="J29" s="53" t="s">
        <v>159</v>
      </c>
    </row>
    <row r="30" spans="1:10" ht="15" customHeight="1" x14ac:dyDescent="0.35">
      <c r="A30" s="53" t="s">
        <v>142</v>
      </c>
      <c r="B30" s="53" t="s">
        <v>44</v>
      </c>
      <c r="C30" s="53" t="s">
        <v>109</v>
      </c>
      <c r="D30" s="53">
        <v>1</v>
      </c>
      <c r="E30" s="53" t="s">
        <v>166</v>
      </c>
      <c r="F30" s="53" t="s">
        <v>151</v>
      </c>
      <c r="G30" s="53" t="s">
        <v>146</v>
      </c>
      <c r="H30" s="53" t="s">
        <v>152</v>
      </c>
      <c r="I30" s="53" t="s">
        <v>148</v>
      </c>
      <c r="J30" s="53" t="s">
        <v>167</v>
      </c>
    </row>
    <row r="31" spans="1:10" ht="15" customHeight="1" x14ac:dyDescent="0.35">
      <c r="A31" s="53" t="s">
        <v>142</v>
      </c>
      <c r="B31" s="53" t="s">
        <v>44</v>
      </c>
      <c r="C31" s="53" t="s">
        <v>109</v>
      </c>
      <c r="D31" s="53">
        <v>1</v>
      </c>
      <c r="E31" s="53" t="s">
        <v>168</v>
      </c>
      <c r="F31" s="53" t="s">
        <v>157</v>
      </c>
      <c r="G31" s="53" t="s">
        <v>158</v>
      </c>
      <c r="H31" s="53" t="s">
        <v>152</v>
      </c>
      <c r="I31" s="53" t="s">
        <v>148</v>
      </c>
      <c r="J31" s="53" t="s">
        <v>159</v>
      </c>
    </row>
    <row r="32" spans="1:10" ht="15" customHeight="1" x14ac:dyDescent="0.35">
      <c r="A32" s="53" t="s">
        <v>142</v>
      </c>
      <c r="B32" s="53" t="s">
        <v>44</v>
      </c>
      <c r="C32" s="53" t="s">
        <v>109</v>
      </c>
      <c r="D32" s="53">
        <v>1</v>
      </c>
      <c r="E32" s="53" t="s">
        <v>169</v>
      </c>
      <c r="F32" s="53" t="s">
        <v>151</v>
      </c>
      <c r="G32" s="53" t="s">
        <v>146</v>
      </c>
      <c r="H32" s="53" t="s">
        <v>152</v>
      </c>
      <c r="I32" s="53" t="s">
        <v>148</v>
      </c>
      <c r="J32" s="53" t="s">
        <v>170</v>
      </c>
    </row>
    <row r="33" spans="1:10" ht="15" customHeight="1" x14ac:dyDescent="0.35">
      <c r="A33" s="53" t="s">
        <v>142</v>
      </c>
      <c r="B33" s="53" t="s">
        <v>44</v>
      </c>
      <c r="C33" s="53" t="s">
        <v>109</v>
      </c>
      <c r="D33" s="53">
        <v>1</v>
      </c>
      <c r="E33" s="53" t="s">
        <v>171</v>
      </c>
      <c r="F33" s="53" t="s">
        <v>157</v>
      </c>
      <c r="G33" s="53" t="s">
        <v>158</v>
      </c>
      <c r="H33" s="53" t="s">
        <v>152</v>
      </c>
      <c r="I33" s="53" t="s">
        <v>148</v>
      </c>
      <c r="J33" s="53" t="s">
        <v>159</v>
      </c>
    </row>
    <row r="34" spans="1:10" ht="15" customHeight="1" x14ac:dyDescent="0.35">
      <c r="A34" s="53" t="s">
        <v>142</v>
      </c>
      <c r="B34" s="53" t="s">
        <v>44</v>
      </c>
      <c r="C34" s="53" t="s">
        <v>109</v>
      </c>
      <c r="D34" s="53">
        <v>1</v>
      </c>
      <c r="E34" s="53" t="s">
        <v>172</v>
      </c>
      <c r="F34" s="53" t="s">
        <v>151</v>
      </c>
      <c r="G34" s="53" t="s">
        <v>146</v>
      </c>
      <c r="H34" s="53" t="s">
        <v>152</v>
      </c>
      <c r="I34" s="53" t="s">
        <v>148</v>
      </c>
      <c r="J34" s="53" t="s">
        <v>173</v>
      </c>
    </row>
    <row r="35" spans="1:10" ht="15" customHeight="1" x14ac:dyDescent="0.35">
      <c r="A35" s="53" t="s">
        <v>142</v>
      </c>
      <c r="B35" s="53" t="s">
        <v>44</v>
      </c>
      <c r="C35" s="53" t="s">
        <v>109</v>
      </c>
      <c r="D35" s="53">
        <v>1</v>
      </c>
      <c r="E35" s="53" t="s">
        <v>174</v>
      </c>
      <c r="F35" s="53" t="s">
        <v>157</v>
      </c>
      <c r="G35" s="53" t="s">
        <v>158</v>
      </c>
      <c r="H35" s="53" t="s">
        <v>152</v>
      </c>
      <c r="I35" s="53" t="s">
        <v>148</v>
      </c>
      <c r="J35" s="53" t="s">
        <v>159</v>
      </c>
    </row>
    <row r="36" spans="1:10" ht="15" customHeight="1" x14ac:dyDescent="0.35">
      <c r="A36" s="53" t="s">
        <v>142</v>
      </c>
      <c r="B36" s="53" t="s">
        <v>44</v>
      </c>
      <c r="C36" s="53" t="s">
        <v>109</v>
      </c>
      <c r="D36" s="53">
        <v>1</v>
      </c>
      <c r="E36" s="53" t="s">
        <v>175</v>
      </c>
      <c r="F36" s="53" t="s">
        <v>151</v>
      </c>
      <c r="G36" s="53" t="s">
        <v>146</v>
      </c>
      <c r="H36" s="53" t="s">
        <v>152</v>
      </c>
      <c r="I36" s="53" t="s">
        <v>148</v>
      </c>
      <c r="J36" s="53" t="s">
        <v>176</v>
      </c>
    </row>
    <row r="37" spans="1:10" ht="15" customHeight="1" x14ac:dyDescent="0.35">
      <c r="A37" s="53" t="s">
        <v>142</v>
      </c>
      <c r="B37" s="53" t="s">
        <v>44</v>
      </c>
      <c r="C37" s="53" t="s">
        <v>109</v>
      </c>
      <c r="D37" s="53">
        <v>1</v>
      </c>
      <c r="E37" s="53" t="s">
        <v>177</v>
      </c>
      <c r="F37" s="53" t="s">
        <v>151</v>
      </c>
      <c r="G37" s="53" t="s">
        <v>146</v>
      </c>
      <c r="H37" s="53" t="s">
        <v>152</v>
      </c>
      <c r="I37" s="53" t="s">
        <v>148</v>
      </c>
      <c r="J37" s="53" t="s">
        <v>178</v>
      </c>
    </row>
    <row r="38" spans="1:10" ht="15" customHeight="1" x14ac:dyDescent="0.35">
      <c r="A38" s="53" t="s">
        <v>142</v>
      </c>
      <c r="B38" s="53" t="s">
        <v>44</v>
      </c>
      <c r="C38" s="53" t="s">
        <v>109</v>
      </c>
      <c r="D38" s="53">
        <v>1</v>
      </c>
      <c r="E38" s="53" t="s">
        <v>179</v>
      </c>
      <c r="F38" s="53" t="s">
        <v>151</v>
      </c>
      <c r="G38" s="53" t="s">
        <v>146</v>
      </c>
      <c r="H38" s="53" t="s">
        <v>152</v>
      </c>
      <c r="I38" s="53" t="s">
        <v>148</v>
      </c>
      <c r="J38" s="53" t="s">
        <v>180</v>
      </c>
    </row>
    <row r="39" spans="1:10" ht="15" customHeight="1" x14ac:dyDescent="0.35">
      <c r="A39" s="53" t="s">
        <v>142</v>
      </c>
      <c r="B39" s="53" t="s">
        <v>44</v>
      </c>
      <c r="C39" s="53" t="s">
        <v>109</v>
      </c>
      <c r="D39" s="53">
        <v>1</v>
      </c>
      <c r="E39" s="53" t="s">
        <v>181</v>
      </c>
      <c r="F39" s="53" t="s">
        <v>151</v>
      </c>
      <c r="G39" s="53" t="s">
        <v>146</v>
      </c>
      <c r="H39" s="53" t="s">
        <v>152</v>
      </c>
      <c r="I39" s="53" t="s">
        <v>148</v>
      </c>
      <c r="J39" s="53" t="s">
        <v>182</v>
      </c>
    </row>
    <row r="40" spans="1:10" ht="15" customHeight="1" x14ac:dyDescent="0.35">
      <c r="A40" s="53" t="s">
        <v>142</v>
      </c>
      <c r="B40" s="53" t="s">
        <v>44</v>
      </c>
      <c r="C40" s="53" t="s">
        <v>109</v>
      </c>
      <c r="D40" s="53">
        <v>1</v>
      </c>
      <c r="E40" s="53" t="s">
        <v>183</v>
      </c>
      <c r="F40" s="53" t="s">
        <v>151</v>
      </c>
      <c r="G40" s="53" t="s">
        <v>146</v>
      </c>
      <c r="H40" s="53" t="s">
        <v>152</v>
      </c>
      <c r="I40" s="53" t="s">
        <v>148</v>
      </c>
      <c r="J40" s="53" t="s">
        <v>184</v>
      </c>
    </row>
    <row r="41" spans="1:10" ht="15" customHeight="1" x14ac:dyDescent="0.35">
      <c r="A41" s="53" t="s">
        <v>142</v>
      </c>
      <c r="B41" s="53" t="s">
        <v>44</v>
      </c>
      <c r="C41" s="53" t="s">
        <v>109</v>
      </c>
      <c r="D41" s="53">
        <v>1</v>
      </c>
      <c r="E41" s="53" t="s">
        <v>185</v>
      </c>
      <c r="F41" s="53" t="s">
        <v>151</v>
      </c>
      <c r="G41" s="53" t="s">
        <v>146</v>
      </c>
      <c r="H41" s="53" t="s">
        <v>152</v>
      </c>
      <c r="I41" s="53" t="s">
        <v>148</v>
      </c>
      <c r="J41" s="53" t="s">
        <v>186</v>
      </c>
    </row>
    <row r="42" spans="1:10" ht="15" customHeight="1" x14ac:dyDescent="0.35">
      <c r="A42" s="53" t="s">
        <v>142</v>
      </c>
      <c r="B42" s="53" t="s">
        <v>44</v>
      </c>
      <c r="C42" s="53" t="s">
        <v>109</v>
      </c>
      <c r="D42" s="53">
        <v>1</v>
      </c>
      <c r="E42" s="53" t="s">
        <v>187</v>
      </c>
      <c r="F42" s="53" t="s">
        <v>157</v>
      </c>
      <c r="G42" s="53" t="s">
        <v>158</v>
      </c>
      <c r="H42" s="53" t="s">
        <v>152</v>
      </c>
      <c r="I42" s="53" t="s">
        <v>148</v>
      </c>
      <c r="J42" s="53" t="s">
        <v>188</v>
      </c>
    </row>
    <row r="43" spans="1:10" ht="15" customHeight="1" x14ac:dyDescent="0.35">
      <c r="A43" s="53" t="s">
        <v>142</v>
      </c>
      <c r="B43" s="53" t="s">
        <v>44</v>
      </c>
      <c r="C43" s="53" t="s">
        <v>109</v>
      </c>
      <c r="D43" s="53">
        <v>1</v>
      </c>
      <c r="E43" s="53" t="s">
        <v>189</v>
      </c>
      <c r="F43" s="53" t="s">
        <v>151</v>
      </c>
      <c r="G43" s="53" t="s">
        <v>146</v>
      </c>
      <c r="H43" s="53" t="s">
        <v>152</v>
      </c>
      <c r="I43" s="53" t="s">
        <v>148</v>
      </c>
      <c r="J43" s="53" t="s">
        <v>190</v>
      </c>
    </row>
    <row r="44" spans="1:10" ht="15" customHeight="1" x14ac:dyDescent="0.35">
      <c r="A44" s="53" t="s">
        <v>142</v>
      </c>
      <c r="B44" s="53" t="s">
        <v>143</v>
      </c>
      <c r="C44" s="53" t="s">
        <v>109</v>
      </c>
      <c r="D44" s="53">
        <v>1</v>
      </c>
      <c r="E44" s="53" t="s">
        <v>191</v>
      </c>
      <c r="F44" s="53" t="s">
        <v>145</v>
      </c>
      <c r="G44" s="53" t="s">
        <v>146</v>
      </c>
      <c r="H44" s="53" t="s">
        <v>147</v>
      </c>
      <c r="I44" s="53" t="s">
        <v>148</v>
      </c>
      <c r="J44" s="53" t="s">
        <v>192</v>
      </c>
    </row>
    <row r="45" spans="1:10" ht="15" customHeight="1" x14ac:dyDescent="0.35">
      <c r="A45" s="53" t="s">
        <v>142</v>
      </c>
      <c r="B45" s="53" t="s">
        <v>143</v>
      </c>
      <c r="C45" s="53" t="s">
        <v>109</v>
      </c>
      <c r="D45" s="53">
        <v>1</v>
      </c>
      <c r="E45" s="53" t="s">
        <v>193</v>
      </c>
      <c r="F45" s="53" t="s">
        <v>145</v>
      </c>
      <c r="G45" s="53" t="s">
        <v>146</v>
      </c>
      <c r="H45" s="53" t="s">
        <v>147</v>
      </c>
      <c r="I45" s="53" t="s">
        <v>148</v>
      </c>
      <c r="J45" s="53" t="s">
        <v>194</v>
      </c>
    </row>
    <row r="46" spans="1:10" ht="15" customHeight="1" x14ac:dyDescent="0.35">
      <c r="A46" s="53" t="s">
        <v>142</v>
      </c>
      <c r="B46" s="53" t="s">
        <v>143</v>
      </c>
      <c r="C46" s="53" t="s">
        <v>109</v>
      </c>
      <c r="D46" s="53">
        <v>1</v>
      </c>
      <c r="E46" s="53" t="s">
        <v>195</v>
      </c>
      <c r="F46" s="53" t="s">
        <v>145</v>
      </c>
      <c r="G46" s="53" t="s">
        <v>146</v>
      </c>
      <c r="H46" s="53" t="s">
        <v>147</v>
      </c>
      <c r="I46" s="53" t="s">
        <v>148</v>
      </c>
      <c r="J46" s="53" t="s">
        <v>192</v>
      </c>
    </row>
    <row r="47" spans="1:10" ht="15" customHeight="1" x14ac:dyDescent="0.35">
      <c r="A47" s="53" t="s">
        <v>142</v>
      </c>
      <c r="B47" s="53" t="s">
        <v>143</v>
      </c>
      <c r="C47" s="53" t="s">
        <v>109</v>
      </c>
      <c r="D47" s="53">
        <v>1</v>
      </c>
      <c r="E47" s="53" t="s">
        <v>196</v>
      </c>
      <c r="F47" s="53" t="s">
        <v>145</v>
      </c>
      <c r="G47" s="53" t="s">
        <v>146</v>
      </c>
      <c r="H47" s="53" t="s">
        <v>147</v>
      </c>
      <c r="I47" s="53" t="s">
        <v>148</v>
      </c>
      <c r="J47" s="53" t="s">
        <v>197</v>
      </c>
    </row>
    <row r="48" spans="1:10" ht="15" customHeight="1" x14ac:dyDescent="0.35">
      <c r="A48" s="53" t="s">
        <v>142</v>
      </c>
      <c r="B48" s="53" t="s">
        <v>143</v>
      </c>
      <c r="C48" s="53" t="s">
        <v>109</v>
      </c>
      <c r="D48" s="53">
        <v>1</v>
      </c>
      <c r="E48" s="53" t="s">
        <v>198</v>
      </c>
      <c r="F48" s="53" t="s">
        <v>145</v>
      </c>
      <c r="G48" s="53" t="s">
        <v>146</v>
      </c>
      <c r="H48" s="53" t="s">
        <v>147</v>
      </c>
      <c r="I48" s="53" t="s">
        <v>148</v>
      </c>
      <c r="J48" s="53" t="s">
        <v>199</v>
      </c>
    </row>
    <row r="49" spans="1:10" ht="15" customHeight="1" x14ac:dyDescent="0.35">
      <c r="A49" s="53" t="s">
        <v>142</v>
      </c>
      <c r="B49" s="53" t="s">
        <v>143</v>
      </c>
      <c r="C49" s="53" t="s">
        <v>109</v>
      </c>
      <c r="D49" s="53">
        <v>1</v>
      </c>
      <c r="E49" s="53" t="s">
        <v>200</v>
      </c>
      <c r="F49" s="53" t="s">
        <v>145</v>
      </c>
      <c r="G49" s="53" t="s">
        <v>146</v>
      </c>
      <c r="H49" s="53" t="s">
        <v>147</v>
      </c>
      <c r="I49" s="53" t="s">
        <v>148</v>
      </c>
      <c r="J49" s="53" t="s">
        <v>201</v>
      </c>
    </row>
    <row r="50" spans="1:10" ht="15" customHeight="1" x14ac:dyDescent="0.35">
      <c r="A50" s="53" t="s">
        <v>142</v>
      </c>
      <c r="B50" s="53" t="s">
        <v>143</v>
      </c>
      <c r="C50" s="53" t="s">
        <v>109</v>
      </c>
      <c r="D50" s="53">
        <v>1</v>
      </c>
      <c r="E50" s="53" t="s">
        <v>202</v>
      </c>
      <c r="F50" s="53" t="s">
        <v>145</v>
      </c>
      <c r="G50" s="53" t="s">
        <v>146</v>
      </c>
      <c r="H50" s="53" t="s">
        <v>147</v>
      </c>
      <c r="I50" s="53" t="s">
        <v>148</v>
      </c>
      <c r="J50" s="53" t="s">
        <v>203</v>
      </c>
    </row>
    <row r="51" spans="1:10" ht="15" customHeight="1" x14ac:dyDescent="0.35">
      <c r="A51" s="53" t="s">
        <v>142</v>
      </c>
      <c r="B51" s="53" t="s">
        <v>143</v>
      </c>
      <c r="C51" s="53" t="s">
        <v>109</v>
      </c>
      <c r="D51" s="53">
        <v>1</v>
      </c>
      <c r="E51" s="53" t="s">
        <v>204</v>
      </c>
      <c r="F51" s="53" t="s">
        <v>145</v>
      </c>
      <c r="G51" s="53" t="s">
        <v>146</v>
      </c>
      <c r="H51" s="53" t="s">
        <v>147</v>
      </c>
      <c r="I51" s="53" t="s">
        <v>148</v>
      </c>
      <c r="J51" s="53" t="s">
        <v>205</v>
      </c>
    </row>
    <row r="52" spans="1:10" ht="15" customHeight="1" x14ac:dyDescent="0.35">
      <c r="A52" s="53" t="s">
        <v>142</v>
      </c>
      <c r="B52" s="53" t="s">
        <v>143</v>
      </c>
      <c r="C52" s="53" t="s">
        <v>109</v>
      </c>
      <c r="D52" s="53">
        <v>1</v>
      </c>
      <c r="E52" s="53" t="s">
        <v>206</v>
      </c>
      <c r="F52" s="53" t="s">
        <v>145</v>
      </c>
      <c r="G52" s="53" t="s">
        <v>146</v>
      </c>
      <c r="H52" s="53" t="s">
        <v>147</v>
      </c>
      <c r="I52" s="53" t="s">
        <v>148</v>
      </c>
      <c r="J52" s="53" t="s">
        <v>207</v>
      </c>
    </row>
    <row r="53" spans="1:10" ht="15" customHeight="1" x14ac:dyDescent="0.35">
      <c r="A53" s="53" t="s">
        <v>142</v>
      </c>
      <c r="B53" s="53" t="s">
        <v>143</v>
      </c>
      <c r="C53" s="53" t="s">
        <v>109</v>
      </c>
      <c r="D53" s="53">
        <v>1</v>
      </c>
      <c r="E53" s="53" t="s">
        <v>208</v>
      </c>
      <c r="F53" s="53" t="s">
        <v>145</v>
      </c>
      <c r="G53" s="53" t="s">
        <v>146</v>
      </c>
      <c r="H53" s="53" t="s">
        <v>147</v>
      </c>
      <c r="I53" s="53" t="s">
        <v>148</v>
      </c>
      <c r="J53" s="53" t="s">
        <v>209</v>
      </c>
    </row>
    <row r="54" spans="1:10" ht="15" customHeight="1" x14ac:dyDescent="0.35">
      <c r="A54" s="53" t="s">
        <v>142</v>
      </c>
      <c r="B54" s="53" t="s">
        <v>143</v>
      </c>
      <c r="C54" s="53" t="s">
        <v>109</v>
      </c>
      <c r="D54" s="53">
        <v>1</v>
      </c>
      <c r="E54" s="53" t="s">
        <v>210</v>
      </c>
      <c r="F54" s="53" t="s">
        <v>145</v>
      </c>
      <c r="G54" s="53" t="s">
        <v>146</v>
      </c>
      <c r="H54" s="53" t="s">
        <v>147</v>
      </c>
      <c r="I54" s="53" t="s">
        <v>148</v>
      </c>
      <c r="J54" s="53" t="s">
        <v>211</v>
      </c>
    </row>
    <row r="55" spans="1:10" ht="15" customHeight="1" x14ac:dyDescent="0.35">
      <c r="A55" s="53" t="s">
        <v>142</v>
      </c>
      <c r="B55" s="53" t="s">
        <v>143</v>
      </c>
      <c r="C55" s="53" t="s">
        <v>109</v>
      </c>
      <c r="D55" s="53">
        <v>1</v>
      </c>
      <c r="E55" s="53" t="s">
        <v>212</v>
      </c>
      <c r="F55" s="53" t="s">
        <v>145</v>
      </c>
      <c r="G55" s="53" t="s">
        <v>146</v>
      </c>
      <c r="H55" s="53" t="s">
        <v>147</v>
      </c>
      <c r="I55" s="53" t="s">
        <v>148</v>
      </c>
      <c r="J55" s="53" t="s">
        <v>213</v>
      </c>
    </row>
    <row r="56" spans="1:10" ht="15" customHeight="1" x14ac:dyDescent="0.35">
      <c r="A56" s="53" t="s">
        <v>142</v>
      </c>
      <c r="B56" s="53" t="s">
        <v>143</v>
      </c>
      <c r="C56" s="53" t="s">
        <v>109</v>
      </c>
      <c r="D56" s="53">
        <v>1</v>
      </c>
      <c r="E56" s="53" t="s">
        <v>214</v>
      </c>
      <c r="F56" s="53" t="s">
        <v>145</v>
      </c>
      <c r="G56" s="53" t="s">
        <v>146</v>
      </c>
      <c r="H56" s="53" t="s">
        <v>147</v>
      </c>
      <c r="I56" s="53" t="s">
        <v>148</v>
      </c>
      <c r="J56" s="53" t="s">
        <v>215</v>
      </c>
    </row>
    <row r="57" spans="1:10" ht="15" customHeight="1" x14ac:dyDescent="0.35">
      <c r="A57" s="53" t="s">
        <v>142</v>
      </c>
      <c r="B57" s="53" t="s">
        <v>143</v>
      </c>
      <c r="C57" s="53" t="s">
        <v>109</v>
      </c>
      <c r="D57" s="53">
        <v>1</v>
      </c>
      <c r="E57" s="53" t="s">
        <v>216</v>
      </c>
      <c r="F57" s="53" t="s">
        <v>145</v>
      </c>
      <c r="G57" s="53" t="s">
        <v>146</v>
      </c>
      <c r="H57" s="53" t="s">
        <v>147</v>
      </c>
      <c r="I57" s="53" t="s">
        <v>148</v>
      </c>
      <c r="J57" s="53" t="s">
        <v>217</v>
      </c>
    </row>
    <row r="58" spans="1:10" ht="15" customHeight="1" x14ac:dyDescent="0.35">
      <c r="A58" s="53" t="s">
        <v>142</v>
      </c>
      <c r="B58" s="53" t="s">
        <v>143</v>
      </c>
      <c r="C58" s="53" t="s">
        <v>109</v>
      </c>
      <c r="D58" s="53">
        <v>1</v>
      </c>
      <c r="E58" s="53" t="s">
        <v>218</v>
      </c>
      <c r="F58" s="53" t="s">
        <v>145</v>
      </c>
      <c r="G58" s="53" t="s">
        <v>146</v>
      </c>
      <c r="H58" s="53" t="s">
        <v>147</v>
      </c>
      <c r="I58" s="53" t="s">
        <v>148</v>
      </c>
      <c r="J58" s="53" t="s">
        <v>219</v>
      </c>
    </row>
    <row r="59" spans="1:10" ht="15" customHeight="1" x14ac:dyDescent="0.35">
      <c r="A59" s="53" t="s">
        <v>142</v>
      </c>
      <c r="B59" s="53" t="s">
        <v>143</v>
      </c>
      <c r="C59" s="53" t="s">
        <v>109</v>
      </c>
      <c r="D59" s="53">
        <v>1</v>
      </c>
      <c r="E59" s="53" t="s">
        <v>220</v>
      </c>
      <c r="F59" s="53" t="s">
        <v>145</v>
      </c>
      <c r="G59" s="53" t="s">
        <v>146</v>
      </c>
      <c r="H59" s="53" t="s">
        <v>147</v>
      </c>
      <c r="I59" s="53" t="s">
        <v>148</v>
      </c>
      <c r="J59" s="53" t="s">
        <v>221</v>
      </c>
    </row>
    <row r="60" spans="1:10" ht="15" customHeight="1" x14ac:dyDescent="0.35">
      <c r="A60" s="53" t="s">
        <v>142</v>
      </c>
      <c r="B60" s="53" t="s">
        <v>143</v>
      </c>
      <c r="C60" s="53" t="s">
        <v>109</v>
      </c>
      <c r="D60" s="53">
        <v>1</v>
      </c>
      <c r="E60" s="53" t="s">
        <v>222</v>
      </c>
      <c r="F60" s="53" t="s">
        <v>145</v>
      </c>
      <c r="G60" s="53" t="s">
        <v>146</v>
      </c>
      <c r="H60" s="53" t="s">
        <v>147</v>
      </c>
      <c r="I60" s="53" t="s">
        <v>148</v>
      </c>
      <c r="J60" s="53" t="s">
        <v>223</v>
      </c>
    </row>
    <row r="61" spans="1:10" ht="15" customHeight="1" x14ac:dyDescent="0.35">
      <c r="A61" s="53" t="s">
        <v>142</v>
      </c>
      <c r="B61" s="53" t="s">
        <v>143</v>
      </c>
      <c r="C61" s="53" t="s">
        <v>109</v>
      </c>
      <c r="D61" s="53">
        <v>1</v>
      </c>
      <c r="E61" s="53" t="s">
        <v>224</v>
      </c>
      <c r="F61" s="53" t="s">
        <v>145</v>
      </c>
      <c r="G61" s="53" t="s">
        <v>146</v>
      </c>
      <c r="H61" s="53" t="s">
        <v>147</v>
      </c>
      <c r="I61" s="53" t="s">
        <v>148</v>
      </c>
      <c r="J61" s="53" t="s">
        <v>225</v>
      </c>
    </row>
    <row r="62" spans="1:10" ht="15" customHeight="1" x14ac:dyDescent="0.35">
      <c r="A62" s="53" t="s">
        <v>142</v>
      </c>
      <c r="B62" s="53" t="s">
        <v>143</v>
      </c>
      <c r="C62" s="53" t="s">
        <v>109</v>
      </c>
      <c r="D62" s="53">
        <v>1</v>
      </c>
      <c r="E62" s="53" t="s">
        <v>226</v>
      </c>
      <c r="F62" s="53" t="s">
        <v>145</v>
      </c>
      <c r="G62" s="53" t="s">
        <v>146</v>
      </c>
      <c r="H62" s="53" t="s">
        <v>147</v>
      </c>
      <c r="I62" s="53" t="s">
        <v>148</v>
      </c>
      <c r="J62" s="53" t="s">
        <v>227</v>
      </c>
    </row>
    <row r="63" spans="1:10" ht="15" customHeight="1" x14ac:dyDescent="0.35">
      <c r="A63" s="53" t="s">
        <v>142</v>
      </c>
      <c r="B63" s="53" t="s">
        <v>143</v>
      </c>
      <c r="C63" s="53" t="s">
        <v>109</v>
      </c>
      <c r="D63" s="53">
        <v>1</v>
      </c>
      <c r="E63" s="53" t="s">
        <v>228</v>
      </c>
      <c r="F63" s="53" t="s">
        <v>145</v>
      </c>
      <c r="G63" s="53" t="s">
        <v>146</v>
      </c>
      <c r="H63" s="53" t="s">
        <v>147</v>
      </c>
      <c r="I63" s="53" t="s">
        <v>148</v>
      </c>
      <c r="J63" s="53" t="s">
        <v>229</v>
      </c>
    </row>
    <row r="64" spans="1:10" ht="15" customHeight="1" x14ac:dyDescent="0.35">
      <c r="A64" s="53" t="s">
        <v>142</v>
      </c>
      <c r="B64" s="53" t="s">
        <v>143</v>
      </c>
      <c r="C64" s="53" t="s">
        <v>109</v>
      </c>
      <c r="D64" s="53">
        <v>1</v>
      </c>
      <c r="E64" s="53" t="s">
        <v>230</v>
      </c>
      <c r="F64" s="53" t="s">
        <v>145</v>
      </c>
      <c r="G64" s="53" t="s">
        <v>146</v>
      </c>
      <c r="H64" s="53" t="s">
        <v>147</v>
      </c>
      <c r="I64" s="53" t="s">
        <v>148</v>
      </c>
      <c r="J64" s="53" t="s">
        <v>231</v>
      </c>
    </row>
    <row r="65" spans="1:10" ht="15" customHeight="1" x14ac:dyDescent="0.35">
      <c r="A65" s="53" t="s">
        <v>142</v>
      </c>
      <c r="B65" s="53" t="s">
        <v>143</v>
      </c>
      <c r="C65" s="53" t="s">
        <v>109</v>
      </c>
      <c r="D65" s="53">
        <v>1</v>
      </c>
      <c r="E65" s="53" t="s">
        <v>232</v>
      </c>
      <c r="F65" s="53" t="s">
        <v>145</v>
      </c>
      <c r="G65" s="53" t="s">
        <v>146</v>
      </c>
      <c r="H65" s="53" t="s">
        <v>147</v>
      </c>
      <c r="I65" s="53" t="s">
        <v>148</v>
      </c>
      <c r="J65" s="53" t="s">
        <v>233</v>
      </c>
    </row>
    <row r="66" spans="1:10" ht="15" customHeight="1" x14ac:dyDescent="0.35">
      <c r="A66" s="53" t="s">
        <v>142</v>
      </c>
      <c r="B66" s="53" t="s">
        <v>143</v>
      </c>
      <c r="C66" s="53" t="s">
        <v>109</v>
      </c>
      <c r="D66" s="53">
        <v>1</v>
      </c>
      <c r="E66" s="53" t="s">
        <v>234</v>
      </c>
      <c r="F66" s="53" t="s">
        <v>145</v>
      </c>
      <c r="G66" s="53" t="s">
        <v>146</v>
      </c>
      <c r="H66" s="53" t="s">
        <v>147</v>
      </c>
      <c r="I66" s="53" t="s">
        <v>148</v>
      </c>
      <c r="J66" s="53" t="s">
        <v>235</v>
      </c>
    </row>
    <row r="67" spans="1:10" ht="15" customHeight="1" x14ac:dyDescent="0.35">
      <c r="A67" s="53" t="s">
        <v>142</v>
      </c>
      <c r="B67" s="53" t="s">
        <v>143</v>
      </c>
      <c r="C67" s="53" t="s">
        <v>109</v>
      </c>
      <c r="D67" s="53">
        <v>1</v>
      </c>
      <c r="E67" s="53" t="s">
        <v>236</v>
      </c>
      <c r="F67" s="53" t="s">
        <v>145</v>
      </c>
      <c r="G67" s="53" t="s">
        <v>146</v>
      </c>
      <c r="H67" s="53" t="s">
        <v>147</v>
      </c>
      <c r="I67" s="53" t="s">
        <v>148</v>
      </c>
      <c r="J67" s="53" t="s">
        <v>237</v>
      </c>
    </row>
    <row r="68" spans="1:10" ht="15" customHeight="1" x14ac:dyDescent="0.35">
      <c r="A68" s="53" t="s">
        <v>142</v>
      </c>
      <c r="B68" s="53" t="s">
        <v>143</v>
      </c>
      <c r="C68" s="53" t="s">
        <v>109</v>
      </c>
      <c r="D68" s="53">
        <v>1</v>
      </c>
      <c r="E68" s="53" t="s">
        <v>238</v>
      </c>
      <c r="F68" s="53" t="s">
        <v>145</v>
      </c>
      <c r="G68" s="53" t="s">
        <v>146</v>
      </c>
      <c r="H68" s="53" t="s">
        <v>147</v>
      </c>
      <c r="I68" s="53" t="s">
        <v>148</v>
      </c>
      <c r="J68" s="53" t="s">
        <v>239</v>
      </c>
    </row>
    <row r="69" spans="1:10" ht="15" customHeight="1" x14ac:dyDescent="0.35">
      <c r="A69" s="53" t="s">
        <v>142</v>
      </c>
      <c r="B69" s="53" t="s">
        <v>143</v>
      </c>
      <c r="C69" s="53" t="s">
        <v>109</v>
      </c>
      <c r="D69" s="53">
        <v>1</v>
      </c>
      <c r="E69" s="53" t="s">
        <v>240</v>
      </c>
      <c r="F69" s="53" t="s">
        <v>145</v>
      </c>
      <c r="G69" s="53" t="s">
        <v>146</v>
      </c>
      <c r="H69" s="53" t="s">
        <v>147</v>
      </c>
      <c r="I69" s="53" t="s">
        <v>148</v>
      </c>
      <c r="J69" s="53" t="s">
        <v>241</v>
      </c>
    </row>
    <row r="70" spans="1:10" ht="15" customHeight="1" x14ac:dyDescent="0.35">
      <c r="A70" s="53" t="s">
        <v>142</v>
      </c>
      <c r="B70" s="53" t="s">
        <v>143</v>
      </c>
      <c r="C70" s="53" t="s">
        <v>109</v>
      </c>
      <c r="D70" s="53">
        <v>1</v>
      </c>
      <c r="E70" s="53" t="s">
        <v>242</v>
      </c>
      <c r="F70" s="53" t="s">
        <v>145</v>
      </c>
      <c r="G70" s="53" t="s">
        <v>146</v>
      </c>
      <c r="H70" s="53" t="s">
        <v>147</v>
      </c>
      <c r="I70" s="53" t="s">
        <v>148</v>
      </c>
      <c r="J70" s="53" t="s">
        <v>243</v>
      </c>
    </row>
    <row r="71" spans="1:10" ht="15" customHeight="1" x14ac:dyDescent="0.35">
      <c r="A71" s="53" t="s">
        <v>142</v>
      </c>
      <c r="B71" s="53" t="s">
        <v>143</v>
      </c>
      <c r="C71" s="53" t="s">
        <v>109</v>
      </c>
      <c r="D71" s="53">
        <v>1</v>
      </c>
      <c r="E71" s="53" t="s">
        <v>244</v>
      </c>
      <c r="F71" s="53" t="s">
        <v>145</v>
      </c>
      <c r="G71" s="53" t="s">
        <v>146</v>
      </c>
      <c r="H71" s="53" t="s">
        <v>147</v>
      </c>
      <c r="I71" s="53" t="s">
        <v>148</v>
      </c>
      <c r="J71" s="53" t="s">
        <v>221</v>
      </c>
    </row>
    <row r="72" spans="1:10" ht="15" customHeight="1" x14ac:dyDescent="0.35">
      <c r="A72" s="53" t="s">
        <v>142</v>
      </c>
      <c r="B72" s="53" t="s">
        <v>143</v>
      </c>
      <c r="C72" s="53" t="s">
        <v>109</v>
      </c>
      <c r="D72" s="53">
        <v>1</v>
      </c>
      <c r="E72" s="53" t="s">
        <v>245</v>
      </c>
      <c r="F72" s="53" t="s">
        <v>145</v>
      </c>
      <c r="G72" s="53" t="s">
        <v>146</v>
      </c>
      <c r="H72" s="53" t="s">
        <v>147</v>
      </c>
      <c r="I72" s="53" t="s">
        <v>148</v>
      </c>
      <c r="J72" s="53" t="s">
        <v>246</v>
      </c>
    </row>
    <row r="73" spans="1:10" ht="15" customHeight="1" x14ac:dyDescent="0.35">
      <c r="A73" s="53" t="s">
        <v>142</v>
      </c>
      <c r="B73" s="53" t="s">
        <v>143</v>
      </c>
      <c r="C73" s="53" t="s">
        <v>109</v>
      </c>
      <c r="D73" s="53">
        <v>1</v>
      </c>
      <c r="E73" s="53" t="s">
        <v>247</v>
      </c>
      <c r="F73" s="53" t="s">
        <v>145</v>
      </c>
      <c r="G73" s="53" t="s">
        <v>146</v>
      </c>
      <c r="H73" s="53" t="s">
        <v>147</v>
      </c>
      <c r="I73" s="53" t="s">
        <v>148</v>
      </c>
      <c r="J73" s="53" t="s">
        <v>248</v>
      </c>
    </row>
    <row r="74" spans="1:10" ht="15" customHeight="1" x14ac:dyDescent="0.35">
      <c r="A74" s="53" t="s">
        <v>142</v>
      </c>
      <c r="B74" s="53" t="s">
        <v>143</v>
      </c>
      <c r="C74" s="53" t="s">
        <v>109</v>
      </c>
      <c r="D74" s="53">
        <v>1</v>
      </c>
      <c r="E74" s="53" t="s">
        <v>249</v>
      </c>
      <c r="F74" s="53" t="s">
        <v>145</v>
      </c>
      <c r="G74" s="53" t="s">
        <v>146</v>
      </c>
      <c r="H74" s="53" t="s">
        <v>147</v>
      </c>
      <c r="I74" s="53" t="s">
        <v>148</v>
      </c>
      <c r="J74" s="53" t="s">
        <v>250</v>
      </c>
    </row>
    <row r="75" spans="1:10" ht="15" customHeight="1" x14ac:dyDescent="0.35">
      <c r="A75" s="53" t="s">
        <v>142</v>
      </c>
      <c r="B75" s="53" t="s">
        <v>143</v>
      </c>
      <c r="C75" s="53" t="s">
        <v>109</v>
      </c>
      <c r="D75" s="53">
        <v>1</v>
      </c>
      <c r="E75" s="53" t="s">
        <v>251</v>
      </c>
      <c r="F75" s="53" t="s">
        <v>145</v>
      </c>
      <c r="G75" s="53" t="s">
        <v>146</v>
      </c>
      <c r="H75" s="53" t="s">
        <v>147</v>
      </c>
      <c r="I75" s="53" t="s">
        <v>148</v>
      </c>
      <c r="J75" s="53" t="s">
        <v>252</v>
      </c>
    </row>
    <row r="76" spans="1:10" ht="15" customHeight="1" x14ac:dyDescent="0.35">
      <c r="A76" s="53" t="s">
        <v>142</v>
      </c>
      <c r="B76" s="53" t="s">
        <v>143</v>
      </c>
      <c r="C76" s="53" t="s">
        <v>109</v>
      </c>
      <c r="D76" s="53">
        <v>1</v>
      </c>
      <c r="E76" s="53" t="s">
        <v>253</v>
      </c>
      <c r="F76" s="53" t="s">
        <v>145</v>
      </c>
      <c r="G76" s="53" t="s">
        <v>146</v>
      </c>
      <c r="H76" s="53" t="s">
        <v>147</v>
      </c>
      <c r="I76" s="53" t="s">
        <v>148</v>
      </c>
      <c r="J76" s="53" t="s">
        <v>254</v>
      </c>
    </row>
    <row r="77" spans="1:10" ht="15" customHeight="1" x14ac:dyDescent="0.35">
      <c r="A77" s="53" t="s">
        <v>142</v>
      </c>
      <c r="B77" s="53" t="s">
        <v>143</v>
      </c>
      <c r="C77" s="53" t="s">
        <v>109</v>
      </c>
      <c r="D77" s="53">
        <v>1</v>
      </c>
      <c r="E77" s="53" t="s">
        <v>255</v>
      </c>
      <c r="F77" s="53" t="s">
        <v>145</v>
      </c>
      <c r="G77" s="53" t="s">
        <v>146</v>
      </c>
      <c r="H77" s="53" t="s">
        <v>147</v>
      </c>
      <c r="I77" s="53" t="s">
        <v>148</v>
      </c>
      <c r="J77" s="53" t="s">
        <v>256</v>
      </c>
    </row>
    <row r="78" spans="1:10" ht="15" customHeight="1" x14ac:dyDescent="0.35">
      <c r="A78" s="53" t="s">
        <v>142</v>
      </c>
      <c r="B78" s="53" t="s">
        <v>143</v>
      </c>
      <c r="C78" s="53" t="s">
        <v>109</v>
      </c>
      <c r="D78" s="53">
        <v>1</v>
      </c>
      <c r="E78" s="53" t="s">
        <v>257</v>
      </c>
      <c r="F78" s="53" t="s">
        <v>258</v>
      </c>
      <c r="G78" s="53" t="s">
        <v>259</v>
      </c>
      <c r="H78" s="53" t="s">
        <v>147</v>
      </c>
      <c r="I78" s="53" t="s">
        <v>148</v>
      </c>
      <c r="J78" s="53" t="s">
        <v>260</v>
      </c>
    </row>
    <row r="79" spans="1:10" ht="15" customHeight="1" x14ac:dyDescent="0.35">
      <c r="A79" s="53" t="s">
        <v>142</v>
      </c>
      <c r="B79" s="53" t="s">
        <v>143</v>
      </c>
      <c r="C79" s="53" t="s">
        <v>109</v>
      </c>
      <c r="D79" s="53">
        <v>1</v>
      </c>
      <c r="E79" s="53" t="s">
        <v>261</v>
      </c>
      <c r="F79" s="53" t="s">
        <v>258</v>
      </c>
      <c r="G79" s="53" t="s">
        <v>259</v>
      </c>
      <c r="H79" s="53" t="s">
        <v>147</v>
      </c>
      <c r="I79" s="53" t="s">
        <v>148</v>
      </c>
      <c r="J79" s="53" t="s">
        <v>262</v>
      </c>
    </row>
    <row r="80" spans="1:10" ht="15" customHeight="1" x14ac:dyDescent="0.35">
      <c r="A80" s="53" t="s">
        <v>142</v>
      </c>
      <c r="B80" s="53" t="s">
        <v>143</v>
      </c>
      <c r="C80" s="53" t="s">
        <v>109</v>
      </c>
      <c r="D80" s="53">
        <v>1</v>
      </c>
      <c r="E80" s="53" t="s">
        <v>263</v>
      </c>
      <c r="F80" s="53" t="s">
        <v>145</v>
      </c>
      <c r="G80" s="53" t="s">
        <v>146</v>
      </c>
      <c r="H80" s="53" t="s">
        <v>147</v>
      </c>
      <c r="I80" s="53" t="s">
        <v>148</v>
      </c>
      <c r="J80" s="53" t="s">
        <v>264</v>
      </c>
    </row>
    <row r="81" spans="1:10" ht="15" customHeight="1" x14ac:dyDescent="0.35">
      <c r="A81" s="53" t="s">
        <v>142</v>
      </c>
      <c r="B81" s="53" t="s">
        <v>143</v>
      </c>
      <c r="C81" s="53" t="s">
        <v>109</v>
      </c>
      <c r="D81" s="53">
        <v>1</v>
      </c>
      <c r="E81" s="53" t="s">
        <v>265</v>
      </c>
      <c r="F81" s="53" t="s">
        <v>258</v>
      </c>
      <c r="G81" s="53" t="s">
        <v>259</v>
      </c>
      <c r="H81" s="53" t="s">
        <v>147</v>
      </c>
      <c r="I81" s="53" t="s">
        <v>148</v>
      </c>
      <c r="J81" s="53" t="s">
        <v>266</v>
      </c>
    </row>
    <row r="82" spans="1:10" ht="15" customHeight="1" x14ac:dyDescent="0.35">
      <c r="A82" s="53" t="s">
        <v>142</v>
      </c>
      <c r="B82" s="53" t="s">
        <v>143</v>
      </c>
      <c r="C82" s="53" t="s">
        <v>109</v>
      </c>
      <c r="D82" s="53">
        <v>1</v>
      </c>
      <c r="E82" s="53" t="s">
        <v>267</v>
      </c>
      <c r="F82" s="53" t="s">
        <v>258</v>
      </c>
      <c r="G82" s="53" t="s">
        <v>158</v>
      </c>
      <c r="H82" s="53" t="s">
        <v>147</v>
      </c>
      <c r="I82" s="53" t="s">
        <v>148</v>
      </c>
      <c r="J82" s="53" t="s">
        <v>268</v>
      </c>
    </row>
    <row r="83" spans="1:10" ht="15" customHeight="1" x14ac:dyDescent="0.35">
      <c r="A83" s="53" t="s">
        <v>142</v>
      </c>
      <c r="B83" s="53" t="s">
        <v>143</v>
      </c>
      <c r="C83" s="53" t="s">
        <v>109</v>
      </c>
      <c r="D83" s="53">
        <v>1</v>
      </c>
      <c r="E83" s="53" t="s">
        <v>269</v>
      </c>
      <c r="F83" s="53" t="s">
        <v>258</v>
      </c>
      <c r="G83" s="53" t="s">
        <v>158</v>
      </c>
      <c r="H83" s="53" t="s">
        <v>147</v>
      </c>
      <c r="I83" s="53" t="s">
        <v>148</v>
      </c>
      <c r="J83" s="53" t="s">
        <v>270</v>
      </c>
    </row>
    <row r="84" spans="1:10" ht="15" customHeight="1" x14ac:dyDescent="0.35">
      <c r="A84" s="53" t="s">
        <v>142</v>
      </c>
      <c r="B84" s="53" t="s">
        <v>143</v>
      </c>
      <c r="C84" s="53" t="s">
        <v>109</v>
      </c>
      <c r="D84" s="53">
        <v>1</v>
      </c>
      <c r="E84" s="53" t="s">
        <v>271</v>
      </c>
      <c r="F84" s="53" t="s">
        <v>258</v>
      </c>
      <c r="G84" s="53" t="s">
        <v>158</v>
      </c>
      <c r="H84" s="53" t="s">
        <v>147</v>
      </c>
      <c r="I84" s="53" t="s">
        <v>148</v>
      </c>
      <c r="J84" s="53" t="s">
        <v>272</v>
      </c>
    </row>
    <row r="85" spans="1:10" ht="15" customHeight="1" x14ac:dyDescent="0.35">
      <c r="A85" s="53" t="s">
        <v>142</v>
      </c>
      <c r="B85" s="53" t="s">
        <v>143</v>
      </c>
      <c r="C85" s="53" t="s">
        <v>109</v>
      </c>
      <c r="D85" s="53">
        <v>1</v>
      </c>
      <c r="E85" s="53" t="s">
        <v>273</v>
      </c>
      <c r="F85" s="53" t="s">
        <v>145</v>
      </c>
      <c r="G85" s="53" t="s">
        <v>146</v>
      </c>
      <c r="H85" s="53" t="s">
        <v>147</v>
      </c>
      <c r="I85" s="53" t="s">
        <v>148</v>
      </c>
      <c r="J85" s="53" t="s">
        <v>274</v>
      </c>
    </row>
    <row r="86" spans="1:10" ht="15" customHeight="1" x14ac:dyDescent="0.35">
      <c r="A86" s="53" t="s">
        <v>142</v>
      </c>
      <c r="B86" s="53" t="s">
        <v>143</v>
      </c>
      <c r="C86" s="53" t="s">
        <v>109</v>
      </c>
      <c r="D86" s="53">
        <v>1</v>
      </c>
      <c r="E86" s="53" t="s">
        <v>275</v>
      </c>
      <c r="F86" s="53" t="s">
        <v>145</v>
      </c>
      <c r="G86" s="53" t="s">
        <v>146</v>
      </c>
      <c r="H86" s="53" t="s">
        <v>147</v>
      </c>
      <c r="I86" s="53" t="s">
        <v>148</v>
      </c>
      <c r="J86" s="53" t="s">
        <v>276</v>
      </c>
    </row>
    <row r="87" spans="1:10" ht="15" customHeight="1" x14ac:dyDescent="0.35">
      <c r="A87" s="53" t="s">
        <v>142</v>
      </c>
      <c r="B87" s="53" t="s">
        <v>143</v>
      </c>
      <c r="C87" s="53" t="s">
        <v>109</v>
      </c>
      <c r="D87" s="53">
        <v>1</v>
      </c>
      <c r="E87" s="53" t="s">
        <v>277</v>
      </c>
      <c r="F87" s="53" t="s">
        <v>145</v>
      </c>
      <c r="G87" s="53" t="s">
        <v>146</v>
      </c>
      <c r="H87" s="53" t="s">
        <v>147</v>
      </c>
      <c r="I87" s="53" t="s">
        <v>148</v>
      </c>
      <c r="J87" s="53" t="s">
        <v>278</v>
      </c>
    </row>
    <row r="88" spans="1:10" ht="15" customHeight="1" x14ac:dyDescent="0.35">
      <c r="A88" s="53" t="s">
        <v>142</v>
      </c>
      <c r="B88" s="53" t="s">
        <v>143</v>
      </c>
      <c r="C88" s="53" t="s">
        <v>109</v>
      </c>
      <c r="D88" s="53">
        <v>1</v>
      </c>
      <c r="E88" s="53" t="s">
        <v>279</v>
      </c>
      <c r="F88" s="53" t="s">
        <v>145</v>
      </c>
      <c r="G88" s="53" t="s">
        <v>146</v>
      </c>
      <c r="H88" s="53" t="s">
        <v>147</v>
      </c>
      <c r="I88" s="53" t="s">
        <v>148</v>
      </c>
      <c r="J88" s="53" t="s">
        <v>280</v>
      </c>
    </row>
    <row r="89" spans="1:10" ht="15" customHeight="1" x14ac:dyDescent="0.35">
      <c r="A89" s="53" t="s">
        <v>142</v>
      </c>
      <c r="B89" s="53" t="s">
        <v>143</v>
      </c>
      <c r="C89" s="53" t="s">
        <v>109</v>
      </c>
      <c r="D89" s="53">
        <v>1</v>
      </c>
      <c r="E89" s="53" t="s">
        <v>281</v>
      </c>
      <c r="F89" s="53" t="s">
        <v>145</v>
      </c>
      <c r="G89" s="53" t="s">
        <v>146</v>
      </c>
      <c r="H89" s="53" t="s">
        <v>147</v>
      </c>
      <c r="I89" s="53" t="s">
        <v>148</v>
      </c>
      <c r="J89" s="53" t="s">
        <v>282</v>
      </c>
    </row>
    <row r="90" spans="1:10" ht="15" customHeight="1" x14ac:dyDescent="0.35">
      <c r="A90" s="53" t="s">
        <v>142</v>
      </c>
      <c r="B90" s="53" t="s">
        <v>143</v>
      </c>
      <c r="C90" s="53" t="s">
        <v>109</v>
      </c>
      <c r="D90" s="53">
        <v>1</v>
      </c>
      <c r="E90" s="53" t="s">
        <v>283</v>
      </c>
      <c r="F90" s="53" t="s">
        <v>145</v>
      </c>
      <c r="G90" s="53" t="s">
        <v>146</v>
      </c>
      <c r="H90" s="53" t="s">
        <v>147</v>
      </c>
      <c r="I90" s="53" t="s">
        <v>148</v>
      </c>
      <c r="J90" s="53" t="s">
        <v>284</v>
      </c>
    </row>
    <row r="91" spans="1:10" ht="15" customHeight="1" x14ac:dyDescent="0.35">
      <c r="A91" s="53" t="s">
        <v>142</v>
      </c>
      <c r="B91" s="53" t="s">
        <v>143</v>
      </c>
      <c r="C91" s="53" t="s">
        <v>109</v>
      </c>
      <c r="D91" s="53">
        <v>1</v>
      </c>
      <c r="E91" s="53" t="s">
        <v>285</v>
      </c>
      <c r="F91" s="53" t="s">
        <v>145</v>
      </c>
      <c r="G91" s="53" t="s">
        <v>146</v>
      </c>
      <c r="H91" s="53" t="s">
        <v>147</v>
      </c>
      <c r="I91" s="53" t="s">
        <v>148</v>
      </c>
      <c r="J91" s="53" t="s">
        <v>286</v>
      </c>
    </row>
    <row r="92" spans="1:10" ht="15" customHeight="1" x14ac:dyDescent="0.35">
      <c r="A92" s="53" t="s">
        <v>142</v>
      </c>
      <c r="B92" s="53" t="s">
        <v>143</v>
      </c>
      <c r="C92" s="53" t="s">
        <v>109</v>
      </c>
      <c r="D92" s="53">
        <v>1</v>
      </c>
      <c r="E92" s="53" t="s">
        <v>287</v>
      </c>
      <c r="F92" s="53" t="s">
        <v>258</v>
      </c>
      <c r="G92" s="53" t="s">
        <v>259</v>
      </c>
      <c r="H92" s="53" t="s">
        <v>147</v>
      </c>
      <c r="I92" s="53" t="s">
        <v>148</v>
      </c>
      <c r="J92" s="53" t="s">
        <v>262</v>
      </c>
    </row>
    <row r="93" spans="1:10" ht="15" customHeight="1" x14ac:dyDescent="0.35">
      <c r="A93" s="53" t="s">
        <v>142</v>
      </c>
      <c r="B93" s="53" t="s">
        <v>143</v>
      </c>
      <c r="C93" s="53" t="s">
        <v>109</v>
      </c>
      <c r="D93" s="53">
        <v>1</v>
      </c>
      <c r="E93" s="53" t="s">
        <v>288</v>
      </c>
      <c r="F93" s="53" t="s">
        <v>258</v>
      </c>
      <c r="G93" s="53" t="s">
        <v>259</v>
      </c>
      <c r="H93" s="53" t="s">
        <v>147</v>
      </c>
      <c r="I93" s="53" t="s">
        <v>148</v>
      </c>
      <c r="J93" s="53" t="s">
        <v>260</v>
      </c>
    </row>
    <row r="94" spans="1:10" ht="15" customHeight="1" x14ac:dyDescent="0.35">
      <c r="A94" s="53" t="s">
        <v>142</v>
      </c>
      <c r="B94" s="53" t="s">
        <v>143</v>
      </c>
      <c r="C94" s="53" t="s">
        <v>109</v>
      </c>
      <c r="D94" s="53">
        <v>1</v>
      </c>
      <c r="E94" s="53" t="s">
        <v>289</v>
      </c>
      <c r="F94" s="53" t="s">
        <v>145</v>
      </c>
      <c r="G94" s="53" t="s">
        <v>146</v>
      </c>
      <c r="H94" s="53" t="s">
        <v>147</v>
      </c>
      <c r="I94" s="53" t="s">
        <v>148</v>
      </c>
      <c r="J94" s="53" t="s">
        <v>290</v>
      </c>
    </row>
    <row r="95" spans="1:10" ht="15" customHeight="1" x14ac:dyDescent="0.35">
      <c r="A95" s="53" t="s">
        <v>142</v>
      </c>
      <c r="B95" s="53" t="s">
        <v>143</v>
      </c>
      <c r="C95" s="53" t="s">
        <v>109</v>
      </c>
      <c r="D95" s="53">
        <v>1</v>
      </c>
      <c r="E95" s="53" t="s">
        <v>291</v>
      </c>
      <c r="F95" s="53" t="s">
        <v>145</v>
      </c>
      <c r="G95" s="53" t="s">
        <v>146</v>
      </c>
      <c r="H95" s="53" t="s">
        <v>147</v>
      </c>
      <c r="I95" s="53" t="s">
        <v>148</v>
      </c>
      <c r="J95" s="53" t="s">
        <v>292</v>
      </c>
    </row>
    <row r="96" spans="1:10" ht="15" customHeight="1" x14ac:dyDescent="0.35">
      <c r="A96" s="53" t="s">
        <v>142</v>
      </c>
      <c r="B96" s="53" t="s">
        <v>143</v>
      </c>
      <c r="C96" s="53" t="s">
        <v>109</v>
      </c>
      <c r="D96" s="53">
        <v>1</v>
      </c>
      <c r="E96" s="53" t="s">
        <v>293</v>
      </c>
      <c r="F96" s="53" t="s">
        <v>145</v>
      </c>
      <c r="G96" s="53" t="s">
        <v>146</v>
      </c>
      <c r="H96" s="53" t="s">
        <v>147</v>
      </c>
      <c r="I96" s="53" t="s">
        <v>148</v>
      </c>
      <c r="J96" s="53" t="s">
        <v>294</v>
      </c>
    </row>
    <row r="97" spans="1:10" ht="15" customHeight="1" x14ac:dyDescent="0.35">
      <c r="A97" s="53" t="s">
        <v>142</v>
      </c>
      <c r="B97" s="53" t="s">
        <v>143</v>
      </c>
      <c r="C97" s="53" t="s">
        <v>109</v>
      </c>
      <c r="D97" s="53">
        <v>1</v>
      </c>
      <c r="E97" s="53" t="s">
        <v>295</v>
      </c>
      <c r="F97" s="53" t="s">
        <v>258</v>
      </c>
      <c r="G97" s="53" t="s">
        <v>259</v>
      </c>
      <c r="H97" s="53" t="s">
        <v>147</v>
      </c>
      <c r="I97" s="53" t="s">
        <v>148</v>
      </c>
      <c r="J97" s="53" t="s">
        <v>296</v>
      </c>
    </row>
    <row r="98" spans="1:10" ht="15" customHeight="1" x14ac:dyDescent="0.35">
      <c r="A98" s="53" t="s">
        <v>142</v>
      </c>
      <c r="B98" s="53" t="s">
        <v>143</v>
      </c>
      <c r="C98" s="53" t="s">
        <v>109</v>
      </c>
      <c r="D98" s="53">
        <v>1</v>
      </c>
      <c r="E98" s="53" t="s">
        <v>297</v>
      </c>
      <c r="F98" s="53" t="s">
        <v>145</v>
      </c>
      <c r="G98" s="53" t="s">
        <v>146</v>
      </c>
      <c r="H98" s="53" t="s">
        <v>147</v>
      </c>
      <c r="I98" s="53" t="s">
        <v>148</v>
      </c>
      <c r="J98" s="53" t="s">
        <v>298</v>
      </c>
    </row>
    <row r="99" spans="1:10" ht="15" customHeight="1" x14ac:dyDescent="0.35">
      <c r="A99" s="53" t="s">
        <v>142</v>
      </c>
      <c r="B99" s="53" t="s">
        <v>143</v>
      </c>
      <c r="C99" s="53" t="s">
        <v>109</v>
      </c>
      <c r="D99" s="53">
        <v>1</v>
      </c>
      <c r="E99" s="53" t="s">
        <v>299</v>
      </c>
      <c r="F99" s="53" t="s">
        <v>145</v>
      </c>
      <c r="G99" s="53" t="s">
        <v>146</v>
      </c>
      <c r="H99" s="53" t="s">
        <v>147</v>
      </c>
      <c r="I99" s="53" t="s">
        <v>148</v>
      </c>
      <c r="J99" s="53" t="s">
        <v>298</v>
      </c>
    </row>
    <row r="100" spans="1:10" ht="15" customHeight="1" x14ac:dyDescent="0.35">
      <c r="A100" s="53" t="s">
        <v>142</v>
      </c>
      <c r="B100" s="53" t="s">
        <v>143</v>
      </c>
      <c r="C100" s="53" t="s">
        <v>109</v>
      </c>
      <c r="D100" s="53">
        <v>1</v>
      </c>
      <c r="E100" s="53" t="s">
        <v>300</v>
      </c>
      <c r="F100" s="53" t="s">
        <v>145</v>
      </c>
      <c r="G100" s="53" t="s">
        <v>146</v>
      </c>
      <c r="H100" s="53" t="s">
        <v>147</v>
      </c>
      <c r="I100" s="53" t="s">
        <v>148</v>
      </c>
      <c r="J100" s="53" t="s">
        <v>298</v>
      </c>
    </row>
    <row r="101" spans="1:10" ht="15" customHeight="1" x14ac:dyDescent="0.35">
      <c r="A101" s="53" t="s">
        <v>142</v>
      </c>
      <c r="B101" s="53" t="s">
        <v>143</v>
      </c>
      <c r="C101" s="53" t="s">
        <v>109</v>
      </c>
      <c r="D101" s="53">
        <v>1</v>
      </c>
      <c r="E101" s="53" t="s">
        <v>301</v>
      </c>
      <c r="F101" s="53" t="s">
        <v>258</v>
      </c>
      <c r="G101" s="53" t="s">
        <v>158</v>
      </c>
      <c r="H101" s="53" t="s">
        <v>147</v>
      </c>
      <c r="I101" s="53" t="s">
        <v>148</v>
      </c>
      <c r="J101" s="53" t="s">
        <v>302</v>
      </c>
    </row>
    <row r="102" spans="1:10" ht="15" customHeight="1" x14ac:dyDescent="0.35">
      <c r="A102" s="53" t="s">
        <v>142</v>
      </c>
      <c r="B102" s="53" t="s">
        <v>143</v>
      </c>
      <c r="C102" s="53" t="s">
        <v>109</v>
      </c>
      <c r="D102" s="53">
        <v>1</v>
      </c>
      <c r="E102" s="53" t="s">
        <v>303</v>
      </c>
      <c r="F102" s="53" t="s">
        <v>145</v>
      </c>
      <c r="G102" s="53" t="s">
        <v>146</v>
      </c>
      <c r="H102" s="53" t="s">
        <v>147</v>
      </c>
      <c r="I102" s="53" t="s">
        <v>148</v>
      </c>
      <c r="J102" s="53" t="s">
        <v>304</v>
      </c>
    </row>
    <row r="103" spans="1:10" ht="15" customHeight="1" x14ac:dyDescent="0.35">
      <c r="A103" s="53" t="s">
        <v>142</v>
      </c>
      <c r="B103" s="53" t="s">
        <v>143</v>
      </c>
      <c r="C103" s="53" t="s">
        <v>109</v>
      </c>
      <c r="D103" s="53">
        <v>1</v>
      </c>
      <c r="E103" s="53" t="s">
        <v>305</v>
      </c>
      <c r="F103" s="53" t="s">
        <v>145</v>
      </c>
      <c r="G103" s="53" t="s">
        <v>146</v>
      </c>
      <c r="H103" s="53" t="s">
        <v>147</v>
      </c>
      <c r="I103" s="53" t="s">
        <v>148</v>
      </c>
      <c r="J103" s="53" t="s">
        <v>306</v>
      </c>
    </row>
    <row r="104" spans="1:10" ht="15" customHeight="1" x14ac:dyDescent="0.35">
      <c r="A104" s="53" t="s">
        <v>142</v>
      </c>
      <c r="B104" s="53" t="s">
        <v>143</v>
      </c>
      <c r="C104" s="53" t="s">
        <v>109</v>
      </c>
      <c r="D104" s="53">
        <v>1</v>
      </c>
      <c r="E104" s="53" t="s">
        <v>307</v>
      </c>
      <c r="F104" s="53" t="s">
        <v>145</v>
      </c>
      <c r="G104" s="53" t="s">
        <v>146</v>
      </c>
      <c r="H104" s="53" t="s">
        <v>147</v>
      </c>
      <c r="I104" s="53" t="s">
        <v>148</v>
      </c>
      <c r="J104" s="53" t="s">
        <v>308</v>
      </c>
    </row>
    <row r="105" spans="1:10" ht="15" customHeight="1" x14ac:dyDescent="0.35">
      <c r="A105" s="53" t="s">
        <v>142</v>
      </c>
      <c r="B105" s="53" t="s">
        <v>143</v>
      </c>
      <c r="C105" s="53" t="s">
        <v>109</v>
      </c>
      <c r="D105" s="53">
        <v>1</v>
      </c>
      <c r="E105" s="53" t="s">
        <v>309</v>
      </c>
      <c r="F105" s="53" t="s">
        <v>145</v>
      </c>
      <c r="G105" s="53" t="s">
        <v>146</v>
      </c>
      <c r="H105" s="53" t="s">
        <v>147</v>
      </c>
      <c r="I105" s="53" t="s">
        <v>148</v>
      </c>
      <c r="J105" s="53" t="s">
        <v>310</v>
      </c>
    </row>
    <row r="106" spans="1:10" ht="15" customHeight="1" x14ac:dyDescent="0.35">
      <c r="A106" s="53" t="s">
        <v>142</v>
      </c>
      <c r="B106" s="53" t="s">
        <v>143</v>
      </c>
      <c r="C106" s="53" t="s">
        <v>109</v>
      </c>
      <c r="D106" s="53">
        <v>1</v>
      </c>
      <c r="E106" s="53" t="s">
        <v>311</v>
      </c>
      <c r="F106" s="53" t="s">
        <v>145</v>
      </c>
      <c r="G106" s="53" t="s">
        <v>146</v>
      </c>
      <c r="H106" s="53" t="s">
        <v>147</v>
      </c>
      <c r="I106" s="53" t="s">
        <v>148</v>
      </c>
      <c r="J106" s="53" t="s">
        <v>312</v>
      </c>
    </row>
    <row r="107" spans="1:10" ht="15" customHeight="1" x14ac:dyDescent="0.35">
      <c r="A107" s="53" t="s">
        <v>142</v>
      </c>
      <c r="B107" s="53" t="s">
        <v>143</v>
      </c>
      <c r="C107" s="53" t="s">
        <v>109</v>
      </c>
      <c r="D107" s="53">
        <v>1</v>
      </c>
      <c r="E107" s="53" t="s">
        <v>313</v>
      </c>
      <c r="F107" s="53" t="s">
        <v>145</v>
      </c>
      <c r="G107" s="53" t="s">
        <v>146</v>
      </c>
      <c r="H107" s="53" t="s">
        <v>147</v>
      </c>
      <c r="I107" s="53" t="s">
        <v>148</v>
      </c>
      <c r="J107" s="53" t="s">
        <v>274</v>
      </c>
    </row>
    <row r="108" spans="1:10" ht="15" customHeight="1" x14ac:dyDescent="0.35">
      <c r="A108" s="53" t="s">
        <v>142</v>
      </c>
      <c r="B108" s="53" t="s">
        <v>143</v>
      </c>
      <c r="C108" s="53" t="s">
        <v>109</v>
      </c>
      <c r="D108" s="53">
        <v>1</v>
      </c>
      <c r="E108" s="53" t="s">
        <v>314</v>
      </c>
      <c r="F108" s="53" t="s">
        <v>145</v>
      </c>
      <c r="G108" s="53" t="s">
        <v>146</v>
      </c>
      <c r="H108" s="53" t="s">
        <v>147</v>
      </c>
      <c r="I108" s="53" t="s">
        <v>148</v>
      </c>
      <c r="J108" s="53" t="s">
        <v>315</v>
      </c>
    </row>
    <row r="109" spans="1:10" ht="15" customHeight="1" x14ac:dyDescent="0.35">
      <c r="A109" s="53" t="s">
        <v>142</v>
      </c>
      <c r="B109" s="53" t="s">
        <v>143</v>
      </c>
      <c r="C109" s="53" t="s">
        <v>109</v>
      </c>
      <c r="D109" s="53">
        <v>1</v>
      </c>
      <c r="E109" s="53" t="s">
        <v>316</v>
      </c>
      <c r="F109" s="53" t="s">
        <v>145</v>
      </c>
      <c r="G109" s="53" t="s">
        <v>146</v>
      </c>
      <c r="H109" s="53" t="s">
        <v>147</v>
      </c>
      <c r="I109" s="53" t="s">
        <v>148</v>
      </c>
      <c r="J109" s="53" t="s">
        <v>317</v>
      </c>
    </row>
    <row r="110" spans="1:10" ht="15" customHeight="1" x14ac:dyDescent="0.35">
      <c r="A110" s="53" t="s">
        <v>142</v>
      </c>
      <c r="B110" s="53" t="s">
        <v>143</v>
      </c>
      <c r="C110" s="53" t="s">
        <v>109</v>
      </c>
      <c r="D110" s="53">
        <v>1</v>
      </c>
      <c r="E110" s="53" t="s">
        <v>318</v>
      </c>
      <c r="F110" s="53" t="s">
        <v>145</v>
      </c>
      <c r="G110" s="53" t="s">
        <v>146</v>
      </c>
      <c r="H110" s="53" t="s">
        <v>147</v>
      </c>
      <c r="I110" s="53" t="s">
        <v>148</v>
      </c>
      <c r="J110" s="53" t="s">
        <v>319</v>
      </c>
    </row>
    <row r="111" spans="1:10" ht="15" customHeight="1" x14ac:dyDescent="0.35">
      <c r="A111" s="53" t="s">
        <v>142</v>
      </c>
      <c r="B111" s="53" t="s">
        <v>143</v>
      </c>
      <c r="C111" s="53" t="s">
        <v>109</v>
      </c>
      <c r="D111" s="53">
        <v>1</v>
      </c>
      <c r="E111" s="53" t="s">
        <v>320</v>
      </c>
      <c r="F111" s="53" t="s">
        <v>145</v>
      </c>
      <c r="G111" s="53" t="s">
        <v>146</v>
      </c>
      <c r="H111" s="53" t="s">
        <v>147</v>
      </c>
      <c r="I111" s="53" t="s">
        <v>148</v>
      </c>
      <c r="J111" s="53" t="s">
        <v>321</v>
      </c>
    </row>
    <row r="112" spans="1:10" ht="15" customHeight="1" x14ac:dyDescent="0.35">
      <c r="A112" s="53" t="s">
        <v>142</v>
      </c>
      <c r="B112" s="53" t="s">
        <v>143</v>
      </c>
      <c r="C112" s="53" t="s">
        <v>109</v>
      </c>
      <c r="D112" s="53">
        <v>1</v>
      </c>
      <c r="E112" s="53" t="s">
        <v>322</v>
      </c>
      <c r="F112" s="53" t="s">
        <v>145</v>
      </c>
      <c r="G112" s="53" t="s">
        <v>146</v>
      </c>
      <c r="H112" s="53" t="s">
        <v>147</v>
      </c>
      <c r="I112" s="53" t="s">
        <v>148</v>
      </c>
      <c r="J112" s="53" t="s">
        <v>323</v>
      </c>
    </row>
    <row r="113" spans="1:10" ht="15" customHeight="1" x14ac:dyDescent="0.35">
      <c r="A113" s="53" t="s">
        <v>142</v>
      </c>
      <c r="B113" s="53" t="s">
        <v>143</v>
      </c>
      <c r="C113" s="53" t="s">
        <v>109</v>
      </c>
      <c r="D113" s="53">
        <v>1</v>
      </c>
      <c r="E113" s="53" t="s">
        <v>324</v>
      </c>
      <c r="F113" s="53" t="s">
        <v>145</v>
      </c>
      <c r="G113" s="53" t="s">
        <v>146</v>
      </c>
      <c r="H113" s="53" t="s">
        <v>147</v>
      </c>
      <c r="I113" s="53" t="s">
        <v>148</v>
      </c>
      <c r="J113" s="53" t="s">
        <v>325</v>
      </c>
    </row>
    <row r="114" spans="1:10" ht="15" customHeight="1" x14ac:dyDescent="0.35">
      <c r="A114" s="53" t="s">
        <v>142</v>
      </c>
      <c r="B114" s="53" t="s">
        <v>143</v>
      </c>
      <c r="C114" s="53" t="s">
        <v>109</v>
      </c>
      <c r="D114" s="53">
        <v>1</v>
      </c>
      <c r="E114" s="53" t="s">
        <v>326</v>
      </c>
      <c r="F114" s="53" t="s">
        <v>145</v>
      </c>
      <c r="G114" s="53" t="s">
        <v>146</v>
      </c>
      <c r="H114" s="53" t="s">
        <v>147</v>
      </c>
      <c r="I114" s="53" t="s">
        <v>148</v>
      </c>
      <c r="J114" s="53" t="s">
        <v>327</v>
      </c>
    </row>
    <row r="115" spans="1:10" ht="15" customHeight="1" x14ac:dyDescent="0.35">
      <c r="A115" s="53" t="s">
        <v>142</v>
      </c>
      <c r="B115" s="53" t="s">
        <v>143</v>
      </c>
      <c r="C115" s="53" t="s">
        <v>109</v>
      </c>
      <c r="D115" s="53">
        <v>1</v>
      </c>
      <c r="E115" s="53" t="s">
        <v>328</v>
      </c>
      <c r="F115" s="53" t="s">
        <v>145</v>
      </c>
      <c r="G115" s="53" t="s">
        <v>146</v>
      </c>
      <c r="H115" s="53" t="s">
        <v>147</v>
      </c>
      <c r="I115" s="53" t="s">
        <v>148</v>
      </c>
      <c r="J115" s="53" t="s">
        <v>329</v>
      </c>
    </row>
    <row r="116" spans="1:10" ht="15" customHeight="1" x14ac:dyDescent="0.35">
      <c r="A116" s="53" t="s">
        <v>142</v>
      </c>
      <c r="B116" s="53" t="s">
        <v>143</v>
      </c>
      <c r="C116" s="53" t="s">
        <v>109</v>
      </c>
      <c r="D116" s="53">
        <v>1</v>
      </c>
      <c r="E116" s="53" t="s">
        <v>330</v>
      </c>
      <c r="F116" s="53" t="s">
        <v>145</v>
      </c>
      <c r="G116" s="53" t="s">
        <v>146</v>
      </c>
      <c r="H116" s="53" t="s">
        <v>147</v>
      </c>
      <c r="I116" s="53" t="s">
        <v>148</v>
      </c>
      <c r="J116" s="53" t="s">
        <v>329</v>
      </c>
    </row>
    <row r="117" spans="1:10" ht="15" customHeight="1" x14ac:dyDescent="0.35">
      <c r="A117" s="53" t="s">
        <v>142</v>
      </c>
      <c r="B117" s="53" t="s">
        <v>143</v>
      </c>
      <c r="C117" s="53" t="s">
        <v>109</v>
      </c>
      <c r="D117" s="53">
        <v>1</v>
      </c>
      <c r="E117" s="53" t="s">
        <v>331</v>
      </c>
      <c r="F117" s="53" t="s">
        <v>145</v>
      </c>
      <c r="G117" s="53" t="s">
        <v>146</v>
      </c>
      <c r="H117" s="53" t="s">
        <v>147</v>
      </c>
      <c r="I117" s="53" t="s">
        <v>148</v>
      </c>
      <c r="J117" s="53" t="s">
        <v>332</v>
      </c>
    </row>
    <row r="118" spans="1:10" ht="15" customHeight="1" x14ac:dyDescent="0.35">
      <c r="A118" s="53" t="s">
        <v>142</v>
      </c>
      <c r="B118" s="53" t="s">
        <v>143</v>
      </c>
      <c r="C118" s="53" t="s">
        <v>109</v>
      </c>
      <c r="D118" s="53">
        <v>1</v>
      </c>
      <c r="E118" s="53" t="s">
        <v>333</v>
      </c>
      <c r="F118" s="53" t="s">
        <v>145</v>
      </c>
      <c r="G118" s="53" t="s">
        <v>146</v>
      </c>
      <c r="H118" s="53" t="s">
        <v>147</v>
      </c>
      <c r="I118" s="53" t="s">
        <v>148</v>
      </c>
      <c r="J118" s="53" t="s">
        <v>334</v>
      </c>
    </row>
    <row r="119" spans="1:10" ht="15" customHeight="1" x14ac:dyDescent="0.35">
      <c r="A119" s="53" t="s">
        <v>142</v>
      </c>
      <c r="B119" s="53" t="s">
        <v>143</v>
      </c>
      <c r="C119" s="53" t="s">
        <v>109</v>
      </c>
      <c r="D119" s="53">
        <v>1</v>
      </c>
      <c r="E119" s="53" t="s">
        <v>335</v>
      </c>
      <c r="F119" s="53" t="s">
        <v>145</v>
      </c>
      <c r="G119" s="53" t="s">
        <v>146</v>
      </c>
      <c r="H119" s="53" t="s">
        <v>147</v>
      </c>
      <c r="I119" s="53" t="s">
        <v>148</v>
      </c>
      <c r="J119" s="53" t="s">
        <v>336</v>
      </c>
    </row>
    <row r="120" spans="1:10" ht="15" customHeight="1" x14ac:dyDescent="0.35">
      <c r="A120" s="53" t="s">
        <v>142</v>
      </c>
      <c r="B120" s="53" t="s">
        <v>143</v>
      </c>
      <c r="C120" s="53" t="s">
        <v>109</v>
      </c>
      <c r="D120" s="53">
        <v>1</v>
      </c>
      <c r="E120" s="53" t="s">
        <v>337</v>
      </c>
      <c r="F120" s="53" t="s">
        <v>145</v>
      </c>
      <c r="G120" s="53" t="s">
        <v>146</v>
      </c>
      <c r="H120" s="53" t="s">
        <v>147</v>
      </c>
      <c r="I120" s="53" t="s">
        <v>148</v>
      </c>
      <c r="J120" s="53" t="s">
        <v>338</v>
      </c>
    </row>
    <row r="121" spans="1:10" ht="15" customHeight="1" x14ac:dyDescent="0.35">
      <c r="A121" s="53" t="s">
        <v>142</v>
      </c>
      <c r="B121" s="53" t="s">
        <v>143</v>
      </c>
      <c r="C121" s="53" t="s">
        <v>109</v>
      </c>
      <c r="D121" s="53">
        <v>1</v>
      </c>
      <c r="E121" s="53" t="s">
        <v>339</v>
      </c>
      <c r="F121" s="53" t="s">
        <v>145</v>
      </c>
      <c r="G121" s="53" t="s">
        <v>146</v>
      </c>
      <c r="H121" s="53" t="s">
        <v>147</v>
      </c>
      <c r="I121" s="53" t="s">
        <v>148</v>
      </c>
      <c r="J121" s="53" t="s">
        <v>340</v>
      </c>
    </row>
    <row r="122" spans="1:10" ht="15" customHeight="1" x14ac:dyDescent="0.35">
      <c r="A122" s="53" t="s">
        <v>142</v>
      </c>
      <c r="B122" s="53" t="s">
        <v>143</v>
      </c>
      <c r="C122" s="53" t="s">
        <v>109</v>
      </c>
      <c r="D122" s="53">
        <v>1</v>
      </c>
      <c r="E122" s="53" t="s">
        <v>341</v>
      </c>
      <c r="F122" s="53" t="s">
        <v>145</v>
      </c>
      <c r="G122" s="53" t="s">
        <v>146</v>
      </c>
      <c r="H122" s="53" t="s">
        <v>147</v>
      </c>
      <c r="I122" s="53" t="s">
        <v>148</v>
      </c>
      <c r="J122" s="53" t="s">
        <v>342</v>
      </c>
    </row>
    <row r="123" spans="1:10" ht="15" customHeight="1" x14ac:dyDescent="0.35">
      <c r="A123" s="53" t="s">
        <v>142</v>
      </c>
      <c r="B123" s="53" t="s">
        <v>143</v>
      </c>
      <c r="C123" s="53" t="s">
        <v>109</v>
      </c>
      <c r="D123" s="53">
        <v>1</v>
      </c>
      <c r="E123" s="53" t="s">
        <v>343</v>
      </c>
      <c r="F123" s="53" t="s">
        <v>145</v>
      </c>
      <c r="G123" s="53" t="s">
        <v>146</v>
      </c>
      <c r="H123" s="53" t="s">
        <v>147</v>
      </c>
      <c r="I123" s="53" t="s">
        <v>148</v>
      </c>
      <c r="J123" s="53" t="s">
        <v>344</v>
      </c>
    </row>
    <row r="124" spans="1:10" ht="15" customHeight="1" x14ac:dyDescent="0.35">
      <c r="A124" s="53" t="s">
        <v>142</v>
      </c>
      <c r="B124" s="53" t="s">
        <v>143</v>
      </c>
      <c r="C124" s="53" t="s">
        <v>109</v>
      </c>
      <c r="D124" s="53">
        <v>1</v>
      </c>
      <c r="E124" s="53" t="s">
        <v>345</v>
      </c>
      <c r="F124" s="53" t="s">
        <v>145</v>
      </c>
      <c r="G124" s="53" t="s">
        <v>146</v>
      </c>
      <c r="H124" s="53" t="s">
        <v>147</v>
      </c>
      <c r="I124" s="53" t="s">
        <v>148</v>
      </c>
      <c r="J124" s="53" t="s">
        <v>346</v>
      </c>
    </row>
    <row r="125" spans="1:10" ht="15" customHeight="1" x14ac:dyDescent="0.35">
      <c r="A125" s="53" t="s">
        <v>142</v>
      </c>
      <c r="B125" s="53" t="s">
        <v>143</v>
      </c>
      <c r="C125" s="53" t="s">
        <v>109</v>
      </c>
      <c r="D125" s="53">
        <v>1</v>
      </c>
      <c r="E125" s="53" t="s">
        <v>347</v>
      </c>
      <c r="F125" s="53" t="s">
        <v>145</v>
      </c>
      <c r="G125" s="53" t="s">
        <v>146</v>
      </c>
      <c r="H125" s="53" t="s">
        <v>147</v>
      </c>
      <c r="I125" s="53" t="s">
        <v>148</v>
      </c>
      <c r="J125" s="53" t="s">
        <v>348</v>
      </c>
    </row>
    <row r="126" spans="1:10" ht="15" customHeight="1" x14ac:dyDescent="0.35">
      <c r="A126" s="53" t="s">
        <v>142</v>
      </c>
      <c r="B126" s="53" t="s">
        <v>143</v>
      </c>
      <c r="C126" s="53" t="s">
        <v>109</v>
      </c>
      <c r="D126" s="53">
        <v>1</v>
      </c>
      <c r="E126" s="53" t="s">
        <v>349</v>
      </c>
      <c r="F126" s="53" t="s">
        <v>145</v>
      </c>
      <c r="G126" s="53" t="s">
        <v>146</v>
      </c>
      <c r="H126" s="53" t="s">
        <v>147</v>
      </c>
      <c r="I126" s="53" t="s">
        <v>148</v>
      </c>
      <c r="J126" s="53" t="s">
        <v>350</v>
      </c>
    </row>
    <row r="127" spans="1:10" ht="15" customHeight="1" x14ac:dyDescent="0.35">
      <c r="A127" s="53" t="s">
        <v>142</v>
      </c>
      <c r="B127" s="53" t="s">
        <v>143</v>
      </c>
      <c r="C127" s="53" t="s">
        <v>109</v>
      </c>
      <c r="D127" s="53">
        <v>1</v>
      </c>
      <c r="E127" s="53" t="s">
        <v>351</v>
      </c>
      <c r="F127" s="53" t="s">
        <v>145</v>
      </c>
      <c r="G127" s="53" t="s">
        <v>146</v>
      </c>
      <c r="H127" s="53" t="s">
        <v>147</v>
      </c>
      <c r="I127" s="53" t="s">
        <v>148</v>
      </c>
      <c r="J127" s="53" t="s">
        <v>352</v>
      </c>
    </row>
    <row r="128" spans="1:10" ht="15" customHeight="1" x14ac:dyDescent="0.35">
      <c r="A128" s="53" t="s">
        <v>142</v>
      </c>
      <c r="B128" s="53" t="s">
        <v>143</v>
      </c>
      <c r="C128" s="53" t="s">
        <v>109</v>
      </c>
      <c r="D128" s="53">
        <v>1</v>
      </c>
      <c r="E128" s="53" t="s">
        <v>353</v>
      </c>
      <c r="F128" s="53" t="s">
        <v>145</v>
      </c>
      <c r="G128" s="53" t="s">
        <v>146</v>
      </c>
      <c r="H128" s="53" t="s">
        <v>147</v>
      </c>
      <c r="I128" s="53" t="s">
        <v>148</v>
      </c>
      <c r="J128" s="53" t="s">
        <v>354</v>
      </c>
    </row>
    <row r="129" spans="1:10" ht="15" customHeight="1" x14ac:dyDescent="0.35">
      <c r="A129" s="53" t="s">
        <v>142</v>
      </c>
      <c r="B129" s="53" t="s">
        <v>143</v>
      </c>
      <c r="C129" s="53" t="s">
        <v>109</v>
      </c>
      <c r="D129" s="53">
        <v>1</v>
      </c>
      <c r="E129" s="53" t="s">
        <v>355</v>
      </c>
      <c r="F129" s="53" t="s">
        <v>145</v>
      </c>
      <c r="G129" s="53" t="s">
        <v>146</v>
      </c>
      <c r="H129" s="53" t="s">
        <v>147</v>
      </c>
      <c r="I129" s="53" t="s">
        <v>148</v>
      </c>
      <c r="J129" s="53" t="s">
        <v>354</v>
      </c>
    </row>
    <row r="130" spans="1:10" ht="15" customHeight="1" x14ac:dyDescent="0.35">
      <c r="A130" s="53" t="s">
        <v>142</v>
      </c>
      <c r="B130" s="53" t="s">
        <v>143</v>
      </c>
      <c r="C130" s="53" t="s">
        <v>109</v>
      </c>
      <c r="D130" s="53">
        <v>1</v>
      </c>
      <c r="E130" s="53" t="s">
        <v>356</v>
      </c>
      <c r="F130" s="53" t="s">
        <v>145</v>
      </c>
      <c r="G130" s="53" t="s">
        <v>146</v>
      </c>
      <c r="H130" s="53" t="s">
        <v>147</v>
      </c>
      <c r="I130" s="53" t="s">
        <v>148</v>
      </c>
      <c r="J130" s="53" t="s">
        <v>357</v>
      </c>
    </row>
    <row r="131" spans="1:10" ht="15" customHeight="1" x14ac:dyDescent="0.35">
      <c r="A131" s="53" t="s">
        <v>142</v>
      </c>
      <c r="B131" s="53" t="s">
        <v>143</v>
      </c>
      <c r="C131" s="53" t="s">
        <v>109</v>
      </c>
      <c r="D131" s="53">
        <v>1</v>
      </c>
      <c r="E131" s="53" t="s">
        <v>358</v>
      </c>
      <c r="F131" s="53" t="s">
        <v>145</v>
      </c>
      <c r="G131" s="53" t="s">
        <v>146</v>
      </c>
      <c r="H131" s="53" t="s">
        <v>147</v>
      </c>
      <c r="I131" s="53" t="s">
        <v>148</v>
      </c>
      <c r="J131" s="53" t="s">
        <v>359</v>
      </c>
    </row>
    <row r="132" spans="1:10" ht="15" customHeight="1" x14ac:dyDescent="0.35">
      <c r="A132" s="53" t="s">
        <v>142</v>
      </c>
      <c r="B132" s="53" t="s">
        <v>143</v>
      </c>
      <c r="C132" s="53" t="s">
        <v>109</v>
      </c>
      <c r="D132" s="53">
        <v>1</v>
      </c>
      <c r="E132" s="53" t="s">
        <v>360</v>
      </c>
      <c r="F132" s="53" t="s">
        <v>258</v>
      </c>
      <c r="G132" s="53" t="s">
        <v>158</v>
      </c>
      <c r="H132" s="53" t="s">
        <v>147</v>
      </c>
      <c r="I132" s="53" t="s">
        <v>148</v>
      </c>
      <c r="J132" s="53" t="s">
        <v>272</v>
      </c>
    </row>
    <row r="133" spans="1:10" ht="15" customHeight="1" x14ac:dyDescent="0.35">
      <c r="A133" s="53" t="s">
        <v>142</v>
      </c>
      <c r="B133" s="53" t="s">
        <v>143</v>
      </c>
      <c r="C133" s="53" t="s">
        <v>109</v>
      </c>
      <c r="D133" s="53">
        <v>1</v>
      </c>
      <c r="E133" s="53" t="s">
        <v>361</v>
      </c>
      <c r="F133" s="53" t="s">
        <v>145</v>
      </c>
      <c r="G133" s="53" t="s">
        <v>146</v>
      </c>
      <c r="H133" s="53" t="s">
        <v>147</v>
      </c>
      <c r="I133" s="53" t="s">
        <v>148</v>
      </c>
      <c r="J133" s="53" t="s">
        <v>362</v>
      </c>
    </row>
    <row r="134" spans="1:10" ht="15" customHeight="1" x14ac:dyDescent="0.35">
      <c r="A134" s="53" t="s">
        <v>142</v>
      </c>
      <c r="B134" s="53" t="s">
        <v>143</v>
      </c>
      <c r="C134" s="53" t="s">
        <v>109</v>
      </c>
      <c r="D134" s="53">
        <v>1</v>
      </c>
      <c r="E134" s="53" t="s">
        <v>363</v>
      </c>
      <c r="F134" s="53" t="s">
        <v>145</v>
      </c>
      <c r="G134" s="53" t="s">
        <v>146</v>
      </c>
      <c r="H134" s="53" t="s">
        <v>147</v>
      </c>
      <c r="I134" s="53" t="s">
        <v>148</v>
      </c>
      <c r="J134" s="53" t="s">
        <v>364</v>
      </c>
    </row>
    <row r="135" spans="1:10" ht="15" customHeight="1" x14ac:dyDescent="0.35">
      <c r="A135" s="53" t="s">
        <v>142</v>
      </c>
      <c r="B135" s="53" t="s">
        <v>143</v>
      </c>
      <c r="C135" s="53" t="s">
        <v>109</v>
      </c>
      <c r="D135" s="53">
        <v>1</v>
      </c>
      <c r="E135" s="53" t="s">
        <v>365</v>
      </c>
      <c r="F135" s="53" t="s">
        <v>145</v>
      </c>
      <c r="G135" s="53" t="s">
        <v>146</v>
      </c>
      <c r="H135" s="53" t="s">
        <v>147</v>
      </c>
      <c r="I135" s="53" t="s">
        <v>148</v>
      </c>
      <c r="J135" s="53" t="s">
        <v>248</v>
      </c>
    </row>
    <row r="136" spans="1:10" ht="15" customHeight="1" x14ac:dyDescent="0.35">
      <c r="A136" s="53" t="s">
        <v>142</v>
      </c>
      <c r="B136" s="53" t="s">
        <v>143</v>
      </c>
      <c r="C136" s="53" t="s">
        <v>109</v>
      </c>
      <c r="D136" s="53">
        <v>1</v>
      </c>
      <c r="E136" s="53" t="s">
        <v>366</v>
      </c>
      <c r="F136" s="53" t="s">
        <v>145</v>
      </c>
      <c r="G136" s="53" t="s">
        <v>146</v>
      </c>
      <c r="H136" s="53" t="s">
        <v>147</v>
      </c>
      <c r="I136" s="53" t="s">
        <v>148</v>
      </c>
      <c r="J136" s="53" t="s">
        <v>367</v>
      </c>
    </row>
    <row r="137" spans="1:10" ht="15" customHeight="1" x14ac:dyDescent="0.35">
      <c r="A137" s="53" t="s">
        <v>142</v>
      </c>
      <c r="B137" s="53" t="s">
        <v>143</v>
      </c>
      <c r="C137" s="53" t="s">
        <v>109</v>
      </c>
      <c r="D137" s="53">
        <v>1</v>
      </c>
      <c r="E137" s="53" t="s">
        <v>368</v>
      </c>
      <c r="F137" s="53" t="s">
        <v>145</v>
      </c>
      <c r="G137" s="53" t="s">
        <v>146</v>
      </c>
      <c r="H137" s="53" t="s">
        <v>147</v>
      </c>
      <c r="I137" s="53" t="s">
        <v>148</v>
      </c>
      <c r="J137" s="53" t="s">
        <v>369</v>
      </c>
    </row>
    <row r="138" spans="1:10" ht="15" customHeight="1" x14ac:dyDescent="0.35">
      <c r="A138" s="53" t="s">
        <v>142</v>
      </c>
      <c r="B138" s="53" t="s">
        <v>143</v>
      </c>
      <c r="C138" s="53" t="s">
        <v>109</v>
      </c>
      <c r="D138" s="53">
        <v>1</v>
      </c>
      <c r="E138" s="53" t="s">
        <v>370</v>
      </c>
      <c r="F138" s="53" t="s">
        <v>145</v>
      </c>
      <c r="G138" s="53" t="s">
        <v>146</v>
      </c>
      <c r="H138" s="53" t="s">
        <v>147</v>
      </c>
      <c r="I138" s="53" t="s">
        <v>148</v>
      </c>
      <c r="J138" s="53" t="s">
        <v>371</v>
      </c>
    </row>
    <row r="139" spans="1:10" ht="15" customHeight="1" x14ac:dyDescent="0.35">
      <c r="A139" s="53" t="s">
        <v>142</v>
      </c>
      <c r="B139" s="53" t="s">
        <v>143</v>
      </c>
      <c r="C139" s="53" t="s">
        <v>109</v>
      </c>
      <c r="D139" s="53">
        <v>1</v>
      </c>
      <c r="E139" s="53" t="s">
        <v>372</v>
      </c>
      <c r="F139" s="53" t="s">
        <v>145</v>
      </c>
      <c r="G139" s="53" t="s">
        <v>146</v>
      </c>
      <c r="H139" s="53" t="s">
        <v>147</v>
      </c>
      <c r="I139" s="53" t="s">
        <v>148</v>
      </c>
      <c r="J139" s="53" t="s">
        <v>373</v>
      </c>
    </row>
    <row r="140" spans="1:10" ht="15" customHeight="1" x14ac:dyDescent="0.35">
      <c r="A140" s="53" t="s">
        <v>142</v>
      </c>
      <c r="B140" s="53" t="s">
        <v>143</v>
      </c>
      <c r="C140" s="53" t="s">
        <v>109</v>
      </c>
      <c r="D140" s="53">
        <v>1</v>
      </c>
      <c r="E140" s="53" t="s">
        <v>374</v>
      </c>
      <c r="F140" s="53" t="s">
        <v>145</v>
      </c>
      <c r="G140" s="53" t="s">
        <v>146</v>
      </c>
      <c r="H140" s="53" t="s">
        <v>147</v>
      </c>
      <c r="I140" s="53" t="s">
        <v>148</v>
      </c>
      <c r="J140" s="53" t="s">
        <v>375</v>
      </c>
    </row>
    <row r="141" spans="1:10" ht="15" customHeight="1" x14ac:dyDescent="0.35">
      <c r="A141" s="53" t="s">
        <v>142</v>
      </c>
      <c r="B141" s="53" t="s">
        <v>143</v>
      </c>
      <c r="C141" s="53" t="s">
        <v>109</v>
      </c>
      <c r="D141" s="53">
        <v>1</v>
      </c>
      <c r="E141" s="53" t="s">
        <v>376</v>
      </c>
      <c r="F141" s="53" t="s">
        <v>145</v>
      </c>
      <c r="G141" s="53" t="s">
        <v>146</v>
      </c>
      <c r="H141" s="53" t="s">
        <v>147</v>
      </c>
      <c r="I141" s="53" t="s">
        <v>148</v>
      </c>
      <c r="J141" s="53" t="s">
        <v>377</v>
      </c>
    </row>
    <row r="142" spans="1:10" ht="15" customHeight="1" x14ac:dyDescent="0.35">
      <c r="A142" s="53" t="s">
        <v>142</v>
      </c>
      <c r="B142" s="53" t="s">
        <v>143</v>
      </c>
      <c r="C142" s="53" t="s">
        <v>109</v>
      </c>
      <c r="D142" s="53">
        <v>1</v>
      </c>
      <c r="E142" s="53" t="s">
        <v>378</v>
      </c>
      <c r="F142" s="53" t="s">
        <v>145</v>
      </c>
      <c r="G142" s="53" t="s">
        <v>146</v>
      </c>
      <c r="H142" s="53" t="s">
        <v>147</v>
      </c>
      <c r="I142" s="53" t="s">
        <v>148</v>
      </c>
      <c r="J142" s="53" t="s">
        <v>379</v>
      </c>
    </row>
    <row r="143" spans="1:10" ht="15" customHeight="1" x14ac:dyDescent="0.35">
      <c r="A143" s="53" t="s">
        <v>142</v>
      </c>
      <c r="B143" s="53" t="s">
        <v>143</v>
      </c>
      <c r="C143" s="53" t="s">
        <v>109</v>
      </c>
      <c r="D143" s="53">
        <v>1</v>
      </c>
      <c r="E143" s="53" t="s">
        <v>380</v>
      </c>
      <c r="F143" s="53" t="s">
        <v>145</v>
      </c>
      <c r="G143" s="53" t="s">
        <v>146</v>
      </c>
      <c r="H143" s="53" t="s">
        <v>147</v>
      </c>
      <c r="I143" s="53" t="s">
        <v>148</v>
      </c>
      <c r="J143" s="53" t="s">
        <v>381</v>
      </c>
    </row>
    <row r="144" spans="1:10" ht="15" customHeight="1" x14ac:dyDescent="0.35">
      <c r="A144" s="53" t="s">
        <v>142</v>
      </c>
      <c r="B144" s="53" t="s">
        <v>143</v>
      </c>
      <c r="C144" s="53" t="s">
        <v>109</v>
      </c>
      <c r="D144" s="53">
        <v>1</v>
      </c>
      <c r="E144" s="53" t="s">
        <v>382</v>
      </c>
      <c r="F144" s="53" t="s">
        <v>145</v>
      </c>
      <c r="G144" s="53" t="s">
        <v>146</v>
      </c>
      <c r="H144" s="53" t="s">
        <v>147</v>
      </c>
      <c r="I144" s="53" t="s">
        <v>148</v>
      </c>
      <c r="J144" s="53" t="s">
        <v>276</v>
      </c>
    </row>
    <row r="145" spans="1:10" ht="15" customHeight="1" x14ac:dyDescent="0.35">
      <c r="A145" s="53" t="s">
        <v>142</v>
      </c>
      <c r="B145" s="53" t="s">
        <v>143</v>
      </c>
      <c r="C145" s="53" t="s">
        <v>109</v>
      </c>
      <c r="D145" s="53">
        <v>1</v>
      </c>
      <c r="E145" s="53" t="s">
        <v>383</v>
      </c>
      <c r="F145" s="53" t="s">
        <v>145</v>
      </c>
      <c r="G145" s="53" t="s">
        <v>146</v>
      </c>
      <c r="H145" s="53" t="s">
        <v>147</v>
      </c>
      <c r="I145" s="53" t="s">
        <v>148</v>
      </c>
      <c r="J145" s="53" t="s">
        <v>280</v>
      </c>
    </row>
    <row r="146" spans="1:10" ht="15" customHeight="1" x14ac:dyDescent="0.35">
      <c r="A146" s="53" t="s">
        <v>142</v>
      </c>
      <c r="B146" s="53" t="s">
        <v>143</v>
      </c>
      <c r="C146" s="53" t="s">
        <v>109</v>
      </c>
      <c r="D146" s="53">
        <v>1</v>
      </c>
      <c r="E146" s="53" t="s">
        <v>384</v>
      </c>
      <c r="F146" s="53" t="s">
        <v>145</v>
      </c>
      <c r="G146" s="53" t="s">
        <v>146</v>
      </c>
      <c r="H146" s="53" t="s">
        <v>147</v>
      </c>
      <c r="I146" s="53" t="s">
        <v>148</v>
      </c>
      <c r="J146" s="53" t="s">
        <v>280</v>
      </c>
    </row>
    <row r="147" spans="1:10" ht="15" customHeight="1" x14ac:dyDescent="0.35">
      <c r="A147" s="53" t="s">
        <v>142</v>
      </c>
      <c r="B147" s="53" t="s">
        <v>143</v>
      </c>
      <c r="C147" s="53" t="s">
        <v>109</v>
      </c>
      <c r="D147" s="53">
        <v>1</v>
      </c>
      <c r="E147" s="53" t="s">
        <v>385</v>
      </c>
      <c r="F147" s="53" t="s">
        <v>145</v>
      </c>
      <c r="G147" s="53" t="s">
        <v>146</v>
      </c>
      <c r="H147" s="53" t="s">
        <v>147</v>
      </c>
      <c r="I147" s="53" t="s">
        <v>148</v>
      </c>
      <c r="J147" s="53" t="s">
        <v>386</v>
      </c>
    </row>
    <row r="148" spans="1:10" ht="15" customHeight="1" x14ac:dyDescent="0.35">
      <c r="A148" s="53" t="s">
        <v>142</v>
      </c>
      <c r="B148" s="53" t="s">
        <v>143</v>
      </c>
      <c r="C148" s="53" t="s">
        <v>109</v>
      </c>
      <c r="D148" s="53">
        <v>1</v>
      </c>
      <c r="E148" s="53" t="s">
        <v>387</v>
      </c>
      <c r="F148" s="53" t="s">
        <v>145</v>
      </c>
      <c r="G148" s="53" t="s">
        <v>146</v>
      </c>
      <c r="H148" s="53" t="s">
        <v>147</v>
      </c>
      <c r="I148" s="53" t="s">
        <v>148</v>
      </c>
      <c r="J148" s="53" t="s">
        <v>388</v>
      </c>
    </row>
    <row r="149" spans="1:10" ht="15" customHeight="1" x14ac:dyDescent="0.35">
      <c r="A149" s="53" t="s">
        <v>142</v>
      </c>
      <c r="B149" s="53" t="s">
        <v>143</v>
      </c>
      <c r="C149" s="53" t="s">
        <v>109</v>
      </c>
      <c r="D149" s="53">
        <v>1</v>
      </c>
      <c r="E149" s="53" t="s">
        <v>389</v>
      </c>
      <c r="F149" s="53" t="s">
        <v>145</v>
      </c>
      <c r="G149" s="53" t="s">
        <v>146</v>
      </c>
      <c r="H149" s="53" t="s">
        <v>147</v>
      </c>
      <c r="I149" s="53" t="s">
        <v>148</v>
      </c>
      <c r="J149" s="53" t="s">
        <v>390</v>
      </c>
    </row>
    <row r="150" spans="1:10" ht="15" customHeight="1" x14ac:dyDescent="0.35">
      <c r="A150" s="53" t="s">
        <v>142</v>
      </c>
      <c r="B150" s="53" t="s">
        <v>143</v>
      </c>
      <c r="C150" s="53" t="s">
        <v>109</v>
      </c>
      <c r="D150" s="53">
        <v>1</v>
      </c>
      <c r="E150" s="53" t="s">
        <v>391</v>
      </c>
      <c r="F150" s="53" t="s">
        <v>145</v>
      </c>
      <c r="G150" s="53" t="s">
        <v>146</v>
      </c>
      <c r="H150" s="53" t="s">
        <v>147</v>
      </c>
      <c r="I150" s="53" t="s">
        <v>148</v>
      </c>
      <c r="J150" s="53" t="s">
        <v>392</v>
      </c>
    </row>
    <row r="151" spans="1:10" ht="15" customHeight="1" x14ac:dyDescent="0.35">
      <c r="A151" s="53" t="s">
        <v>142</v>
      </c>
      <c r="B151" s="53" t="s">
        <v>143</v>
      </c>
      <c r="C151" s="53" t="s">
        <v>109</v>
      </c>
      <c r="D151" s="53">
        <v>1</v>
      </c>
      <c r="E151" s="53" t="s">
        <v>393</v>
      </c>
      <c r="F151" s="53" t="s">
        <v>145</v>
      </c>
      <c r="G151" s="53" t="s">
        <v>146</v>
      </c>
      <c r="H151" s="53" t="s">
        <v>147</v>
      </c>
      <c r="I151" s="53" t="s">
        <v>148</v>
      </c>
      <c r="J151" s="53" t="s">
        <v>394</v>
      </c>
    </row>
    <row r="152" spans="1:10" ht="15" customHeight="1" x14ac:dyDescent="0.35">
      <c r="A152" s="53" t="s">
        <v>142</v>
      </c>
      <c r="B152" s="53" t="s">
        <v>143</v>
      </c>
      <c r="C152" s="53" t="s">
        <v>109</v>
      </c>
      <c r="D152" s="53">
        <v>1</v>
      </c>
      <c r="E152" s="53" t="s">
        <v>395</v>
      </c>
      <c r="F152" s="53" t="s">
        <v>145</v>
      </c>
      <c r="G152" s="53" t="s">
        <v>146</v>
      </c>
      <c r="H152" s="53" t="s">
        <v>147</v>
      </c>
      <c r="I152" s="53" t="s">
        <v>148</v>
      </c>
      <c r="J152" s="53" t="s">
        <v>396</v>
      </c>
    </row>
    <row r="153" spans="1:10" ht="15" customHeight="1" x14ac:dyDescent="0.35">
      <c r="A153" s="53" t="s">
        <v>142</v>
      </c>
      <c r="B153" s="53" t="s">
        <v>143</v>
      </c>
      <c r="C153" s="53" t="s">
        <v>109</v>
      </c>
      <c r="D153" s="53">
        <v>1</v>
      </c>
      <c r="E153" s="53" t="s">
        <v>397</v>
      </c>
      <c r="F153" s="53" t="s">
        <v>145</v>
      </c>
      <c r="G153" s="53" t="s">
        <v>146</v>
      </c>
      <c r="H153" s="53" t="s">
        <v>147</v>
      </c>
      <c r="I153" s="53" t="s">
        <v>148</v>
      </c>
      <c r="J153" s="53" t="s">
        <v>394</v>
      </c>
    </row>
    <row r="154" spans="1:10" ht="15" customHeight="1" x14ac:dyDescent="0.35">
      <c r="A154" s="53" t="s">
        <v>142</v>
      </c>
      <c r="B154" s="53" t="s">
        <v>143</v>
      </c>
      <c r="C154" s="53" t="s">
        <v>109</v>
      </c>
      <c r="D154" s="53">
        <v>1</v>
      </c>
      <c r="E154" s="53" t="s">
        <v>398</v>
      </c>
      <c r="F154" s="53" t="s">
        <v>145</v>
      </c>
      <c r="G154" s="53" t="s">
        <v>146</v>
      </c>
      <c r="H154" s="53" t="s">
        <v>147</v>
      </c>
      <c r="I154" s="53" t="s">
        <v>148</v>
      </c>
      <c r="J154" s="53" t="s">
        <v>399</v>
      </c>
    </row>
    <row r="155" spans="1:10" ht="15" customHeight="1" x14ac:dyDescent="0.35">
      <c r="A155" s="53" t="s">
        <v>142</v>
      </c>
      <c r="B155" s="53" t="s">
        <v>143</v>
      </c>
      <c r="C155" s="53" t="s">
        <v>109</v>
      </c>
      <c r="D155" s="53">
        <v>1</v>
      </c>
      <c r="E155" s="53" t="s">
        <v>400</v>
      </c>
      <c r="F155" s="53" t="s">
        <v>145</v>
      </c>
      <c r="G155" s="53" t="s">
        <v>146</v>
      </c>
      <c r="H155" s="53" t="s">
        <v>147</v>
      </c>
      <c r="I155" s="53" t="s">
        <v>148</v>
      </c>
      <c r="J155" s="53" t="s">
        <v>401</v>
      </c>
    </row>
    <row r="156" spans="1:10" ht="15" customHeight="1" x14ac:dyDescent="0.35">
      <c r="A156" s="53" t="s">
        <v>142</v>
      </c>
      <c r="B156" s="53" t="s">
        <v>143</v>
      </c>
      <c r="C156" s="53" t="s">
        <v>109</v>
      </c>
      <c r="D156" s="53">
        <v>1</v>
      </c>
      <c r="E156" s="53" t="s">
        <v>402</v>
      </c>
      <c r="F156" s="53" t="s">
        <v>145</v>
      </c>
      <c r="G156" s="53" t="s">
        <v>146</v>
      </c>
      <c r="H156" s="53" t="s">
        <v>147</v>
      </c>
      <c r="I156" s="53" t="s">
        <v>148</v>
      </c>
      <c r="J156" s="53" t="s">
        <v>403</v>
      </c>
    </row>
    <row r="157" spans="1:10" ht="15" customHeight="1" x14ac:dyDescent="0.35">
      <c r="A157" s="53" t="s">
        <v>142</v>
      </c>
      <c r="B157" s="53" t="s">
        <v>143</v>
      </c>
      <c r="C157" s="53" t="s">
        <v>109</v>
      </c>
      <c r="D157" s="53">
        <v>1</v>
      </c>
      <c r="E157" s="53" t="s">
        <v>404</v>
      </c>
      <c r="F157" s="53" t="s">
        <v>145</v>
      </c>
      <c r="G157" s="53" t="s">
        <v>146</v>
      </c>
      <c r="H157" s="53" t="s">
        <v>147</v>
      </c>
      <c r="I157" s="53" t="s">
        <v>148</v>
      </c>
      <c r="J157" s="53" t="s">
        <v>392</v>
      </c>
    </row>
    <row r="158" spans="1:10" ht="15" customHeight="1" x14ac:dyDescent="0.35">
      <c r="A158" s="53" t="s">
        <v>142</v>
      </c>
      <c r="B158" s="53" t="s">
        <v>143</v>
      </c>
      <c r="C158" s="53" t="s">
        <v>109</v>
      </c>
      <c r="D158" s="53">
        <v>1</v>
      </c>
      <c r="E158" s="53" t="s">
        <v>405</v>
      </c>
      <c r="F158" s="53" t="s">
        <v>145</v>
      </c>
      <c r="G158" s="53" t="s">
        <v>146</v>
      </c>
      <c r="H158" s="53" t="s">
        <v>147</v>
      </c>
      <c r="I158" s="53" t="s">
        <v>148</v>
      </c>
      <c r="J158" s="53" t="s">
        <v>406</v>
      </c>
    </row>
    <row r="159" spans="1:10" ht="15" customHeight="1" x14ac:dyDescent="0.35">
      <c r="A159" s="53" t="s">
        <v>142</v>
      </c>
      <c r="B159" s="53" t="s">
        <v>143</v>
      </c>
      <c r="C159" s="53" t="s">
        <v>109</v>
      </c>
      <c r="D159" s="53">
        <v>1</v>
      </c>
      <c r="E159" s="53" t="s">
        <v>407</v>
      </c>
      <c r="F159" s="53" t="s">
        <v>145</v>
      </c>
      <c r="G159" s="53" t="s">
        <v>146</v>
      </c>
      <c r="H159" s="53" t="s">
        <v>147</v>
      </c>
      <c r="I159" s="53" t="s">
        <v>148</v>
      </c>
      <c r="J159" s="53" t="s">
        <v>408</v>
      </c>
    </row>
    <row r="160" spans="1:10" ht="15" customHeight="1" x14ac:dyDescent="0.35">
      <c r="A160" s="53" t="s">
        <v>142</v>
      </c>
      <c r="B160" s="53" t="s">
        <v>143</v>
      </c>
      <c r="C160" s="53" t="s">
        <v>109</v>
      </c>
      <c r="D160" s="53">
        <v>1</v>
      </c>
      <c r="E160" s="53" t="s">
        <v>409</v>
      </c>
      <c r="F160" s="53" t="s">
        <v>145</v>
      </c>
      <c r="G160" s="53" t="s">
        <v>146</v>
      </c>
      <c r="H160" s="53" t="s">
        <v>147</v>
      </c>
      <c r="I160" s="53" t="s">
        <v>148</v>
      </c>
      <c r="J160" s="53" t="s">
        <v>410</v>
      </c>
    </row>
    <row r="161" spans="1:10" ht="15" customHeight="1" x14ac:dyDescent="0.35">
      <c r="A161" s="53" t="s">
        <v>142</v>
      </c>
      <c r="B161" s="53" t="s">
        <v>143</v>
      </c>
      <c r="C161" s="53" t="s">
        <v>109</v>
      </c>
      <c r="D161" s="53">
        <v>1</v>
      </c>
      <c r="E161" s="53" t="s">
        <v>411</v>
      </c>
      <c r="F161" s="53" t="s">
        <v>145</v>
      </c>
      <c r="G161" s="53" t="s">
        <v>146</v>
      </c>
      <c r="H161" s="53" t="s">
        <v>147</v>
      </c>
      <c r="I161" s="53" t="s">
        <v>148</v>
      </c>
      <c r="J161" s="53" t="s">
        <v>412</v>
      </c>
    </row>
    <row r="162" spans="1:10" ht="15" customHeight="1" x14ac:dyDescent="0.35">
      <c r="A162" s="53" t="s">
        <v>142</v>
      </c>
      <c r="B162" s="53" t="s">
        <v>143</v>
      </c>
      <c r="C162" s="53" t="s">
        <v>109</v>
      </c>
      <c r="D162" s="53">
        <v>1</v>
      </c>
      <c r="E162" s="53" t="s">
        <v>413</v>
      </c>
      <c r="F162" s="53" t="s">
        <v>145</v>
      </c>
      <c r="G162" s="53" t="s">
        <v>146</v>
      </c>
      <c r="H162" s="53" t="s">
        <v>147</v>
      </c>
      <c r="I162" s="53" t="s">
        <v>148</v>
      </c>
      <c r="J162" s="53" t="s">
        <v>414</v>
      </c>
    </row>
    <row r="163" spans="1:10" ht="15" customHeight="1" x14ac:dyDescent="0.35">
      <c r="A163" s="53" t="s">
        <v>142</v>
      </c>
      <c r="B163" s="53" t="s">
        <v>143</v>
      </c>
      <c r="C163" s="53" t="s">
        <v>109</v>
      </c>
      <c r="D163" s="53">
        <v>1</v>
      </c>
      <c r="E163" s="53" t="s">
        <v>415</v>
      </c>
      <c r="F163" s="53" t="s">
        <v>145</v>
      </c>
      <c r="G163" s="53" t="s">
        <v>146</v>
      </c>
      <c r="H163" s="53" t="s">
        <v>147</v>
      </c>
      <c r="I163" s="53" t="s">
        <v>148</v>
      </c>
      <c r="J163" s="53" t="s">
        <v>416</v>
      </c>
    </row>
    <row r="164" spans="1:10" ht="15" customHeight="1" x14ac:dyDescent="0.35">
      <c r="A164" s="53" t="s">
        <v>142</v>
      </c>
      <c r="B164" s="53" t="s">
        <v>143</v>
      </c>
      <c r="C164" s="53" t="s">
        <v>109</v>
      </c>
      <c r="D164" s="53">
        <v>1</v>
      </c>
      <c r="E164" s="53" t="s">
        <v>417</v>
      </c>
      <c r="F164" s="53" t="s">
        <v>145</v>
      </c>
      <c r="G164" s="53" t="s">
        <v>146</v>
      </c>
      <c r="H164" s="53" t="s">
        <v>147</v>
      </c>
      <c r="I164" s="53" t="s">
        <v>148</v>
      </c>
      <c r="J164" s="53" t="s">
        <v>418</v>
      </c>
    </row>
    <row r="165" spans="1:10" ht="15" customHeight="1" x14ac:dyDescent="0.35">
      <c r="A165" s="53" t="s">
        <v>142</v>
      </c>
      <c r="B165" s="53" t="s">
        <v>143</v>
      </c>
      <c r="C165" s="53" t="s">
        <v>109</v>
      </c>
      <c r="D165" s="53">
        <v>1</v>
      </c>
      <c r="E165" s="53" t="s">
        <v>419</v>
      </c>
      <c r="F165" s="53" t="s">
        <v>145</v>
      </c>
      <c r="G165" s="53" t="s">
        <v>146</v>
      </c>
      <c r="H165" s="53" t="s">
        <v>147</v>
      </c>
      <c r="I165" s="53" t="s">
        <v>148</v>
      </c>
      <c r="J165" s="53" t="s">
        <v>420</v>
      </c>
    </row>
    <row r="166" spans="1:10" ht="15" customHeight="1" x14ac:dyDescent="0.35">
      <c r="A166" s="53" t="s">
        <v>142</v>
      </c>
      <c r="B166" s="53" t="s">
        <v>143</v>
      </c>
      <c r="C166" s="53" t="s">
        <v>109</v>
      </c>
      <c r="D166" s="53">
        <v>1</v>
      </c>
      <c r="E166" s="53" t="s">
        <v>421</v>
      </c>
      <c r="F166" s="53" t="s">
        <v>145</v>
      </c>
      <c r="G166" s="53" t="s">
        <v>146</v>
      </c>
      <c r="H166" s="53" t="s">
        <v>147</v>
      </c>
      <c r="I166" s="53" t="s">
        <v>148</v>
      </c>
      <c r="J166" s="53" t="s">
        <v>422</v>
      </c>
    </row>
    <row r="167" spans="1:10" ht="15" customHeight="1" x14ac:dyDescent="0.35">
      <c r="A167" s="53" t="s">
        <v>142</v>
      </c>
      <c r="B167" s="53" t="s">
        <v>143</v>
      </c>
      <c r="C167" s="53" t="s">
        <v>109</v>
      </c>
      <c r="D167" s="53">
        <v>1</v>
      </c>
      <c r="E167" s="53" t="s">
        <v>224</v>
      </c>
      <c r="F167" s="53" t="s">
        <v>145</v>
      </c>
      <c r="G167" s="53" t="s">
        <v>146</v>
      </c>
      <c r="H167" s="53" t="s">
        <v>147</v>
      </c>
      <c r="I167" s="53" t="s">
        <v>148</v>
      </c>
      <c r="J167" s="53" t="s">
        <v>423</v>
      </c>
    </row>
    <row r="168" spans="1:10" ht="15" customHeight="1" x14ac:dyDescent="0.35">
      <c r="A168" s="53" t="s">
        <v>142</v>
      </c>
      <c r="B168" s="53" t="s">
        <v>424</v>
      </c>
      <c r="C168" s="53" t="s">
        <v>109</v>
      </c>
      <c r="D168" s="53">
        <v>1</v>
      </c>
      <c r="E168" s="53"/>
      <c r="F168" s="53" t="s">
        <v>145</v>
      </c>
      <c r="G168" s="53" t="s">
        <v>146</v>
      </c>
      <c r="H168" s="53" t="s">
        <v>425</v>
      </c>
      <c r="I168" s="53" t="s">
        <v>148</v>
      </c>
      <c r="J168" s="53" t="s">
        <v>426</v>
      </c>
    </row>
    <row r="169" spans="1:10" ht="15" customHeight="1" x14ac:dyDescent="0.35">
      <c r="A169" s="53" t="s">
        <v>142</v>
      </c>
      <c r="B169" s="53" t="s">
        <v>143</v>
      </c>
      <c r="C169" s="53" t="s">
        <v>109</v>
      </c>
      <c r="D169" s="53">
        <v>1</v>
      </c>
      <c r="E169" s="53" t="s">
        <v>427</v>
      </c>
      <c r="F169" s="53" t="s">
        <v>145</v>
      </c>
      <c r="G169" s="53" t="s">
        <v>146</v>
      </c>
      <c r="H169" s="53" t="s">
        <v>147</v>
      </c>
      <c r="I169" s="53" t="s">
        <v>148</v>
      </c>
      <c r="J169" s="53" t="s">
        <v>428</v>
      </c>
    </row>
    <row r="170" spans="1:10" ht="15" customHeight="1" x14ac:dyDescent="0.35">
      <c r="A170" s="53" t="s">
        <v>142</v>
      </c>
      <c r="B170" s="53" t="s">
        <v>143</v>
      </c>
      <c r="C170" s="53" t="s">
        <v>109</v>
      </c>
      <c r="D170" s="53">
        <v>1</v>
      </c>
      <c r="E170" s="53" t="s">
        <v>429</v>
      </c>
      <c r="F170" s="53" t="s">
        <v>145</v>
      </c>
      <c r="G170" s="53" t="s">
        <v>146</v>
      </c>
      <c r="H170" s="53" t="s">
        <v>147</v>
      </c>
      <c r="I170" s="53" t="s">
        <v>148</v>
      </c>
      <c r="J170" s="53" t="s">
        <v>430</v>
      </c>
    </row>
    <row r="171" spans="1:10" ht="15" customHeight="1" x14ac:dyDescent="0.35">
      <c r="A171" s="53" t="s">
        <v>142</v>
      </c>
      <c r="B171" s="53" t="s">
        <v>143</v>
      </c>
      <c r="C171" s="53" t="s">
        <v>109</v>
      </c>
      <c r="D171" s="53">
        <v>1</v>
      </c>
      <c r="E171" s="53" t="s">
        <v>431</v>
      </c>
      <c r="F171" s="53" t="s">
        <v>145</v>
      </c>
      <c r="G171" s="53" t="s">
        <v>146</v>
      </c>
      <c r="H171" s="53" t="s">
        <v>147</v>
      </c>
      <c r="I171" s="53" t="s">
        <v>148</v>
      </c>
      <c r="J171" s="53" t="s">
        <v>432</v>
      </c>
    </row>
    <row r="172" spans="1:10" ht="15" customHeight="1" x14ac:dyDescent="0.35">
      <c r="A172" s="53" t="s">
        <v>142</v>
      </c>
      <c r="B172" s="53" t="s">
        <v>42</v>
      </c>
      <c r="C172" s="53" t="s">
        <v>109</v>
      </c>
      <c r="D172" s="53">
        <v>1</v>
      </c>
      <c r="E172" s="53" t="s">
        <v>433</v>
      </c>
      <c r="F172" s="53" t="s">
        <v>151</v>
      </c>
      <c r="G172" s="53" t="s">
        <v>146</v>
      </c>
      <c r="H172" s="53" t="s">
        <v>434</v>
      </c>
      <c r="I172" s="53" t="s">
        <v>148</v>
      </c>
      <c r="J172" s="53" t="s">
        <v>435</v>
      </c>
    </row>
    <row r="173" spans="1:10" ht="15" customHeight="1" x14ac:dyDescent="0.35">
      <c r="A173" s="53" t="s">
        <v>142</v>
      </c>
      <c r="B173" s="53" t="s">
        <v>42</v>
      </c>
      <c r="C173" s="53" t="s">
        <v>109</v>
      </c>
      <c r="D173" s="53">
        <v>1</v>
      </c>
      <c r="E173" s="53" t="s">
        <v>433</v>
      </c>
      <c r="F173" s="53" t="s">
        <v>151</v>
      </c>
      <c r="G173" s="53" t="s">
        <v>146</v>
      </c>
      <c r="H173" s="53" t="s">
        <v>434</v>
      </c>
      <c r="I173" s="53" t="s">
        <v>148</v>
      </c>
      <c r="J173" s="53" t="s">
        <v>436</v>
      </c>
    </row>
    <row r="174" spans="1:10" ht="15" customHeight="1" x14ac:dyDescent="0.35">
      <c r="A174" s="53" t="s">
        <v>142</v>
      </c>
      <c r="B174" s="53" t="s">
        <v>42</v>
      </c>
      <c r="C174" s="53" t="s">
        <v>109</v>
      </c>
      <c r="D174" s="53">
        <v>1</v>
      </c>
      <c r="E174" s="53" t="s">
        <v>433</v>
      </c>
      <c r="F174" s="53" t="s">
        <v>151</v>
      </c>
      <c r="G174" s="53" t="s">
        <v>146</v>
      </c>
      <c r="H174" s="53" t="s">
        <v>434</v>
      </c>
      <c r="I174" s="53" t="s">
        <v>148</v>
      </c>
      <c r="J174" s="53" t="s">
        <v>437</v>
      </c>
    </row>
    <row r="175" spans="1:10" ht="15" customHeight="1" x14ac:dyDescent="0.35">
      <c r="A175" s="53" t="s">
        <v>142</v>
      </c>
      <c r="B175" s="53" t="s">
        <v>42</v>
      </c>
      <c r="C175" s="53" t="s">
        <v>109</v>
      </c>
      <c r="D175" s="53">
        <v>1</v>
      </c>
      <c r="E175" s="53" t="s">
        <v>433</v>
      </c>
      <c r="F175" s="53" t="s">
        <v>151</v>
      </c>
      <c r="G175" s="53" t="s">
        <v>146</v>
      </c>
      <c r="H175" s="53" t="s">
        <v>434</v>
      </c>
      <c r="I175" s="53" t="s">
        <v>148</v>
      </c>
      <c r="J175" s="53" t="s">
        <v>438</v>
      </c>
    </row>
    <row r="176" spans="1:10" ht="15" customHeight="1" x14ac:dyDescent="0.35">
      <c r="A176" s="53" t="s">
        <v>142</v>
      </c>
      <c r="B176" s="53" t="s">
        <v>40</v>
      </c>
      <c r="C176" s="53" t="s">
        <v>109</v>
      </c>
      <c r="D176" s="53">
        <v>1</v>
      </c>
      <c r="E176" s="53" t="s">
        <v>439</v>
      </c>
      <c r="F176" s="53" t="s">
        <v>151</v>
      </c>
      <c r="G176" s="53" t="s">
        <v>146</v>
      </c>
      <c r="H176" s="53" t="s">
        <v>440</v>
      </c>
      <c r="I176" s="53" t="s">
        <v>148</v>
      </c>
      <c r="J176" s="53" t="s">
        <v>441</v>
      </c>
    </row>
    <row r="177" spans="1:10" ht="15" customHeight="1" x14ac:dyDescent="0.35">
      <c r="A177" s="53" t="s">
        <v>142</v>
      </c>
      <c r="B177" s="53" t="s">
        <v>40</v>
      </c>
      <c r="C177" s="53" t="s">
        <v>109</v>
      </c>
      <c r="D177" s="53">
        <v>1</v>
      </c>
      <c r="E177" s="53" t="s">
        <v>442</v>
      </c>
      <c r="F177" s="53" t="s">
        <v>151</v>
      </c>
      <c r="G177" s="53" t="s">
        <v>146</v>
      </c>
      <c r="H177" s="53" t="s">
        <v>440</v>
      </c>
      <c r="I177" s="53" t="s">
        <v>148</v>
      </c>
      <c r="J177" s="53" t="s">
        <v>443</v>
      </c>
    </row>
    <row r="178" spans="1:10" ht="15" customHeight="1" x14ac:dyDescent="0.35">
      <c r="A178" s="53" t="s">
        <v>142</v>
      </c>
      <c r="B178" s="53" t="s">
        <v>40</v>
      </c>
      <c r="C178" s="53" t="s">
        <v>109</v>
      </c>
      <c r="D178" s="53">
        <v>1</v>
      </c>
      <c r="E178" s="53" t="s">
        <v>444</v>
      </c>
      <c r="F178" s="53" t="s">
        <v>151</v>
      </c>
      <c r="G178" s="53" t="s">
        <v>146</v>
      </c>
      <c r="H178" s="53" t="s">
        <v>440</v>
      </c>
      <c r="I178" s="53" t="s">
        <v>148</v>
      </c>
      <c r="J178" s="53" t="s">
        <v>445</v>
      </c>
    </row>
    <row r="179" spans="1:10" ht="15" customHeight="1" x14ac:dyDescent="0.35">
      <c r="A179" s="53" t="s">
        <v>142</v>
      </c>
      <c r="B179" s="53" t="s">
        <v>40</v>
      </c>
      <c r="C179" s="53" t="s">
        <v>109</v>
      </c>
      <c r="D179" s="53">
        <v>1</v>
      </c>
      <c r="E179" s="53" t="s">
        <v>446</v>
      </c>
      <c r="F179" s="53" t="s">
        <v>151</v>
      </c>
      <c r="G179" s="53" t="s">
        <v>146</v>
      </c>
      <c r="H179" s="53" t="s">
        <v>440</v>
      </c>
      <c r="I179" s="53" t="s">
        <v>148</v>
      </c>
      <c r="J179" s="53" t="s">
        <v>447</v>
      </c>
    </row>
    <row r="180" spans="1:10" ht="15" customHeight="1" x14ac:dyDescent="0.35">
      <c r="A180" s="53" t="s">
        <v>142</v>
      </c>
      <c r="B180" s="53" t="s">
        <v>40</v>
      </c>
      <c r="C180" s="53" t="s">
        <v>109</v>
      </c>
      <c r="D180" s="53">
        <v>1</v>
      </c>
      <c r="E180" s="53" t="s">
        <v>448</v>
      </c>
      <c r="F180" s="53" t="s">
        <v>151</v>
      </c>
      <c r="G180" s="53" t="s">
        <v>146</v>
      </c>
      <c r="H180" s="53" t="s">
        <v>440</v>
      </c>
      <c r="I180" s="53" t="s">
        <v>148</v>
      </c>
      <c r="J180" s="53" t="s">
        <v>449</v>
      </c>
    </row>
    <row r="181" spans="1:10" ht="15" customHeight="1" x14ac:dyDescent="0.35">
      <c r="A181" s="53" t="s">
        <v>142</v>
      </c>
      <c r="B181" s="53" t="s">
        <v>40</v>
      </c>
      <c r="C181" s="53" t="s">
        <v>109</v>
      </c>
      <c r="D181" s="53">
        <v>1</v>
      </c>
      <c r="E181" s="53" t="s">
        <v>450</v>
      </c>
      <c r="F181" s="53" t="s">
        <v>151</v>
      </c>
      <c r="G181" s="53" t="s">
        <v>146</v>
      </c>
      <c r="H181" s="53" t="s">
        <v>440</v>
      </c>
      <c r="I181" s="53" t="s">
        <v>148</v>
      </c>
      <c r="J181" s="53" t="s">
        <v>451</v>
      </c>
    </row>
    <row r="182" spans="1:10" ht="15" customHeight="1" x14ac:dyDescent="0.35">
      <c r="A182" s="53" t="s">
        <v>142</v>
      </c>
      <c r="B182" s="53" t="s">
        <v>40</v>
      </c>
      <c r="C182" s="53" t="s">
        <v>109</v>
      </c>
      <c r="D182" s="53">
        <v>1</v>
      </c>
      <c r="E182" s="53" t="s">
        <v>452</v>
      </c>
      <c r="F182" s="53" t="s">
        <v>151</v>
      </c>
      <c r="G182" s="53" t="s">
        <v>146</v>
      </c>
      <c r="H182" s="53" t="s">
        <v>440</v>
      </c>
      <c r="I182" s="53" t="s">
        <v>148</v>
      </c>
      <c r="J182" s="53" t="s">
        <v>453</v>
      </c>
    </row>
    <row r="183" spans="1:10" ht="15" customHeight="1" x14ac:dyDescent="0.35">
      <c r="A183" s="53" t="s">
        <v>142</v>
      </c>
      <c r="B183" s="53" t="s">
        <v>40</v>
      </c>
      <c r="C183" s="53" t="s">
        <v>109</v>
      </c>
      <c r="D183" s="53">
        <v>1</v>
      </c>
      <c r="E183" s="53" t="s">
        <v>454</v>
      </c>
      <c r="F183" s="53" t="s">
        <v>157</v>
      </c>
      <c r="G183" s="53" t="s">
        <v>158</v>
      </c>
      <c r="H183" s="53" t="s">
        <v>440</v>
      </c>
      <c r="I183" s="53" t="s">
        <v>148</v>
      </c>
      <c r="J183" s="53" t="s">
        <v>455</v>
      </c>
    </row>
    <row r="184" spans="1:10" ht="15" customHeight="1" x14ac:dyDescent="0.35">
      <c r="A184" s="53" t="s">
        <v>142</v>
      </c>
      <c r="B184" s="53" t="s">
        <v>40</v>
      </c>
      <c r="C184" s="53" t="s">
        <v>109</v>
      </c>
      <c r="D184" s="53">
        <v>1</v>
      </c>
      <c r="E184" s="53" t="s">
        <v>456</v>
      </c>
      <c r="F184" s="53" t="s">
        <v>151</v>
      </c>
      <c r="G184" s="53" t="s">
        <v>146</v>
      </c>
      <c r="H184" s="53" t="s">
        <v>440</v>
      </c>
      <c r="I184" s="53" t="s">
        <v>148</v>
      </c>
      <c r="J184" s="53" t="s">
        <v>453</v>
      </c>
    </row>
    <row r="185" spans="1:10" ht="15" customHeight="1" x14ac:dyDescent="0.35">
      <c r="A185" s="53" t="s">
        <v>142</v>
      </c>
      <c r="B185" s="53" t="s">
        <v>40</v>
      </c>
      <c r="C185" s="53" t="s">
        <v>109</v>
      </c>
      <c r="D185" s="53">
        <v>1</v>
      </c>
      <c r="E185" s="53" t="s">
        <v>457</v>
      </c>
      <c r="F185" s="53" t="s">
        <v>151</v>
      </c>
      <c r="G185" s="53" t="s">
        <v>146</v>
      </c>
      <c r="H185" s="53" t="s">
        <v>440</v>
      </c>
      <c r="I185" s="53" t="s">
        <v>148</v>
      </c>
      <c r="J185" s="53" t="s">
        <v>458</v>
      </c>
    </row>
    <row r="186" spans="1:10" ht="15" customHeight="1" x14ac:dyDescent="0.35">
      <c r="A186" s="53" t="s">
        <v>142</v>
      </c>
      <c r="B186" s="53" t="s">
        <v>40</v>
      </c>
      <c r="C186" s="53" t="s">
        <v>109</v>
      </c>
      <c r="D186" s="53">
        <v>1</v>
      </c>
      <c r="E186" s="53" t="s">
        <v>459</v>
      </c>
      <c r="F186" s="53" t="s">
        <v>151</v>
      </c>
      <c r="G186" s="53" t="s">
        <v>146</v>
      </c>
      <c r="H186" s="53" t="s">
        <v>440</v>
      </c>
      <c r="I186" s="53" t="s">
        <v>148</v>
      </c>
      <c r="J186" s="53" t="s">
        <v>460</v>
      </c>
    </row>
    <row r="187" spans="1:10" ht="15" customHeight="1" x14ac:dyDescent="0.35">
      <c r="A187" s="53" t="s">
        <v>142</v>
      </c>
      <c r="B187" s="53" t="s">
        <v>40</v>
      </c>
      <c r="C187" s="53" t="s">
        <v>109</v>
      </c>
      <c r="D187" s="53">
        <v>1</v>
      </c>
      <c r="E187" s="53" t="s">
        <v>461</v>
      </c>
      <c r="F187" s="53" t="s">
        <v>151</v>
      </c>
      <c r="G187" s="53" t="s">
        <v>146</v>
      </c>
      <c r="H187" s="53" t="s">
        <v>440</v>
      </c>
      <c r="I187" s="53" t="s">
        <v>148</v>
      </c>
      <c r="J187" s="53" t="s">
        <v>462</v>
      </c>
    </row>
    <row r="188" spans="1:10" ht="15" customHeight="1" x14ac:dyDescent="0.35">
      <c r="A188" s="53" t="s">
        <v>142</v>
      </c>
      <c r="B188" s="53" t="s">
        <v>40</v>
      </c>
      <c r="C188" s="53" t="s">
        <v>109</v>
      </c>
      <c r="D188" s="53">
        <v>1</v>
      </c>
      <c r="E188" s="53" t="s">
        <v>463</v>
      </c>
      <c r="F188" s="53" t="s">
        <v>157</v>
      </c>
      <c r="G188" s="53" t="s">
        <v>158</v>
      </c>
      <c r="H188" s="53" t="s">
        <v>440</v>
      </c>
      <c r="I188" s="53" t="s">
        <v>148</v>
      </c>
      <c r="J188" s="53" t="s">
        <v>455</v>
      </c>
    </row>
    <row r="189" spans="1:10" ht="15" customHeight="1" x14ac:dyDescent="0.35">
      <c r="A189" s="53" t="s">
        <v>142</v>
      </c>
      <c r="B189" s="53" t="s">
        <v>38</v>
      </c>
      <c r="C189" s="53" t="s">
        <v>109</v>
      </c>
      <c r="D189" s="53">
        <v>1</v>
      </c>
      <c r="E189" s="53" t="s">
        <v>464</v>
      </c>
      <c r="F189" s="53" t="s">
        <v>151</v>
      </c>
      <c r="G189" s="53" t="s">
        <v>146</v>
      </c>
      <c r="H189" s="53" t="s">
        <v>465</v>
      </c>
      <c r="I189" s="53" t="s">
        <v>148</v>
      </c>
      <c r="J189" s="53" t="s">
        <v>466</v>
      </c>
    </row>
    <row r="190" spans="1:10" ht="15" customHeight="1" x14ac:dyDescent="0.35">
      <c r="A190" s="53" t="s">
        <v>142</v>
      </c>
      <c r="B190" s="53" t="s">
        <v>38</v>
      </c>
      <c r="C190" s="53" t="s">
        <v>109</v>
      </c>
      <c r="D190" s="53">
        <v>1</v>
      </c>
      <c r="E190" s="53" t="s">
        <v>467</v>
      </c>
      <c r="F190" s="53" t="s">
        <v>151</v>
      </c>
      <c r="G190" s="53" t="s">
        <v>146</v>
      </c>
      <c r="H190" s="53" t="s">
        <v>465</v>
      </c>
      <c r="I190" s="53" t="s">
        <v>148</v>
      </c>
      <c r="J190" s="53" t="s">
        <v>468</v>
      </c>
    </row>
    <row r="191" spans="1:10" ht="15" customHeight="1" x14ac:dyDescent="0.35">
      <c r="A191" s="53" t="s">
        <v>142</v>
      </c>
      <c r="B191" s="53" t="s">
        <v>38</v>
      </c>
      <c r="C191" s="53" t="s">
        <v>109</v>
      </c>
      <c r="D191" s="53">
        <v>1</v>
      </c>
      <c r="E191" s="53" t="s">
        <v>469</v>
      </c>
      <c r="F191" s="53" t="s">
        <v>151</v>
      </c>
      <c r="G191" s="53" t="s">
        <v>146</v>
      </c>
      <c r="H191" s="53" t="s">
        <v>465</v>
      </c>
      <c r="I191" s="53" t="s">
        <v>148</v>
      </c>
      <c r="J191" s="53" t="s">
        <v>470</v>
      </c>
    </row>
    <row r="192" spans="1:10" ht="15" customHeight="1" x14ac:dyDescent="0.35">
      <c r="A192" s="53" t="s">
        <v>142</v>
      </c>
      <c r="B192" s="53" t="s">
        <v>38</v>
      </c>
      <c r="C192" s="53" t="s">
        <v>109</v>
      </c>
      <c r="D192" s="53">
        <v>1</v>
      </c>
      <c r="E192" s="53" t="s">
        <v>471</v>
      </c>
      <c r="F192" s="53" t="s">
        <v>151</v>
      </c>
      <c r="G192" s="53" t="s">
        <v>146</v>
      </c>
      <c r="H192" s="53" t="s">
        <v>465</v>
      </c>
      <c r="I192" s="53" t="s">
        <v>148</v>
      </c>
      <c r="J192" s="53" t="s">
        <v>472</v>
      </c>
    </row>
    <row r="193" spans="1:10" ht="15" customHeight="1" x14ac:dyDescent="0.35">
      <c r="A193" s="53" t="s">
        <v>142</v>
      </c>
      <c r="B193" s="53" t="s">
        <v>38</v>
      </c>
      <c r="C193" s="53" t="s">
        <v>109</v>
      </c>
      <c r="D193" s="53">
        <v>1</v>
      </c>
      <c r="E193" s="53" t="s">
        <v>473</v>
      </c>
      <c r="F193" s="53" t="s">
        <v>151</v>
      </c>
      <c r="G193" s="53" t="s">
        <v>146</v>
      </c>
      <c r="H193" s="53" t="s">
        <v>465</v>
      </c>
      <c r="I193" s="53" t="s">
        <v>148</v>
      </c>
      <c r="J193" s="53" t="s">
        <v>474</v>
      </c>
    </row>
    <row r="194" spans="1:10" ht="15" customHeight="1" x14ac:dyDescent="0.35">
      <c r="A194" s="53" t="s">
        <v>142</v>
      </c>
      <c r="B194" s="53" t="s">
        <v>38</v>
      </c>
      <c r="C194" s="53" t="s">
        <v>109</v>
      </c>
      <c r="D194" s="53">
        <v>1</v>
      </c>
      <c r="E194" s="53" t="s">
        <v>475</v>
      </c>
      <c r="F194" s="53" t="s">
        <v>151</v>
      </c>
      <c r="G194" s="53" t="s">
        <v>146</v>
      </c>
      <c r="H194" s="53" t="s">
        <v>465</v>
      </c>
      <c r="I194" s="53" t="s">
        <v>148</v>
      </c>
      <c r="J194" s="53" t="s">
        <v>476</v>
      </c>
    </row>
    <row r="195" spans="1:10" ht="15" customHeight="1" x14ac:dyDescent="0.35">
      <c r="A195" s="53" t="s">
        <v>142</v>
      </c>
      <c r="B195" s="53" t="s">
        <v>38</v>
      </c>
      <c r="C195" s="53" t="s">
        <v>109</v>
      </c>
      <c r="D195" s="53">
        <v>1</v>
      </c>
      <c r="E195" s="53" t="s">
        <v>477</v>
      </c>
      <c r="F195" s="53" t="s">
        <v>151</v>
      </c>
      <c r="G195" s="53" t="s">
        <v>146</v>
      </c>
      <c r="H195" s="53" t="s">
        <v>465</v>
      </c>
      <c r="I195" s="53" t="s">
        <v>148</v>
      </c>
      <c r="J195" s="53" t="s">
        <v>478</v>
      </c>
    </row>
    <row r="196" spans="1:10" ht="15" customHeight="1" x14ac:dyDescent="0.35">
      <c r="A196" s="53" t="s">
        <v>142</v>
      </c>
      <c r="B196" s="53" t="s">
        <v>38</v>
      </c>
      <c r="C196" s="53" t="s">
        <v>109</v>
      </c>
      <c r="D196" s="53">
        <v>1</v>
      </c>
      <c r="E196" s="53" t="s">
        <v>479</v>
      </c>
      <c r="F196" s="53" t="s">
        <v>151</v>
      </c>
      <c r="G196" s="53" t="s">
        <v>146</v>
      </c>
      <c r="H196" s="53" t="s">
        <v>465</v>
      </c>
      <c r="I196" s="53" t="s">
        <v>148</v>
      </c>
      <c r="J196" s="53" t="s">
        <v>480</v>
      </c>
    </row>
    <row r="197" spans="1:10" ht="15" customHeight="1" x14ac:dyDescent="0.35">
      <c r="A197" s="53" t="s">
        <v>142</v>
      </c>
      <c r="B197" s="53" t="s">
        <v>38</v>
      </c>
      <c r="C197" s="53" t="s">
        <v>109</v>
      </c>
      <c r="D197" s="53">
        <v>1</v>
      </c>
      <c r="E197" s="53" t="s">
        <v>481</v>
      </c>
      <c r="F197" s="53" t="s">
        <v>151</v>
      </c>
      <c r="G197" s="53" t="s">
        <v>146</v>
      </c>
      <c r="H197" s="53" t="s">
        <v>465</v>
      </c>
      <c r="I197" s="53" t="s">
        <v>148</v>
      </c>
      <c r="J197" s="53" t="s">
        <v>482</v>
      </c>
    </row>
    <row r="198" spans="1:10" ht="15" customHeight="1" x14ac:dyDescent="0.35">
      <c r="A198" s="53" t="s">
        <v>142</v>
      </c>
      <c r="B198" s="53" t="s">
        <v>38</v>
      </c>
      <c r="C198" s="53" t="s">
        <v>109</v>
      </c>
      <c r="D198" s="53">
        <v>1</v>
      </c>
      <c r="E198" s="53" t="s">
        <v>483</v>
      </c>
      <c r="F198" s="53" t="s">
        <v>151</v>
      </c>
      <c r="G198" s="53" t="s">
        <v>146</v>
      </c>
      <c r="H198" s="53" t="s">
        <v>465</v>
      </c>
      <c r="I198" s="53" t="s">
        <v>148</v>
      </c>
      <c r="J198" s="53" t="s">
        <v>484</v>
      </c>
    </row>
    <row r="199" spans="1:10" ht="15" customHeight="1" x14ac:dyDescent="0.35">
      <c r="A199" s="53" t="s">
        <v>142</v>
      </c>
      <c r="B199" s="53" t="s">
        <v>38</v>
      </c>
      <c r="C199" s="53" t="s">
        <v>109</v>
      </c>
      <c r="D199" s="53">
        <v>1</v>
      </c>
      <c r="E199" s="53" t="s">
        <v>485</v>
      </c>
      <c r="F199" s="53" t="s">
        <v>151</v>
      </c>
      <c r="G199" s="53" t="s">
        <v>146</v>
      </c>
      <c r="H199" s="53" t="s">
        <v>465</v>
      </c>
      <c r="I199" s="53" t="s">
        <v>148</v>
      </c>
      <c r="J199" s="53" t="s">
        <v>486</v>
      </c>
    </row>
    <row r="200" spans="1:10" ht="15" customHeight="1" x14ac:dyDescent="0.35">
      <c r="A200" s="53" t="s">
        <v>142</v>
      </c>
      <c r="B200" s="53" t="s">
        <v>38</v>
      </c>
      <c r="C200" s="53" t="s">
        <v>109</v>
      </c>
      <c r="D200" s="53">
        <v>1</v>
      </c>
      <c r="E200" s="53" t="s">
        <v>487</v>
      </c>
      <c r="F200" s="53" t="s">
        <v>151</v>
      </c>
      <c r="G200" s="53" t="s">
        <v>146</v>
      </c>
      <c r="H200" s="53" t="s">
        <v>465</v>
      </c>
      <c r="I200" s="53" t="s">
        <v>148</v>
      </c>
      <c r="J200" s="53" t="s">
        <v>488</v>
      </c>
    </row>
    <row r="201" spans="1:10" ht="15" customHeight="1" x14ac:dyDescent="0.35">
      <c r="A201" s="53" t="s">
        <v>142</v>
      </c>
      <c r="B201" s="53" t="s">
        <v>38</v>
      </c>
      <c r="C201" s="53" t="s">
        <v>109</v>
      </c>
      <c r="D201" s="53">
        <v>1</v>
      </c>
      <c r="E201" s="53" t="s">
        <v>489</v>
      </c>
      <c r="F201" s="53" t="s">
        <v>151</v>
      </c>
      <c r="G201" s="53" t="s">
        <v>146</v>
      </c>
      <c r="H201" s="53" t="s">
        <v>465</v>
      </c>
      <c r="I201" s="53" t="s">
        <v>148</v>
      </c>
      <c r="J201" s="53" t="s">
        <v>490</v>
      </c>
    </row>
    <row r="202" spans="1:10" ht="15" customHeight="1" x14ac:dyDescent="0.35">
      <c r="A202" s="53" t="s">
        <v>142</v>
      </c>
      <c r="B202" s="53" t="s">
        <v>38</v>
      </c>
      <c r="C202" s="53" t="s">
        <v>109</v>
      </c>
      <c r="D202" s="53">
        <v>1</v>
      </c>
      <c r="E202" s="53" t="s">
        <v>491</v>
      </c>
      <c r="F202" s="53" t="s">
        <v>151</v>
      </c>
      <c r="G202" s="53" t="s">
        <v>146</v>
      </c>
      <c r="H202" s="53" t="s">
        <v>465</v>
      </c>
      <c r="I202" s="53" t="s">
        <v>148</v>
      </c>
      <c r="J202" s="53" t="s">
        <v>492</v>
      </c>
    </row>
    <row r="203" spans="1:10" ht="15" customHeight="1" x14ac:dyDescent="0.35">
      <c r="A203" s="53" t="s">
        <v>142</v>
      </c>
      <c r="B203" s="53" t="s">
        <v>424</v>
      </c>
      <c r="C203" s="53" t="s">
        <v>109</v>
      </c>
      <c r="D203" s="53">
        <v>1</v>
      </c>
      <c r="E203" s="53" t="s">
        <v>493</v>
      </c>
      <c r="F203" s="53" t="s">
        <v>145</v>
      </c>
      <c r="G203" s="53" t="s">
        <v>146</v>
      </c>
      <c r="H203" s="53" t="s">
        <v>425</v>
      </c>
      <c r="I203" s="53" t="s">
        <v>148</v>
      </c>
      <c r="J203" s="53" t="s">
        <v>494</v>
      </c>
    </row>
    <row r="204" spans="1:10" ht="15" customHeight="1" x14ac:dyDescent="0.35">
      <c r="A204" s="53" t="s">
        <v>142</v>
      </c>
      <c r="B204" s="53" t="s">
        <v>424</v>
      </c>
      <c r="C204" s="53" t="s">
        <v>109</v>
      </c>
      <c r="D204" s="53">
        <v>1</v>
      </c>
      <c r="E204" s="53" t="s">
        <v>495</v>
      </c>
      <c r="F204" s="53" t="s">
        <v>145</v>
      </c>
      <c r="G204" s="53" t="s">
        <v>146</v>
      </c>
      <c r="H204" s="53" t="s">
        <v>425</v>
      </c>
      <c r="I204" s="53" t="s">
        <v>148</v>
      </c>
      <c r="J204" s="53" t="s">
        <v>496</v>
      </c>
    </row>
    <row r="205" spans="1:10" ht="15" customHeight="1" x14ac:dyDescent="0.35">
      <c r="A205" s="53" t="s">
        <v>142</v>
      </c>
      <c r="B205" s="53" t="s">
        <v>497</v>
      </c>
      <c r="C205" s="53" t="s">
        <v>109</v>
      </c>
      <c r="D205" s="53">
        <v>1</v>
      </c>
      <c r="E205" s="53" t="s">
        <v>498</v>
      </c>
      <c r="F205" s="53" t="s">
        <v>145</v>
      </c>
      <c r="G205" s="53" t="s">
        <v>146</v>
      </c>
      <c r="H205" s="53" t="s">
        <v>499</v>
      </c>
      <c r="I205" s="53" t="s">
        <v>148</v>
      </c>
      <c r="J205" s="53" t="s">
        <v>500</v>
      </c>
    </row>
    <row r="206" spans="1:10" ht="15" customHeight="1" x14ac:dyDescent="0.35">
      <c r="A206" s="53" t="s">
        <v>142</v>
      </c>
      <c r="B206" s="53" t="s">
        <v>497</v>
      </c>
      <c r="C206" s="53" t="s">
        <v>109</v>
      </c>
      <c r="D206" s="53">
        <v>1</v>
      </c>
      <c r="E206" s="53" t="s">
        <v>501</v>
      </c>
      <c r="F206" s="53" t="s">
        <v>145</v>
      </c>
      <c r="G206" s="53" t="s">
        <v>146</v>
      </c>
      <c r="H206" s="53" t="s">
        <v>499</v>
      </c>
      <c r="I206" s="53" t="s">
        <v>148</v>
      </c>
      <c r="J206" s="53" t="s">
        <v>502</v>
      </c>
    </row>
    <row r="207" spans="1:10" ht="15" customHeight="1" x14ac:dyDescent="0.35">
      <c r="A207" s="53" t="s">
        <v>142</v>
      </c>
      <c r="B207" s="53" t="s">
        <v>497</v>
      </c>
      <c r="C207" s="53" t="s">
        <v>109</v>
      </c>
      <c r="D207" s="53">
        <v>1</v>
      </c>
      <c r="E207" s="53" t="s">
        <v>503</v>
      </c>
      <c r="F207" s="53" t="s">
        <v>145</v>
      </c>
      <c r="G207" s="53" t="s">
        <v>146</v>
      </c>
      <c r="H207" s="53" t="s">
        <v>499</v>
      </c>
      <c r="I207" s="53" t="s">
        <v>148</v>
      </c>
      <c r="J207" s="53" t="s">
        <v>504</v>
      </c>
    </row>
    <row r="208" spans="1:10" ht="15" customHeight="1" x14ac:dyDescent="0.35">
      <c r="A208" s="53" t="s">
        <v>142</v>
      </c>
      <c r="B208" s="53" t="s">
        <v>497</v>
      </c>
      <c r="C208" s="53" t="s">
        <v>109</v>
      </c>
      <c r="D208" s="53">
        <v>1</v>
      </c>
      <c r="E208" s="53" t="s">
        <v>505</v>
      </c>
      <c r="F208" s="53" t="s">
        <v>145</v>
      </c>
      <c r="G208" s="53" t="s">
        <v>146</v>
      </c>
      <c r="H208" s="53" t="s">
        <v>499</v>
      </c>
      <c r="I208" s="53" t="s">
        <v>148</v>
      </c>
      <c r="J208" s="53" t="s">
        <v>506</v>
      </c>
    </row>
    <row r="209" spans="1:10" ht="15" customHeight="1" x14ac:dyDescent="0.35">
      <c r="A209" s="53" t="s">
        <v>142</v>
      </c>
      <c r="B209" s="53" t="s">
        <v>497</v>
      </c>
      <c r="C209" s="53" t="s">
        <v>109</v>
      </c>
      <c r="D209" s="53">
        <v>1</v>
      </c>
      <c r="E209" s="53" t="s">
        <v>507</v>
      </c>
      <c r="F209" s="53" t="s">
        <v>145</v>
      </c>
      <c r="G209" s="53" t="s">
        <v>146</v>
      </c>
      <c r="H209" s="53" t="s">
        <v>499</v>
      </c>
      <c r="I209" s="53" t="s">
        <v>148</v>
      </c>
      <c r="J209" s="53" t="s">
        <v>508</v>
      </c>
    </row>
    <row r="210" spans="1:10" ht="15" customHeight="1" x14ac:dyDescent="0.35">
      <c r="A210" s="53" t="s">
        <v>142</v>
      </c>
      <c r="B210" s="53" t="s">
        <v>497</v>
      </c>
      <c r="C210" s="53" t="s">
        <v>109</v>
      </c>
      <c r="D210" s="53">
        <v>1</v>
      </c>
      <c r="E210" s="53" t="s">
        <v>509</v>
      </c>
      <c r="F210" s="53" t="s">
        <v>145</v>
      </c>
      <c r="G210" s="53" t="s">
        <v>146</v>
      </c>
      <c r="H210" s="53" t="s">
        <v>499</v>
      </c>
      <c r="I210" s="53" t="s">
        <v>148</v>
      </c>
      <c r="J210" s="53" t="s">
        <v>510</v>
      </c>
    </row>
    <row r="211" spans="1:10" ht="15" customHeight="1" x14ac:dyDescent="0.35">
      <c r="A211" s="53" t="s">
        <v>142</v>
      </c>
      <c r="B211" s="53" t="s">
        <v>497</v>
      </c>
      <c r="C211" s="53" t="s">
        <v>109</v>
      </c>
      <c r="D211" s="53">
        <v>1</v>
      </c>
      <c r="E211" s="53" t="s">
        <v>511</v>
      </c>
      <c r="F211" s="53" t="s">
        <v>145</v>
      </c>
      <c r="G211" s="53" t="s">
        <v>146</v>
      </c>
      <c r="H211" s="53" t="s">
        <v>499</v>
      </c>
      <c r="I211" s="53" t="s">
        <v>148</v>
      </c>
      <c r="J211" s="53" t="s">
        <v>512</v>
      </c>
    </row>
    <row r="212" spans="1:10" ht="15" customHeight="1" x14ac:dyDescent="0.35">
      <c r="A212" s="53" t="s">
        <v>142</v>
      </c>
      <c r="B212" s="53" t="s">
        <v>497</v>
      </c>
      <c r="C212" s="53" t="s">
        <v>109</v>
      </c>
      <c r="D212" s="53">
        <v>1</v>
      </c>
      <c r="E212" s="53" t="s">
        <v>513</v>
      </c>
      <c r="F212" s="53" t="s">
        <v>145</v>
      </c>
      <c r="G212" s="53" t="s">
        <v>146</v>
      </c>
      <c r="H212" s="53" t="s">
        <v>499</v>
      </c>
      <c r="I212" s="53" t="s">
        <v>148</v>
      </c>
      <c r="J212" s="53" t="s">
        <v>514</v>
      </c>
    </row>
    <row r="213" spans="1:10" ht="15" customHeight="1" x14ac:dyDescent="0.35">
      <c r="A213" s="53" t="s">
        <v>142</v>
      </c>
      <c r="B213" s="53" t="s">
        <v>497</v>
      </c>
      <c r="C213" s="53" t="s">
        <v>109</v>
      </c>
      <c r="D213" s="53">
        <v>1</v>
      </c>
      <c r="E213" s="53" t="s">
        <v>515</v>
      </c>
      <c r="F213" s="53" t="s">
        <v>145</v>
      </c>
      <c r="G213" s="53" t="s">
        <v>146</v>
      </c>
      <c r="H213" s="53" t="s">
        <v>499</v>
      </c>
      <c r="I213" s="53" t="s">
        <v>148</v>
      </c>
      <c r="J213" s="53" t="s">
        <v>516</v>
      </c>
    </row>
    <row r="214" spans="1:10" ht="15" customHeight="1" x14ac:dyDescent="0.35">
      <c r="A214" s="53" t="s">
        <v>142</v>
      </c>
      <c r="B214" s="53" t="s">
        <v>497</v>
      </c>
      <c r="C214" s="53" t="s">
        <v>109</v>
      </c>
      <c r="D214" s="53">
        <v>1</v>
      </c>
      <c r="E214" s="53" t="s">
        <v>517</v>
      </c>
      <c r="F214" s="53" t="s">
        <v>145</v>
      </c>
      <c r="G214" s="53" t="s">
        <v>146</v>
      </c>
      <c r="H214" s="53" t="s">
        <v>499</v>
      </c>
      <c r="I214" s="53" t="s">
        <v>148</v>
      </c>
      <c r="J214" s="53" t="s">
        <v>518</v>
      </c>
    </row>
    <row r="215" spans="1:10" ht="15" customHeight="1" x14ac:dyDescent="0.35">
      <c r="A215" s="53" t="s">
        <v>142</v>
      </c>
      <c r="B215" s="53" t="s">
        <v>497</v>
      </c>
      <c r="C215" s="53" t="s">
        <v>109</v>
      </c>
      <c r="D215" s="53">
        <v>1</v>
      </c>
      <c r="E215" s="53" t="s">
        <v>519</v>
      </c>
      <c r="F215" s="53" t="s">
        <v>145</v>
      </c>
      <c r="G215" s="53" t="s">
        <v>146</v>
      </c>
      <c r="H215" s="53" t="s">
        <v>499</v>
      </c>
      <c r="I215" s="53" t="s">
        <v>148</v>
      </c>
      <c r="J215" s="53" t="s">
        <v>520</v>
      </c>
    </row>
    <row r="216" spans="1:10" ht="15" customHeight="1" x14ac:dyDescent="0.35">
      <c r="A216" s="53" t="s">
        <v>142</v>
      </c>
      <c r="B216" s="53" t="s">
        <v>497</v>
      </c>
      <c r="C216" s="53" t="s">
        <v>109</v>
      </c>
      <c r="D216" s="53">
        <v>1</v>
      </c>
      <c r="E216" s="53" t="s">
        <v>521</v>
      </c>
      <c r="F216" s="53" t="s">
        <v>145</v>
      </c>
      <c r="G216" s="53" t="s">
        <v>146</v>
      </c>
      <c r="H216" s="53" t="s">
        <v>499</v>
      </c>
      <c r="I216" s="53" t="s">
        <v>148</v>
      </c>
      <c r="J216" s="53" t="s">
        <v>522</v>
      </c>
    </row>
    <row r="217" spans="1:10" ht="15" customHeight="1" x14ac:dyDescent="0.35">
      <c r="A217" s="53" t="s">
        <v>142</v>
      </c>
      <c r="B217" s="53" t="s">
        <v>497</v>
      </c>
      <c r="C217" s="53" t="s">
        <v>109</v>
      </c>
      <c r="D217" s="53">
        <v>1</v>
      </c>
      <c r="E217" s="53" t="s">
        <v>523</v>
      </c>
      <c r="F217" s="53" t="s">
        <v>258</v>
      </c>
      <c r="G217" s="53" t="s">
        <v>158</v>
      </c>
      <c r="H217" s="53" t="s">
        <v>499</v>
      </c>
      <c r="I217" s="53" t="s">
        <v>148</v>
      </c>
      <c r="J217" s="53" t="s">
        <v>524</v>
      </c>
    </row>
    <row r="218" spans="1:10" ht="15" customHeight="1" x14ac:dyDescent="0.35">
      <c r="A218" s="53" t="s">
        <v>142</v>
      </c>
      <c r="B218" s="53" t="s">
        <v>497</v>
      </c>
      <c r="C218" s="53" t="s">
        <v>109</v>
      </c>
      <c r="D218" s="53">
        <v>1</v>
      </c>
      <c r="E218" s="53" t="s">
        <v>525</v>
      </c>
      <c r="F218" s="53" t="s">
        <v>145</v>
      </c>
      <c r="G218" s="53" t="s">
        <v>146</v>
      </c>
      <c r="H218" s="53" t="s">
        <v>499</v>
      </c>
      <c r="I218" s="53" t="s">
        <v>148</v>
      </c>
      <c r="J218" s="53" t="s">
        <v>526</v>
      </c>
    </row>
    <row r="219" spans="1:10" ht="15" customHeight="1" x14ac:dyDescent="0.35">
      <c r="A219" s="53" t="s">
        <v>142</v>
      </c>
      <c r="B219" s="53" t="s">
        <v>497</v>
      </c>
      <c r="C219" s="53" t="s">
        <v>109</v>
      </c>
      <c r="D219" s="53">
        <v>1</v>
      </c>
      <c r="E219" s="53" t="s">
        <v>527</v>
      </c>
      <c r="F219" s="53" t="s">
        <v>145</v>
      </c>
      <c r="G219" s="53" t="s">
        <v>146</v>
      </c>
      <c r="H219" s="53" t="s">
        <v>499</v>
      </c>
      <c r="I219" s="53" t="s">
        <v>148</v>
      </c>
      <c r="J219" s="53" t="s">
        <v>528</v>
      </c>
    </row>
    <row r="220" spans="1:10" ht="15" customHeight="1" x14ac:dyDescent="0.35">
      <c r="A220" s="53" t="s">
        <v>142</v>
      </c>
      <c r="B220" s="53" t="s">
        <v>497</v>
      </c>
      <c r="C220" s="53" t="s">
        <v>109</v>
      </c>
      <c r="D220" s="53">
        <v>1</v>
      </c>
      <c r="E220" s="53" t="s">
        <v>529</v>
      </c>
      <c r="F220" s="53" t="s">
        <v>145</v>
      </c>
      <c r="G220" s="53" t="s">
        <v>146</v>
      </c>
      <c r="H220" s="53" t="s">
        <v>499</v>
      </c>
      <c r="I220" s="53" t="s">
        <v>148</v>
      </c>
      <c r="J220" s="53" t="s">
        <v>530</v>
      </c>
    </row>
    <row r="221" spans="1:10" ht="15" customHeight="1" x14ac:dyDescent="0.35">
      <c r="A221" s="53" t="s">
        <v>142</v>
      </c>
      <c r="B221" s="53" t="s">
        <v>497</v>
      </c>
      <c r="C221" s="53" t="s">
        <v>109</v>
      </c>
      <c r="D221" s="53">
        <v>1</v>
      </c>
      <c r="E221" s="53" t="s">
        <v>531</v>
      </c>
      <c r="F221" s="53" t="s">
        <v>145</v>
      </c>
      <c r="G221" s="53" t="s">
        <v>146</v>
      </c>
      <c r="H221" s="53" t="s">
        <v>499</v>
      </c>
      <c r="I221" s="53" t="s">
        <v>148</v>
      </c>
      <c r="J221" s="53" t="s">
        <v>532</v>
      </c>
    </row>
    <row r="222" spans="1:10" ht="15" customHeight="1" x14ac:dyDescent="0.35">
      <c r="A222" s="53" t="s">
        <v>142</v>
      </c>
      <c r="B222" s="53" t="s">
        <v>497</v>
      </c>
      <c r="C222" s="53" t="s">
        <v>109</v>
      </c>
      <c r="D222" s="53">
        <v>1</v>
      </c>
      <c r="E222" s="53" t="s">
        <v>533</v>
      </c>
      <c r="F222" s="53" t="s">
        <v>145</v>
      </c>
      <c r="G222" s="53" t="s">
        <v>146</v>
      </c>
      <c r="H222" s="53" t="s">
        <v>499</v>
      </c>
      <c r="I222" s="53" t="s">
        <v>148</v>
      </c>
      <c r="J222" s="53" t="s">
        <v>534</v>
      </c>
    </row>
    <row r="223" spans="1:10" ht="15" customHeight="1" x14ac:dyDescent="0.35">
      <c r="A223" s="53" t="s">
        <v>142</v>
      </c>
      <c r="B223" s="53" t="s">
        <v>497</v>
      </c>
      <c r="C223" s="53" t="s">
        <v>109</v>
      </c>
      <c r="D223" s="53">
        <v>1</v>
      </c>
      <c r="E223" s="53" t="s">
        <v>535</v>
      </c>
      <c r="F223" s="53" t="s">
        <v>258</v>
      </c>
      <c r="G223" s="53" t="s">
        <v>158</v>
      </c>
      <c r="H223" s="53" t="s">
        <v>499</v>
      </c>
      <c r="I223" s="53" t="s">
        <v>148</v>
      </c>
      <c r="J223" s="53" t="s">
        <v>536</v>
      </c>
    </row>
    <row r="224" spans="1:10" ht="15" customHeight="1" x14ac:dyDescent="0.35">
      <c r="A224" s="53" t="s">
        <v>142</v>
      </c>
      <c r="B224" s="53" t="s">
        <v>497</v>
      </c>
      <c r="C224" s="53" t="s">
        <v>109</v>
      </c>
      <c r="D224" s="53">
        <v>1</v>
      </c>
      <c r="E224" s="53" t="s">
        <v>537</v>
      </c>
      <c r="F224" s="53" t="s">
        <v>145</v>
      </c>
      <c r="G224" s="53" t="s">
        <v>146</v>
      </c>
      <c r="H224" s="53" t="s">
        <v>499</v>
      </c>
      <c r="I224" s="53" t="s">
        <v>148</v>
      </c>
      <c r="J224" s="53" t="s">
        <v>538</v>
      </c>
    </row>
    <row r="225" spans="1:10" ht="15" customHeight="1" x14ac:dyDescent="0.35">
      <c r="A225" s="53" t="s">
        <v>142</v>
      </c>
      <c r="B225" s="53" t="s">
        <v>497</v>
      </c>
      <c r="C225" s="53" t="s">
        <v>109</v>
      </c>
      <c r="D225" s="53">
        <v>1</v>
      </c>
      <c r="E225" s="53" t="s">
        <v>539</v>
      </c>
      <c r="F225" s="53" t="s">
        <v>145</v>
      </c>
      <c r="G225" s="53" t="s">
        <v>146</v>
      </c>
      <c r="H225" s="53" t="s">
        <v>499</v>
      </c>
      <c r="I225" s="53" t="s">
        <v>148</v>
      </c>
      <c r="J225" s="53" t="s">
        <v>540</v>
      </c>
    </row>
    <row r="226" spans="1:10" ht="15" customHeight="1" x14ac:dyDescent="0.35">
      <c r="A226" s="53" t="s">
        <v>142</v>
      </c>
      <c r="B226" s="53" t="s">
        <v>497</v>
      </c>
      <c r="C226" s="53" t="s">
        <v>109</v>
      </c>
      <c r="D226" s="53">
        <v>1</v>
      </c>
      <c r="E226" s="53"/>
      <c r="F226" s="53" t="s">
        <v>258</v>
      </c>
      <c r="G226" s="53" t="s">
        <v>158</v>
      </c>
      <c r="H226" s="53" t="s">
        <v>499</v>
      </c>
      <c r="I226" s="53" t="s">
        <v>148</v>
      </c>
      <c r="J226" s="53" t="s">
        <v>541</v>
      </c>
    </row>
    <row r="227" spans="1:10" ht="15" customHeight="1" x14ac:dyDescent="0.35">
      <c r="A227" s="53" t="s">
        <v>142</v>
      </c>
      <c r="B227" s="53" t="s">
        <v>497</v>
      </c>
      <c r="C227" s="53" t="s">
        <v>109</v>
      </c>
      <c r="D227" s="53">
        <v>1</v>
      </c>
      <c r="E227" s="53" t="s">
        <v>542</v>
      </c>
      <c r="F227" s="53" t="s">
        <v>145</v>
      </c>
      <c r="G227" s="53" t="s">
        <v>146</v>
      </c>
      <c r="H227" s="53" t="s">
        <v>499</v>
      </c>
      <c r="I227" s="53" t="s">
        <v>148</v>
      </c>
      <c r="J227" s="53" t="s">
        <v>543</v>
      </c>
    </row>
    <row r="228" spans="1:10" ht="15" customHeight="1" x14ac:dyDescent="0.35">
      <c r="A228" s="53" t="s">
        <v>142</v>
      </c>
      <c r="B228" s="53" t="s">
        <v>497</v>
      </c>
      <c r="C228" s="53" t="s">
        <v>109</v>
      </c>
      <c r="D228" s="53">
        <v>1</v>
      </c>
      <c r="E228" s="53" t="s">
        <v>544</v>
      </c>
      <c r="F228" s="53" t="s">
        <v>258</v>
      </c>
      <c r="G228" s="53" t="s">
        <v>158</v>
      </c>
      <c r="H228" s="53" t="s">
        <v>499</v>
      </c>
      <c r="I228" s="53" t="s">
        <v>148</v>
      </c>
      <c r="J228" s="53" t="s">
        <v>545</v>
      </c>
    </row>
    <row r="229" spans="1:10" ht="15" customHeight="1" x14ac:dyDescent="0.35">
      <c r="A229" s="53" t="s">
        <v>142</v>
      </c>
      <c r="B229" s="53" t="s">
        <v>497</v>
      </c>
      <c r="C229" s="53" t="s">
        <v>109</v>
      </c>
      <c r="D229" s="53">
        <v>1</v>
      </c>
      <c r="E229" s="53" t="s">
        <v>546</v>
      </c>
      <c r="F229" s="53" t="s">
        <v>145</v>
      </c>
      <c r="G229" s="53" t="s">
        <v>146</v>
      </c>
      <c r="H229" s="53" t="s">
        <v>499</v>
      </c>
      <c r="I229" s="53" t="s">
        <v>148</v>
      </c>
      <c r="J229" s="53" t="s">
        <v>547</v>
      </c>
    </row>
    <row r="230" spans="1:10" ht="15" customHeight="1" x14ac:dyDescent="0.35">
      <c r="A230" s="53" t="s">
        <v>142</v>
      </c>
      <c r="B230" s="53" t="s">
        <v>497</v>
      </c>
      <c r="C230" s="53" t="s">
        <v>109</v>
      </c>
      <c r="D230" s="53">
        <v>1</v>
      </c>
      <c r="E230" s="53" t="s">
        <v>548</v>
      </c>
      <c r="F230" s="53" t="s">
        <v>145</v>
      </c>
      <c r="G230" s="53" t="s">
        <v>146</v>
      </c>
      <c r="H230" s="53" t="s">
        <v>499</v>
      </c>
      <c r="I230" s="53" t="s">
        <v>148</v>
      </c>
      <c r="J230" s="53" t="s">
        <v>549</v>
      </c>
    </row>
    <row r="231" spans="1:10" ht="15" customHeight="1" x14ac:dyDescent="0.35">
      <c r="A231" s="53" t="s">
        <v>142</v>
      </c>
      <c r="B231" s="53" t="s">
        <v>497</v>
      </c>
      <c r="C231" s="53" t="s">
        <v>109</v>
      </c>
      <c r="D231" s="53">
        <v>1</v>
      </c>
      <c r="E231" s="53" t="s">
        <v>550</v>
      </c>
      <c r="F231" s="53" t="s">
        <v>145</v>
      </c>
      <c r="G231" s="53" t="s">
        <v>146</v>
      </c>
      <c r="H231" s="53" t="s">
        <v>499</v>
      </c>
      <c r="I231" s="53" t="s">
        <v>148</v>
      </c>
      <c r="J231" s="53" t="s">
        <v>551</v>
      </c>
    </row>
    <row r="232" spans="1:10" ht="15" customHeight="1" x14ac:dyDescent="0.35">
      <c r="A232" s="53" t="s">
        <v>142</v>
      </c>
      <c r="B232" s="53" t="s">
        <v>497</v>
      </c>
      <c r="C232" s="53" t="s">
        <v>109</v>
      </c>
      <c r="D232" s="53">
        <v>1</v>
      </c>
      <c r="E232" s="53" t="s">
        <v>552</v>
      </c>
      <c r="F232" s="53" t="s">
        <v>145</v>
      </c>
      <c r="G232" s="53" t="s">
        <v>146</v>
      </c>
      <c r="H232" s="53" t="s">
        <v>499</v>
      </c>
      <c r="I232" s="53" t="s">
        <v>148</v>
      </c>
      <c r="J232" s="53" t="s">
        <v>553</v>
      </c>
    </row>
    <row r="233" spans="1:10" ht="15" customHeight="1" x14ac:dyDescent="0.35">
      <c r="A233" s="53" t="s">
        <v>142</v>
      </c>
      <c r="B233" s="53" t="s">
        <v>497</v>
      </c>
      <c r="C233" s="53" t="s">
        <v>109</v>
      </c>
      <c r="D233" s="53">
        <v>1</v>
      </c>
      <c r="E233" s="53" t="s">
        <v>554</v>
      </c>
      <c r="F233" s="53" t="s">
        <v>145</v>
      </c>
      <c r="G233" s="53" t="s">
        <v>146</v>
      </c>
      <c r="H233" s="53" t="s">
        <v>499</v>
      </c>
      <c r="I233" s="53" t="s">
        <v>148</v>
      </c>
      <c r="J233" s="53" t="s">
        <v>555</v>
      </c>
    </row>
    <row r="234" spans="1:10" ht="15" customHeight="1" x14ac:dyDescent="0.35">
      <c r="A234" s="53" t="s">
        <v>142</v>
      </c>
      <c r="B234" s="53" t="s">
        <v>497</v>
      </c>
      <c r="C234" s="53" t="s">
        <v>109</v>
      </c>
      <c r="D234" s="53">
        <v>1</v>
      </c>
      <c r="E234" s="53" t="s">
        <v>556</v>
      </c>
      <c r="F234" s="53" t="s">
        <v>145</v>
      </c>
      <c r="G234" s="53" t="s">
        <v>146</v>
      </c>
      <c r="H234" s="53" t="s">
        <v>499</v>
      </c>
      <c r="I234" s="53" t="s">
        <v>148</v>
      </c>
      <c r="J234" s="53" t="s">
        <v>557</v>
      </c>
    </row>
    <row r="235" spans="1:10" ht="15" customHeight="1" x14ac:dyDescent="0.35">
      <c r="A235" s="53" t="s">
        <v>142</v>
      </c>
      <c r="B235" s="53" t="s">
        <v>497</v>
      </c>
      <c r="C235" s="53" t="s">
        <v>109</v>
      </c>
      <c r="D235" s="53">
        <v>1</v>
      </c>
      <c r="E235" s="53" t="s">
        <v>558</v>
      </c>
      <c r="F235" s="53" t="s">
        <v>145</v>
      </c>
      <c r="G235" s="53" t="s">
        <v>146</v>
      </c>
      <c r="H235" s="53" t="s">
        <v>499</v>
      </c>
      <c r="I235" s="53" t="s">
        <v>148</v>
      </c>
      <c r="J235" s="53" t="s">
        <v>559</v>
      </c>
    </row>
    <row r="236" spans="1:10" ht="15" customHeight="1" x14ac:dyDescent="0.35">
      <c r="A236" s="53" t="s">
        <v>142</v>
      </c>
      <c r="B236" s="53" t="s">
        <v>497</v>
      </c>
      <c r="C236" s="53" t="s">
        <v>109</v>
      </c>
      <c r="D236" s="53">
        <v>1</v>
      </c>
      <c r="E236" s="53" t="s">
        <v>560</v>
      </c>
      <c r="F236" s="53" t="s">
        <v>145</v>
      </c>
      <c r="G236" s="53" t="s">
        <v>146</v>
      </c>
      <c r="H236" s="53" t="s">
        <v>499</v>
      </c>
      <c r="I236" s="53" t="s">
        <v>148</v>
      </c>
      <c r="J236" s="53" t="s">
        <v>561</v>
      </c>
    </row>
    <row r="237" spans="1:10" ht="15" customHeight="1" x14ac:dyDescent="0.35">
      <c r="A237" s="53" t="s">
        <v>142</v>
      </c>
      <c r="B237" s="53" t="s">
        <v>497</v>
      </c>
      <c r="C237" s="53" t="s">
        <v>109</v>
      </c>
      <c r="D237" s="53">
        <v>1</v>
      </c>
      <c r="E237" s="53" t="s">
        <v>562</v>
      </c>
      <c r="F237" s="53" t="s">
        <v>145</v>
      </c>
      <c r="G237" s="53" t="s">
        <v>146</v>
      </c>
      <c r="H237" s="53" t="s">
        <v>499</v>
      </c>
      <c r="I237" s="53" t="s">
        <v>148</v>
      </c>
      <c r="J237" s="53" t="s">
        <v>563</v>
      </c>
    </row>
    <row r="238" spans="1:10" ht="15" customHeight="1" x14ac:dyDescent="0.35">
      <c r="A238" s="53" t="s">
        <v>142</v>
      </c>
      <c r="B238" s="53" t="s">
        <v>497</v>
      </c>
      <c r="C238" s="53" t="s">
        <v>109</v>
      </c>
      <c r="D238" s="53">
        <v>1</v>
      </c>
      <c r="E238" s="53" t="s">
        <v>564</v>
      </c>
      <c r="F238" s="53" t="s">
        <v>258</v>
      </c>
      <c r="G238" s="53" t="s">
        <v>158</v>
      </c>
      <c r="H238" s="53" t="s">
        <v>499</v>
      </c>
      <c r="I238" s="53" t="s">
        <v>148</v>
      </c>
      <c r="J238" s="53" t="s">
        <v>565</v>
      </c>
    </row>
    <row r="239" spans="1:10" ht="15" customHeight="1" x14ac:dyDescent="0.35">
      <c r="A239" s="53" t="s">
        <v>142</v>
      </c>
      <c r="B239" s="53" t="s">
        <v>497</v>
      </c>
      <c r="C239" s="53" t="s">
        <v>109</v>
      </c>
      <c r="D239" s="53">
        <v>1</v>
      </c>
      <c r="E239" s="53" t="s">
        <v>566</v>
      </c>
      <c r="F239" s="53" t="s">
        <v>145</v>
      </c>
      <c r="G239" s="53" t="s">
        <v>146</v>
      </c>
      <c r="H239" s="53" t="s">
        <v>499</v>
      </c>
      <c r="I239" s="53" t="s">
        <v>148</v>
      </c>
      <c r="J239" s="53" t="s">
        <v>567</v>
      </c>
    </row>
    <row r="240" spans="1:10" ht="15" customHeight="1" x14ac:dyDescent="0.35">
      <c r="A240" s="53" t="s">
        <v>142</v>
      </c>
      <c r="B240" s="53" t="s">
        <v>497</v>
      </c>
      <c r="C240" s="53" t="s">
        <v>109</v>
      </c>
      <c r="D240" s="53">
        <v>1</v>
      </c>
      <c r="E240" s="53" t="s">
        <v>568</v>
      </c>
      <c r="F240" s="53" t="s">
        <v>145</v>
      </c>
      <c r="G240" s="53" t="s">
        <v>146</v>
      </c>
      <c r="H240" s="53" t="s">
        <v>499</v>
      </c>
      <c r="I240" s="53" t="s">
        <v>148</v>
      </c>
      <c r="J240" s="53" t="s">
        <v>569</v>
      </c>
    </row>
    <row r="241" spans="1:10" ht="15" customHeight="1" x14ac:dyDescent="0.35">
      <c r="A241" s="53" t="s">
        <v>142</v>
      </c>
      <c r="B241" s="53" t="s">
        <v>497</v>
      </c>
      <c r="C241" s="53" t="s">
        <v>109</v>
      </c>
      <c r="D241" s="53">
        <v>1</v>
      </c>
      <c r="E241" s="53" t="s">
        <v>570</v>
      </c>
      <c r="F241" s="53" t="s">
        <v>258</v>
      </c>
      <c r="G241" s="53" t="s">
        <v>158</v>
      </c>
      <c r="H241" s="53" t="s">
        <v>499</v>
      </c>
      <c r="I241" s="53" t="s">
        <v>148</v>
      </c>
      <c r="J241" s="53" t="s">
        <v>571</v>
      </c>
    </row>
    <row r="242" spans="1:10" ht="15" customHeight="1" x14ac:dyDescent="0.35">
      <c r="A242" s="53" t="s">
        <v>142</v>
      </c>
      <c r="B242" s="53" t="s">
        <v>497</v>
      </c>
      <c r="C242" s="53" t="s">
        <v>109</v>
      </c>
      <c r="D242" s="53">
        <v>1</v>
      </c>
      <c r="E242" s="53" t="s">
        <v>572</v>
      </c>
      <c r="F242" s="53" t="s">
        <v>145</v>
      </c>
      <c r="G242" s="53" t="s">
        <v>146</v>
      </c>
      <c r="H242" s="53" t="s">
        <v>499</v>
      </c>
      <c r="I242" s="53" t="s">
        <v>148</v>
      </c>
      <c r="J242" s="53" t="s">
        <v>567</v>
      </c>
    </row>
    <row r="243" spans="1:10" ht="15" customHeight="1" x14ac:dyDescent="0.35">
      <c r="A243" s="53" t="s">
        <v>142</v>
      </c>
      <c r="B243" s="53" t="s">
        <v>497</v>
      </c>
      <c r="C243" s="53" t="s">
        <v>109</v>
      </c>
      <c r="D243" s="53">
        <v>1</v>
      </c>
      <c r="E243" s="53" t="s">
        <v>573</v>
      </c>
      <c r="F243" s="53" t="s">
        <v>145</v>
      </c>
      <c r="G243" s="53" t="s">
        <v>146</v>
      </c>
      <c r="H243" s="53" t="s">
        <v>499</v>
      </c>
      <c r="I243" s="53" t="s">
        <v>148</v>
      </c>
      <c r="J243" s="53" t="s">
        <v>574</v>
      </c>
    </row>
    <row r="244" spans="1:10" ht="15" customHeight="1" x14ac:dyDescent="0.35">
      <c r="A244" s="53" t="s">
        <v>142</v>
      </c>
      <c r="B244" s="53" t="s">
        <v>497</v>
      </c>
      <c r="C244" s="53" t="s">
        <v>109</v>
      </c>
      <c r="D244" s="53">
        <v>1</v>
      </c>
      <c r="E244" s="53" t="s">
        <v>575</v>
      </c>
      <c r="F244" s="53" t="s">
        <v>258</v>
      </c>
      <c r="G244" s="53" t="s">
        <v>158</v>
      </c>
      <c r="H244" s="53" t="s">
        <v>499</v>
      </c>
      <c r="I244" s="53" t="s">
        <v>148</v>
      </c>
      <c r="J244" s="53" t="s">
        <v>576</v>
      </c>
    </row>
    <row r="245" spans="1:10" ht="15" customHeight="1" x14ac:dyDescent="0.35">
      <c r="A245" s="53" t="s">
        <v>142</v>
      </c>
      <c r="B245" s="53" t="s">
        <v>497</v>
      </c>
      <c r="C245" s="53" t="s">
        <v>109</v>
      </c>
      <c r="D245" s="53">
        <v>1</v>
      </c>
      <c r="E245" s="53" t="s">
        <v>577</v>
      </c>
      <c r="F245" s="53" t="s">
        <v>145</v>
      </c>
      <c r="G245" s="53" t="s">
        <v>146</v>
      </c>
      <c r="H245" s="53" t="s">
        <v>499</v>
      </c>
      <c r="I245" s="53" t="s">
        <v>148</v>
      </c>
      <c r="J245" s="53" t="s">
        <v>578</v>
      </c>
    </row>
    <row r="246" spans="1:10" ht="15" customHeight="1" x14ac:dyDescent="0.35">
      <c r="A246" s="53" t="s">
        <v>142</v>
      </c>
      <c r="B246" s="53" t="s">
        <v>497</v>
      </c>
      <c r="C246" s="53" t="s">
        <v>109</v>
      </c>
      <c r="D246" s="53">
        <v>1</v>
      </c>
      <c r="E246" s="53" t="s">
        <v>579</v>
      </c>
      <c r="F246" s="53" t="s">
        <v>145</v>
      </c>
      <c r="G246" s="53" t="s">
        <v>146</v>
      </c>
      <c r="H246" s="53" t="s">
        <v>499</v>
      </c>
      <c r="I246" s="53" t="s">
        <v>148</v>
      </c>
      <c r="J246" s="53" t="s">
        <v>580</v>
      </c>
    </row>
    <row r="247" spans="1:10" ht="15" customHeight="1" x14ac:dyDescent="0.35">
      <c r="A247" s="53" t="s">
        <v>142</v>
      </c>
      <c r="B247" s="53" t="s">
        <v>497</v>
      </c>
      <c r="C247" s="53" t="s">
        <v>109</v>
      </c>
      <c r="D247" s="53">
        <v>1</v>
      </c>
      <c r="E247" s="53" t="s">
        <v>581</v>
      </c>
      <c r="F247" s="53" t="s">
        <v>145</v>
      </c>
      <c r="G247" s="53" t="s">
        <v>146</v>
      </c>
      <c r="H247" s="53" t="s">
        <v>499</v>
      </c>
      <c r="I247" s="53" t="s">
        <v>148</v>
      </c>
      <c r="J247" s="53" t="s">
        <v>582</v>
      </c>
    </row>
    <row r="248" spans="1:10" ht="15" customHeight="1" x14ac:dyDescent="0.35">
      <c r="A248" s="53" t="s">
        <v>142</v>
      </c>
      <c r="B248" s="53" t="s">
        <v>497</v>
      </c>
      <c r="C248" s="53" t="s">
        <v>109</v>
      </c>
      <c r="D248" s="53">
        <v>1</v>
      </c>
      <c r="E248" s="53" t="s">
        <v>583</v>
      </c>
      <c r="F248" s="53" t="s">
        <v>145</v>
      </c>
      <c r="G248" s="53" t="s">
        <v>146</v>
      </c>
      <c r="H248" s="53" t="s">
        <v>499</v>
      </c>
      <c r="I248" s="53" t="s">
        <v>148</v>
      </c>
      <c r="J248" s="53" t="s">
        <v>584</v>
      </c>
    </row>
    <row r="249" spans="1:10" ht="15" customHeight="1" x14ac:dyDescent="0.35">
      <c r="A249" s="53" t="s">
        <v>142</v>
      </c>
      <c r="B249" s="53" t="s">
        <v>497</v>
      </c>
      <c r="C249" s="53" t="s">
        <v>109</v>
      </c>
      <c r="D249" s="53">
        <v>1</v>
      </c>
      <c r="E249" s="53"/>
      <c r="F249" s="53" t="s">
        <v>258</v>
      </c>
      <c r="G249" s="53" t="s">
        <v>158</v>
      </c>
      <c r="H249" s="53" t="s">
        <v>499</v>
      </c>
      <c r="I249" s="53" t="s">
        <v>148</v>
      </c>
      <c r="J249" s="53" t="s">
        <v>541</v>
      </c>
    </row>
    <row r="250" spans="1:10" ht="15" customHeight="1" x14ac:dyDescent="0.35">
      <c r="A250" s="53" t="s">
        <v>142</v>
      </c>
      <c r="B250" s="53" t="s">
        <v>497</v>
      </c>
      <c r="C250" s="53" t="s">
        <v>109</v>
      </c>
      <c r="D250" s="53">
        <v>1</v>
      </c>
      <c r="E250" s="53" t="s">
        <v>585</v>
      </c>
      <c r="F250" s="53" t="s">
        <v>258</v>
      </c>
      <c r="G250" s="53" t="s">
        <v>158</v>
      </c>
      <c r="H250" s="53" t="s">
        <v>499</v>
      </c>
      <c r="I250" s="53" t="s">
        <v>148</v>
      </c>
      <c r="J250" s="53" t="s">
        <v>586</v>
      </c>
    </row>
    <row r="251" spans="1:10" ht="15" customHeight="1" x14ac:dyDescent="0.35">
      <c r="A251" s="53" t="s">
        <v>142</v>
      </c>
      <c r="B251" s="53" t="s">
        <v>497</v>
      </c>
      <c r="C251" s="53" t="s">
        <v>109</v>
      </c>
      <c r="D251" s="53">
        <v>1</v>
      </c>
      <c r="E251" s="53" t="s">
        <v>587</v>
      </c>
      <c r="F251" s="53" t="s">
        <v>145</v>
      </c>
      <c r="G251" s="53" t="s">
        <v>146</v>
      </c>
      <c r="H251" s="53" t="s">
        <v>499</v>
      </c>
      <c r="I251" s="53" t="s">
        <v>148</v>
      </c>
      <c r="J251" s="53" t="s">
        <v>588</v>
      </c>
    </row>
    <row r="252" spans="1:10" ht="15" customHeight="1" x14ac:dyDescent="0.35">
      <c r="A252" s="53" t="s">
        <v>142</v>
      </c>
      <c r="B252" s="53" t="s">
        <v>497</v>
      </c>
      <c r="C252" s="53" t="s">
        <v>109</v>
      </c>
      <c r="D252" s="53">
        <v>1</v>
      </c>
      <c r="E252" s="53"/>
      <c r="F252" s="53" t="s">
        <v>258</v>
      </c>
      <c r="G252" s="53" t="s">
        <v>158</v>
      </c>
      <c r="H252" s="53" t="s">
        <v>499</v>
      </c>
      <c r="I252" s="53" t="s">
        <v>148</v>
      </c>
      <c r="J252" s="53" t="s">
        <v>541</v>
      </c>
    </row>
    <row r="253" spans="1:10" ht="15" customHeight="1" x14ac:dyDescent="0.35">
      <c r="A253" s="53" t="s">
        <v>142</v>
      </c>
      <c r="B253" s="53" t="s">
        <v>497</v>
      </c>
      <c r="C253" s="53" t="s">
        <v>109</v>
      </c>
      <c r="D253" s="53">
        <v>1</v>
      </c>
      <c r="E253" s="53" t="s">
        <v>589</v>
      </c>
      <c r="F253" s="53" t="s">
        <v>145</v>
      </c>
      <c r="G253" s="53" t="s">
        <v>146</v>
      </c>
      <c r="H253" s="53" t="s">
        <v>499</v>
      </c>
      <c r="I253" s="53" t="s">
        <v>148</v>
      </c>
      <c r="J253" s="53" t="s">
        <v>590</v>
      </c>
    </row>
    <row r="254" spans="1:10" ht="15" customHeight="1" x14ac:dyDescent="0.35">
      <c r="A254" s="53" t="s">
        <v>142</v>
      </c>
      <c r="B254" s="53" t="s">
        <v>497</v>
      </c>
      <c r="C254" s="53" t="s">
        <v>109</v>
      </c>
      <c r="D254" s="53">
        <v>1</v>
      </c>
      <c r="E254" s="53" t="s">
        <v>591</v>
      </c>
      <c r="F254" s="53" t="s">
        <v>145</v>
      </c>
      <c r="G254" s="53" t="s">
        <v>146</v>
      </c>
      <c r="H254" s="53" t="s">
        <v>499</v>
      </c>
      <c r="I254" s="53" t="s">
        <v>148</v>
      </c>
      <c r="J254" s="53" t="s">
        <v>592</v>
      </c>
    </row>
    <row r="255" spans="1:10" ht="15" customHeight="1" x14ac:dyDescent="0.35">
      <c r="A255" s="53" t="s">
        <v>142</v>
      </c>
      <c r="B255" s="53" t="s">
        <v>497</v>
      </c>
      <c r="C255" s="53" t="s">
        <v>109</v>
      </c>
      <c r="D255" s="53">
        <v>1</v>
      </c>
      <c r="E255" s="53" t="s">
        <v>593</v>
      </c>
      <c r="F255" s="53" t="s">
        <v>145</v>
      </c>
      <c r="G255" s="53" t="s">
        <v>146</v>
      </c>
      <c r="H255" s="53" t="s">
        <v>499</v>
      </c>
      <c r="I255" s="53" t="s">
        <v>148</v>
      </c>
      <c r="J255" s="53" t="s">
        <v>594</v>
      </c>
    </row>
    <row r="256" spans="1:10" ht="15" customHeight="1" x14ac:dyDescent="0.35">
      <c r="A256" s="53" t="s">
        <v>142</v>
      </c>
      <c r="B256" s="53" t="s">
        <v>497</v>
      </c>
      <c r="C256" s="53" t="s">
        <v>109</v>
      </c>
      <c r="D256" s="53">
        <v>1</v>
      </c>
      <c r="E256" s="53" t="s">
        <v>595</v>
      </c>
      <c r="F256" s="53" t="s">
        <v>258</v>
      </c>
      <c r="G256" s="53" t="s">
        <v>158</v>
      </c>
      <c r="H256" s="53" t="s">
        <v>499</v>
      </c>
      <c r="I256" s="53" t="s">
        <v>148</v>
      </c>
      <c r="J256" s="53" t="s">
        <v>596</v>
      </c>
    </row>
    <row r="257" spans="1:10" ht="15" customHeight="1" x14ac:dyDescent="0.35">
      <c r="A257" s="53" t="s">
        <v>142</v>
      </c>
      <c r="B257" s="53" t="s">
        <v>497</v>
      </c>
      <c r="C257" s="53" t="s">
        <v>109</v>
      </c>
      <c r="D257" s="53">
        <v>1</v>
      </c>
      <c r="E257" s="53"/>
      <c r="F257" s="53" t="s">
        <v>258</v>
      </c>
      <c r="G257" s="53" t="s">
        <v>158</v>
      </c>
      <c r="H257" s="53" t="s">
        <v>499</v>
      </c>
      <c r="I257" s="53" t="s">
        <v>148</v>
      </c>
      <c r="J257" s="53" t="s">
        <v>541</v>
      </c>
    </row>
    <row r="258" spans="1:10" ht="15" customHeight="1" x14ac:dyDescent="0.35">
      <c r="A258" s="53" t="s">
        <v>142</v>
      </c>
      <c r="B258" s="53" t="s">
        <v>497</v>
      </c>
      <c r="C258" s="53" t="s">
        <v>109</v>
      </c>
      <c r="D258" s="53">
        <v>1</v>
      </c>
      <c r="E258" s="53" t="s">
        <v>597</v>
      </c>
      <c r="F258" s="53" t="s">
        <v>145</v>
      </c>
      <c r="G258" s="53" t="s">
        <v>146</v>
      </c>
      <c r="H258" s="53" t="s">
        <v>499</v>
      </c>
      <c r="I258" s="53" t="s">
        <v>148</v>
      </c>
      <c r="J258" s="53" t="s">
        <v>598</v>
      </c>
    </row>
    <row r="259" spans="1:10" ht="15" customHeight="1" x14ac:dyDescent="0.35">
      <c r="A259" s="53" t="s">
        <v>142</v>
      </c>
      <c r="B259" s="53" t="s">
        <v>497</v>
      </c>
      <c r="C259" s="53" t="s">
        <v>109</v>
      </c>
      <c r="D259" s="53">
        <v>1</v>
      </c>
      <c r="E259" s="53" t="s">
        <v>599</v>
      </c>
      <c r="F259" s="53" t="s">
        <v>145</v>
      </c>
      <c r="G259" s="53" t="s">
        <v>146</v>
      </c>
      <c r="H259" s="53" t="s">
        <v>499</v>
      </c>
      <c r="I259" s="53" t="s">
        <v>148</v>
      </c>
      <c r="J259" s="53" t="s">
        <v>600</v>
      </c>
    </row>
    <row r="260" spans="1:10" ht="15" customHeight="1" x14ac:dyDescent="0.35">
      <c r="A260" s="53" t="s">
        <v>142</v>
      </c>
      <c r="B260" s="53" t="s">
        <v>497</v>
      </c>
      <c r="C260" s="53" t="s">
        <v>109</v>
      </c>
      <c r="D260" s="53">
        <v>1</v>
      </c>
      <c r="E260" s="53" t="s">
        <v>601</v>
      </c>
      <c r="F260" s="53" t="s">
        <v>145</v>
      </c>
      <c r="G260" s="53" t="s">
        <v>146</v>
      </c>
      <c r="H260" s="53" t="s">
        <v>499</v>
      </c>
      <c r="I260" s="53" t="s">
        <v>148</v>
      </c>
      <c r="J260" s="53" t="s">
        <v>602</v>
      </c>
    </row>
    <row r="261" spans="1:10" ht="15" customHeight="1" x14ac:dyDescent="0.35">
      <c r="A261" s="53" t="s">
        <v>142</v>
      </c>
      <c r="B261" s="53" t="s">
        <v>497</v>
      </c>
      <c r="C261" s="53" t="s">
        <v>109</v>
      </c>
      <c r="D261" s="53">
        <v>1</v>
      </c>
      <c r="E261" s="53" t="s">
        <v>603</v>
      </c>
      <c r="F261" s="53" t="s">
        <v>145</v>
      </c>
      <c r="G261" s="53" t="s">
        <v>146</v>
      </c>
      <c r="H261" s="53" t="s">
        <v>499</v>
      </c>
      <c r="I261" s="53" t="s">
        <v>148</v>
      </c>
      <c r="J261" s="53" t="s">
        <v>604</v>
      </c>
    </row>
    <row r="262" spans="1:10" ht="15" customHeight="1" x14ac:dyDescent="0.35">
      <c r="A262" s="53" t="s">
        <v>142</v>
      </c>
      <c r="B262" s="53" t="s">
        <v>497</v>
      </c>
      <c r="C262" s="53" t="s">
        <v>109</v>
      </c>
      <c r="D262" s="53">
        <v>1</v>
      </c>
      <c r="E262" s="53"/>
      <c r="F262" s="53" t="s">
        <v>258</v>
      </c>
      <c r="G262" s="53" t="s">
        <v>158</v>
      </c>
      <c r="H262" s="53" t="s">
        <v>499</v>
      </c>
      <c r="I262" s="53" t="s">
        <v>148</v>
      </c>
      <c r="J262" s="53" t="s">
        <v>541</v>
      </c>
    </row>
    <row r="263" spans="1:10" ht="15" customHeight="1" x14ac:dyDescent="0.35">
      <c r="A263" s="53" t="s">
        <v>142</v>
      </c>
      <c r="B263" s="53" t="s">
        <v>497</v>
      </c>
      <c r="C263" s="53" t="s">
        <v>109</v>
      </c>
      <c r="D263" s="53">
        <v>1</v>
      </c>
      <c r="E263" s="53"/>
      <c r="F263" s="53" t="s">
        <v>258</v>
      </c>
      <c r="G263" s="53" t="s">
        <v>158</v>
      </c>
      <c r="H263" s="53" t="s">
        <v>499</v>
      </c>
      <c r="I263" s="53" t="s">
        <v>148</v>
      </c>
      <c r="J263" s="53" t="s">
        <v>541</v>
      </c>
    </row>
    <row r="264" spans="1:10" ht="15" customHeight="1" x14ac:dyDescent="0.35">
      <c r="A264" s="53" t="s">
        <v>142</v>
      </c>
      <c r="B264" s="53" t="s">
        <v>497</v>
      </c>
      <c r="C264" s="53" t="s">
        <v>109</v>
      </c>
      <c r="D264" s="53">
        <v>1</v>
      </c>
      <c r="E264" s="53" t="s">
        <v>605</v>
      </c>
      <c r="F264" s="53" t="s">
        <v>145</v>
      </c>
      <c r="G264" s="53" t="s">
        <v>146</v>
      </c>
      <c r="H264" s="53" t="s">
        <v>499</v>
      </c>
      <c r="I264" s="53" t="s">
        <v>148</v>
      </c>
      <c r="J264" s="53" t="s">
        <v>606</v>
      </c>
    </row>
    <row r="265" spans="1:10" ht="15" customHeight="1" x14ac:dyDescent="0.35">
      <c r="A265" s="53" t="s">
        <v>142</v>
      </c>
      <c r="B265" s="53" t="s">
        <v>497</v>
      </c>
      <c r="C265" s="53" t="s">
        <v>109</v>
      </c>
      <c r="D265" s="53">
        <v>1</v>
      </c>
      <c r="E265" s="53" t="s">
        <v>607</v>
      </c>
      <c r="F265" s="53" t="s">
        <v>145</v>
      </c>
      <c r="G265" s="53" t="s">
        <v>146</v>
      </c>
      <c r="H265" s="53" t="s">
        <v>499</v>
      </c>
      <c r="I265" s="53" t="s">
        <v>148</v>
      </c>
      <c r="J265" s="53" t="s">
        <v>608</v>
      </c>
    </row>
    <row r="266" spans="1:10" ht="15" customHeight="1" x14ac:dyDescent="0.35">
      <c r="A266" s="53" t="s">
        <v>142</v>
      </c>
      <c r="B266" s="53" t="s">
        <v>497</v>
      </c>
      <c r="C266" s="53" t="s">
        <v>109</v>
      </c>
      <c r="D266" s="53">
        <v>1</v>
      </c>
      <c r="E266" s="53" t="s">
        <v>609</v>
      </c>
      <c r="F266" s="53" t="s">
        <v>145</v>
      </c>
      <c r="G266" s="53" t="s">
        <v>146</v>
      </c>
      <c r="H266" s="53" t="s">
        <v>499</v>
      </c>
      <c r="I266" s="53" t="s">
        <v>148</v>
      </c>
      <c r="J266" s="53" t="s">
        <v>610</v>
      </c>
    </row>
    <row r="267" spans="1:10" ht="15" customHeight="1" x14ac:dyDescent="0.35">
      <c r="A267" s="53" t="s">
        <v>142</v>
      </c>
      <c r="B267" s="53" t="s">
        <v>497</v>
      </c>
      <c r="C267" s="53" t="s">
        <v>109</v>
      </c>
      <c r="D267" s="53">
        <v>1</v>
      </c>
      <c r="E267" s="53" t="s">
        <v>611</v>
      </c>
      <c r="F267" s="53" t="s">
        <v>145</v>
      </c>
      <c r="G267" s="53" t="s">
        <v>146</v>
      </c>
      <c r="H267" s="53" t="s">
        <v>499</v>
      </c>
      <c r="I267" s="53" t="s">
        <v>148</v>
      </c>
      <c r="J267" s="53" t="s">
        <v>612</v>
      </c>
    </row>
    <row r="268" spans="1:10" ht="15" customHeight="1" x14ac:dyDescent="0.35">
      <c r="A268" s="53" t="s">
        <v>142</v>
      </c>
      <c r="B268" s="53" t="s">
        <v>497</v>
      </c>
      <c r="C268" s="53" t="s">
        <v>109</v>
      </c>
      <c r="D268" s="53">
        <v>1</v>
      </c>
      <c r="E268" s="53" t="s">
        <v>613</v>
      </c>
      <c r="F268" s="53" t="s">
        <v>145</v>
      </c>
      <c r="G268" s="53" t="s">
        <v>146</v>
      </c>
      <c r="H268" s="53" t="s">
        <v>499</v>
      </c>
      <c r="I268" s="53" t="s">
        <v>148</v>
      </c>
      <c r="J268" s="53" t="s">
        <v>614</v>
      </c>
    </row>
    <row r="269" spans="1:10" ht="15" customHeight="1" x14ac:dyDescent="0.35">
      <c r="A269" s="53" t="s">
        <v>142</v>
      </c>
      <c r="B269" s="53" t="s">
        <v>497</v>
      </c>
      <c r="C269" s="53" t="s">
        <v>109</v>
      </c>
      <c r="D269" s="53">
        <v>1</v>
      </c>
      <c r="E269" s="53" t="s">
        <v>615</v>
      </c>
      <c r="F269" s="53" t="s">
        <v>145</v>
      </c>
      <c r="G269" s="53" t="s">
        <v>146</v>
      </c>
      <c r="H269" s="53" t="s">
        <v>499</v>
      </c>
      <c r="I269" s="53" t="s">
        <v>148</v>
      </c>
      <c r="J269" s="53" t="s">
        <v>616</v>
      </c>
    </row>
    <row r="270" spans="1:10" ht="15" customHeight="1" x14ac:dyDescent="0.35">
      <c r="A270" s="53" t="s">
        <v>142</v>
      </c>
      <c r="B270" s="53" t="s">
        <v>497</v>
      </c>
      <c r="C270" s="53" t="s">
        <v>109</v>
      </c>
      <c r="D270" s="53">
        <v>1</v>
      </c>
      <c r="E270" s="53" t="s">
        <v>617</v>
      </c>
      <c r="F270" s="53" t="s">
        <v>145</v>
      </c>
      <c r="G270" s="53" t="s">
        <v>146</v>
      </c>
      <c r="H270" s="53" t="s">
        <v>499</v>
      </c>
      <c r="I270" s="53" t="s">
        <v>148</v>
      </c>
      <c r="J270" s="53" t="s">
        <v>618</v>
      </c>
    </row>
    <row r="271" spans="1:10" ht="15" customHeight="1" x14ac:dyDescent="0.35">
      <c r="A271" s="53" t="s">
        <v>142</v>
      </c>
      <c r="B271" s="53" t="s">
        <v>497</v>
      </c>
      <c r="C271" s="53" t="s">
        <v>109</v>
      </c>
      <c r="D271" s="53">
        <v>1</v>
      </c>
      <c r="E271" s="53" t="s">
        <v>619</v>
      </c>
      <c r="F271" s="53" t="s">
        <v>145</v>
      </c>
      <c r="G271" s="53" t="s">
        <v>146</v>
      </c>
      <c r="H271" s="53" t="s">
        <v>499</v>
      </c>
      <c r="I271" s="53" t="s">
        <v>148</v>
      </c>
      <c r="J271" s="53" t="s">
        <v>620</v>
      </c>
    </row>
    <row r="272" spans="1:10" ht="15" customHeight="1" x14ac:dyDescent="0.35">
      <c r="A272" s="53" t="s">
        <v>142</v>
      </c>
      <c r="B272" s="53" t="s">
        <v>497</v>
      </c>
      <c r="C272" s="53" t="s">
        <v>109</v>
      </c>
      <c r="D272" s="53">
        <v>1</v>
      </c>
      <c r="E272" s="53" t="s">
        <v>621</v>
      </c>
      <c r="F272" s="53" t="s">
        <v>145</v>
      </c>
      <c r="G272" s="53" t="s">
        <v>146</v>
      </c>
      <c r="H272" s="53" t="s">
        <v>499</v>
      </c>
      <c r="I272" s="53" t="s">
        <v>148</v>
      </c>
      <c r="J272" s="53" t="s">
        <v>622</v>
      </c>
    </row>
    <row r="273" spans="1:10" ht="15" customHeight="1" x14ac:dyDescent="0.35">
      <c r="A273" s="53" t="s">
        <v>142</v>
      </c>
      <c r="B273" s="53" t="s">
        <v>497</v>
      </c>
      <c r="C273" s="53" t="s">
        <v>109</v>
      </c>
      <c r="D273" s="53">
        <v>1</v>
      </c>
      <c r="E273" s="53" t="s">
        <v>623</v>
      </c>
      <c r="F273" s="53" t="s">
        <v>145</v>
      </c>
      <c r="G273" s="53" t="s">
        <v>146</v>
      </c>
      <c r="H273" s="53" t="s">
        <v>499</v>
      </c>
      <c r="I273" s="53" t="s">
        <v>148</v>
      </c>
      <c r="J273" s="53" t="s">
        <v>624</v>
      </c>
    </row>
    <row r="274" spans="1:10" ht="15" customHeight="1" x14ac:dyDescent="0.35">
      <c r="A274" s="53" t="s">
        <v>142</v>
      </c>
      <c r="B274" s="53" t="s">
        <v>497</v>
      </c>
      <c r="C274" s="53" t="s">
        <v>109</v>
      </c>
      <c r="D274" s="53">
        <v>1</v>
      </c>
      <c r="E274" s="53" t="s">
        <v>625</v>
      </c>
      <c r="F274" s="53" t="s">
        <v>145</v>
      </c>
      <c r="G274" s="53" t="s">
        <v>146</v>
      </c>
      <c r="H274" s="53" t="s">
        <v>499</v>
      </c>
      <c r="I274" s="53" t="s">
        <v>148</v>
      </c>
      <c r="J274" s="53" t="s">
        <v>626</v>
      </c>
    </row>
    <row r="275" spans="1:10" ht="15" customHeight="1" x14ac:dyDescent="0.35">
      <c r="A275" s="53" t="s">
        <v>142</v>
      </c>
      <c r="B275" s="53" t="s">
        <v>497</v>
      </c>
      <c r="C275" s="53" t="s">
        <v>109</v>
      </c>
      <c r="D275" s="53">
        <v>1</v>
      </c>
      <c r="E275" s="53" t="s">
        <v>627</v>
      </c>
      <c r="F275" s="53" t="s">
        <v>145</v>
      </c>
      <c r="G275" s="53" t="s">
        <v>146</v>
      </c>
      <c r="H275" s="53" t="s">
        <v>499</v>
      </c>
      <c r="I275" s="53" t="s">
        <v>148</v>
      </c>
      <c r="J275" s="53" t="s">
        <v>628</v>
      </c>
    </row>
    <row r="276" spans="1:10" ht="15" customHeight="1" x14ac:dyDescent="0.35">
      <c r="A276" s="53" t="s">
        <v>142</v>
      </c>
      <c r="B276" s="53" t="s">
        <v>497</v>
      </c>
      <c r="C276" s="53" t="s">
        <v>109</v>
      </c>
      <c r="D276" s="53">
        <v>1</v>
      </c>
      <c r="E276" s="53" t="s">
        <v>629</v>
      </c>
      <c r="F276" s="53" t="s">
        <v>258</v>
      </c>
      <c r="G276" s="53" t="s">
        <v>158</v>
      </c>
      <c r="H276" s="53" t="s">
        <v>499</v>
      </c>
      <c r="I276" s="53" t="s">
        <v>148</v>
      </c>
      <c r="J276" s="53" t="s">
        <v>630</v>
      </c>
    </row>
    <row r="277" spans="1:10" ht="15" customHeight="1" x14ac:dyDescent="0.35">
      <c r="A277" s="53" t="s">
        <v>142</v>
      </c>
      <c r="B277" s="53" t="s">
        <v>497</v>
      </c>
      <c r="C277" s="53" t="s">
        <v>109</v>
      </c>
      <c r="D277" s="53">
        <v>1</v>
      </c>
      <c r="E277" s="53" t="s">
        <v>631</v>
      </c>
      <c r="F277" s="53" t="s">
        <v>145</v>
      </c>
      <c r="G277" s="53" t="s">
        <v>146</v>
      </c>
      <c r="H277" s="53" t="s">
        <v>499</v>
      </c>
      <c r="I277" s="53" t="s">
        <v>148</v>
      </c>
      <c r="J277" s="53" t="s">
        <v>632</v>
      </c>
    </row>
    <row r="278" spans="1:10" ht="15" customHeight="1" x14ac:dyDescent="0.35">
      <c r="A278" s="53" t="s">
        <v>142</v>
      </c>
      <c r="B278" s="53" t="s">
        <v>497</v>
      </c>
      <c r="C278" s="53" t="s">
        <v>109</v>
      </c>
      <c r="D278" s="53">
        <v>1</v>
      </c>
      <c r="E278" s="53" t="s">
        <v>633</v>
      </c>
      <c r="F278" s="53" t="s">
        <v>145</v>
      </c>
      <c r="G278" s="53" t="s">
        <v>146</v>
      </c>
      <c r="H278" s="53" t="s">
        <v>499</v>
      </c>
      <c r="I278" s="53" t="s">
        <v>148</v>
      </c>
      <c r="J278" s="53" t="s">
        <v>634</v>
      </c>
    </row>
    <row r="279" spans="1:10" ht="15" customHeight="1" x14ac:dyDescent="0.35">
      <c r="A279" s="53" t="s">
        <v>142</v>
      </c>
      <c r="B279" s="53" t="s">
        <v>497</v>
      </c>
      <c r="C279" s="53" t="s">
        <v>109</v>
      </c>
      <c r="D279" s="53">
        <v>1</v>
      </c>
      <c r="E279" s="53" t="s">
        <v>635</v>
      </c>
      <c r="F279" s="53" t="s">
        <v>258</v>
      </c>
      <c r="G279" s="53" t="s">
        <v>158</v>
      </c>
      <c r="H279" s="53" t="s">
        <v>499</v>
      </c>
      <c r="I279" s="53" t="s">
        <v>148</v>
      </c>
      <c r="J279" s="53" t="s">
        <v>636</v>
      </c>
    </row>
    <row r="280" spans="1:10" ht="15" customHeight="1" x14ac:dyDescent="0.35">
      <c r="A280" s="53" t="s">
        <v>142</v>
      </c>
      <c r="B280" s="53" t="s">
        <v>497</v>
      </c>
      <c r="C280" s="53" t="s">
        <v>109</v>
      </c>
      <c r="D280" s="53">
        <v>1</v>
      </c>
      <c r="E280" s="53" t="s">
        <v>637</v>
      </c>
      <c r="F280" s="53" t="s">
        <v>145</v>
      </c>
      <c r="G280" s="53" t="s">
        <v>146</v>
      </c>
      <c r="H280" s="53" t="s">
        <v>499</v>
      </c>
      <c r="I280" s="53" t="s">
        <v>148</v>
      </c>
      <c r="J280" s="53" t="s">
        <v>638</v>
      </c>
    </row>
    <row r="281" spans="1:10" ht="15" customHeight="1" x14ac:dyDescent="0.35">
      <c r="A281" s="53" t="s">
        <v>142</v>
      </c>
      <c r="B281" s="53" t="s">
        <v>497</v>
      </c>
      <c r="C281" s="53" t="s">
        <v>109</v>
      </c>
      <c r="D281" s="53">
        <v>1</v>
      </c>
      <c r="E281" s="53" t="s">
        <v>639</v>
      </c>
      <c r="F281" s="53" t="s">
        <v>145</v>
      </c>
      <c r="G281" s="53" t="s">
        <v>146</v>
      </c>
      <c r="H281" s="53" t="s">
        <v>499</v>
      </c>
      <c r="I281" s="53" t="s">
        <v>148</v>
      </c>
      <c r="J281" s="53" t="s">
        <v>640</v>
      </c>
    </row>
    <row r="282" spans="1:10" ht="15" customHeight="1" x14ac:dyDescent="0.35">
      <c r="A282" s="53" t="s">
        <v>142</v>
      </c>
      <c r="B282" s="53" t="s">
        <v>497</v>
      </c>
      <c r="C282" s="53" t="s">
        <v>109</v>
      </c>
      <c r="D282" s="53">
        <v>1</v>
      </c>
      <c r="E282" s="53" t="s">
        <v>641</v>
      </c>
      <c r="F282" s="53" t="s">
        <v>145</v>
      </c>
      <c r="G282" s="53" t="s">
        <v>146</v>
      </c>
      <c r="H282" s="53" t="s">
        <v>499</v>
      </c>
      <c r="I282" s="53" t="s">
        <v>148</v>
      </c>
      <c r="J282" s="53" t="s">
        <v>642</v>
      </c>
    </row>
    <row r="283" spans="1:10" ht="15" customHeight="1" x14ac:dyDescent="0.35">
      <c r="A283" s="53" t="s">
        <v>142</v>
      </c>
      <c r="B283" s="53" t="s">
        <v>497</v>
      </c>
      <c r="C283" s="53" t="s">
        <v>109</v>
      </c>
      <c r="D283" s="53">
        <v>1</v>
      </c>
      <c r="E283" s="53" t="s">
        <v>643</v>
      </c>
      <c r="F283" s="53" t="s">
        <v>145</v>
      </c>
      <c r="G283" s="53" t="s">
        <v>146</v>
      </c>
      <c r="H283" s="53" t="s">
        <v>499</v>
      </c>
      <c r="I283" s="53" t="s">
        <v>148</v>
      </c>
      <c r="J283" s="53" t="s">
        <v>644</v>
      </c>
    </row>
    <row r="284" spans="1:10" ht="15" customHeight="1" x14ac:dyDescent="0.35">
      <c r="A284" s="53" t="s">
        <v>142</v>
      </c>
      <c r="B284" s="53" t="s">
        <v>497</v>
      </c>
      <c r="C284" s="53" t="s">
        <v>109</v>
      </c>
      <c r="D284" s="53">
        <v>1</v>
      </c>
      <c r="E284" s="53" t="s">
        <v>645</v>
      </c>
      <c r="F284" s="53" t="s">
        <v>145</v>
      </c>
      <c r="G284" s="53" t="s">
        <v>146</v>
      </c>
      <c r="H284" s="53" t="s">
        <v>499</v>
      </c>
      <c r="I284" s="53" t="s">
        <v>148</v>
      </c>
      <c r="J284" s="53" t="s">
        <v>646</v>
      </c>
    </row>
    <row r="285" spans="1:10" ht="15" customHeight="1" x14ac:dyDescent="0.35">
      <c r="A285" s="53" t="s">
        <v>142</v>
      </c>
      <c r="B285" s="53" t="s">
        <v>497</v>
      </c>
      <c r="C285" s="53" t="s">
        <v>109</v>
      </c>
      <c r="D285" s="53">
        <v>1</v>
      </c>
      <c r="E285" s="53" t="s">
        <v>647</v>
      </c>
      <c r="F285" s="53" t="s">
        <v>145</v>
      </c>
      <c r="G285" s="53" t="s">
        <v>146</v>
      </c>
      <c r="H285" s="53" t="s">
        <v>499</v>
      </c>
      <c r="I285" s="53" t="s">
        <v>148</v>
      </c>
      <c r="J285" s="53" t="s">
        <v>648</v>
      </c>
    </row>
    <row r="286" spans="1:10" ht="15" customHeight="1" x14ac:dyDescent="0.35">
      <c r="A286" s="53" t="s">
        <v>649</v>
      </c>
      <c r="B286" s="53" t="s">
        <v>650</v>
      </c>
      <c r="C286" s="53" t="s">
        <v>651</v>
      </c>
      <c r="D286" s="53">
        <v>1</v>
      </c>
      <c r="E286" s="53" t="s">
        <v>652</v>
      </c>
      <c r="F286" s="53" t="s">
        <v>653</v>
      </c>
      <c r="G286" s="53" t="s">
        <v>654</v>
      </c>
      <c r="H286" s="53" t="s">
        <v>655</v>
      </c>
      <c r="I286" s="53" t="s">
        <v>656</v>
      </c>
      <c r="J286" s="53" t="s">
        <v>657</v>
      </c>
    </row>
    <row r="287" spans="1:10" ht="15" customHeight="1" x14ac:dyDescent="0.35">
      <c r="A287" s="53" t="s">
        <v>649</v>
      </c>
      <c r="B287" s="53" t="s">
        <v>650</v>
      </c>
      <c r="C287" s="53" t="s">
        <v>651</v>
      </c>
      <c r="D287" s="53">
        <v>1</v>
      </c>
      <c r="E287" s="53" t="s">
        <v>658</v>
      </c>
      <c r="F287" s="53" t="s">
        <v>653</v>
      </c>
      <c r="G287" s="53" t="s">
        <v>654</v>
      </c>
      <c r="H287" s="53" t="s">
        <v>655</v>
      </c>
      <c r="I287" s="53" t="s">
        <v>656</v>
      </c>
      <c r="J287" s="53" t="s">
        <v>659</v>
      </c>
    </row>
    <row r="288" spans="1:10" ht="15" customHeight="1" x14ac:dyDescent="0.35">
      <c r="A288" s="53" t="s">
        <v>649</v>
      </c>
      <c r="B288" s="53" t="s">
        <v>660</v>
      </c>
      <c r="C288" s="53" t="s">
        <v>651</v>
      </c>
      <c r="D288" s="53">
        <v>1</v>
      </c>
      <c r="E288" s="53" t="s">
        <v>661</v>
      </c>
      <c r="F288" s="53" t="s">
        <v>653</v>
      </c>
      <c r="G288" s="53" t="s">
        <v>654</v>
      </c>
      <c r="H288" s="53" t="s">
        <v>655</v>
      </c>
      <c r="I288" s="53" t="s">
        <v>656</v>
      </c>
      <c r="J288" s="53" t="s">
        <v>662</v>
      </c>
    </row>
    <row r="289" spans="1:10" ht="15" customHeight="1" x14ac:dyDescent="0.35">
      <c r="A289" s="53" t="s">
        <v>649</v>
      </c>
      <c r="B289" s="53" t="s">
        <v>663</v>
      </c>
      <c r="C289" s="53" t="s">
        <v>651</v>
      </c>
      <c r="D289" s="53">
        <v>1</v>
      </c>
      <c r="E289" s="53" t="s">
        <v>664</v>
      </c>
      <c r="F289" s="53" t="s">
        <v>653</v>
      </c>
      <c r="G289" s="53" t="s">
        <v>654</v>
      </c>
      <c r="H289" s="53" t="s">
        <v>655</v>
      </c>
      <c r="I289" s="53" t="s">
        <v>656</v>
      </c>
      <c r="J289" s="53" t="s">
        <v>665</v>
      </c>
    </row>
    <row r="290" spans="1:10" ht="15" customHeight="1" x14ac:dyDescent="0.35">
      <c r="A290" s="53" t="s">
        <v>649</v>
      </c>
      <c r="B290" s="53" t="s">
        <v>663</v>
      </c>
      <c r="C290" s="53" t="s">
        <v>651</v>
      </c>
      <c r="D290" s="53">
        <v>1</v>
      </c>
      <c r="E290" s="53" t="s">
        <v>666</v>
      </c>
      <c r="F290" s="53" t="s">
        <v>653</v>
      </c>
      <c r="G290" s="53" t="s">
        <v>654</v>
      </c>
      <c r="H290" s="53" t="s">
        <v>655</v>
      </c>
      <c r="I290" s="53" t="s">
        <v>656</v>
      </c>
      <c r="J290" s="53" t="s">
        <v>667</v>
      </c>
    </row>
    <row r="291" spans="1:10" ht="15" customHeight="1" x14ac:dyDescent="0.35">
      <c r="A291" s="53" t="s">
        <v>649</v>
      </c>
      <c r="B291" s="53" t="s">
        <v>660</v>
      </c>
      <c r="C291" s="53" t="s">
        <v>651</v>
      </c>
      <c r="D291" s="53">
        <v>1</v>
      </c>
      <c r="E291" s="53" t="s">
        <v>668</v>
      </c>
      <c r="F291" s="53" t="s">
        <v>653</v>
      </c>
      <c r="G291" s="53" t="s">
        <v>654</v>
      </c>
      <c r="H291" s="53" t="s">
        <v>655</v>
      </c>
      <c r="I291" s="53" t="s">
        <v>656</v>
      </c>
      <c r="J291" s="53" t="s">
        <v>669</v>
      </c>
    </row>
    <row r="292" spans="1:10" ht="15" customHeight="1" x14ac:dyDescent="0.35">
      <c r="A292" s="53" t="s">
        <v>649</v>
      </c>
      <c r="B292" s="53" t="s">
        <v>660</v>
      </c>
      <c r="C292" s="53" t="s">
        <v>651</v>
      </c>
      <c r="D292" s="53">
        <v>1</v>
      </c>
      <c r="E292" s="53" t="s">
        <v>670</v>
      </c>
      <c r="F292" s="53" t="s">
        <v>653</v>
      </c>
      <c r="G292" s="53" t="s">
        <v>654</v>
      </c>
      <c r="H292" s="53" t="s">
        <v>655</v>
      </c>
      <c r="I292" s="53" t="s">
        <v>656</v>
      </c>
      <c r="J292" s="53" t="s">
        <v>671</v>
      </c>
    </row>
    <row r="293" spans="1:10" ht="15" customHeight="1" x14ac:dyDescent="0.35">
      <c r="A293" s="53" t="s">
        <v>649</v>
      </c>
      <c r="B293" s="53" t="s">
        <v>660</v>
      </c>
      <c r="C293" s="53" t="s">
        <v>651</v>
      </c>
      <c r="D293" s="53">
        <v>1</v>
      </c>
      <c r="E293" s="53" t="s">
        <v>672</v>
      </c>
      <c r="F293" s="53" t="s">
        <v>653</v>
      </c>
      <c r="G293" s="53" t="s">
        <v>654</v>
      </c>
      <c r="H293" s="53" t="s">
        <v>655</v>
      </c>
      <c r="I293" s="53" t="s">
        <v>656</v>
      </c>
      <c r="J293" s="53" t="s">
        <v>673</v>
      </c>
    </row>
    <row r="294" spans="1:10" ht="15" customHeight="1" x14ac:dyDescent="0.35">
      <c r="A294" s="53" t="s">
        <v>649</v>
      </c>
      <c r="B294" s="53" t="s">
        <v>660</v>
      </c>
      <c r="C294" s="53" t="s">
        <v>651</v>
      </c>
      <c r="D294" s="53">
        <v>1</v>
      </c>
      <c r="E294" s="53" t="s">
        <v>674</v>
      </c>
      <c r="F294" s="53" t="s">
        <v>653</v>
      </c>
      <c r="G294" s="53" t="s">
        <v>654</v>
      </c>
      <c r="H294" s="53" t="s">
        <v>655</v>
      </c>
      <c r="I294" s="53" t="s">
        <v>656</v>
      </c>
      <c r="J294" s="53" t="s">
        <v>675</v>
      </c>
    </row>
    <row r="295" spans="1:10" ht="15" customHeight="1" x14ac:dyDescent="0.35">
      <c r="A295" s="53" t="s">
        <v>649</v>
      </c>
      <c r="B295" s="53" t="s">
        <v>676</v>
      </c>
      <c r="C295" s="53" t="s">
        <v>651</v>
      </c>
      <c r="D295" s="53">
        <v>1</v>
      </c>
      <c r="E295" s="53" t="s">
        <v>677</v>
      </c>
      <c r="F295" s="53" t="s">
        <v>653</v>
      </c>
      <c r="G295" s="53" t="s">
        <v>654</v>
      </c>
      <c r="H295" s="53" t="s">
        <v>655</v>
      </c>
      <c r="I295" s="53" t="s">
        <v>656</v>
      </c>
      <c r="J295" s="53" t="s">
        <v>678</v>
      </c>
    </row>
    <row r="296" spans="1:10" ht="15" customHeight="1" x14ac:dyDescent="0.35">
      <c r="A296" s="53" t="s">
        <v>649</v>
      </c>
      <c r="B296" s="53" t="s">
        <v>679</v>
      </c>
      <c r="C296" s="53" t="s">
        <v>651</v>
      </c>
      <c r="D296" s="53">
        <v>1</v>
      </c>
      <c r="E296" s="53" t="s">
        <v>680</v>
      </c>
      <c r="F296" s="53" t="s">
        <v>653</v>
      </c>
      <c r="G296" s="53" t="s">
        <v>654</v>
      </c>
      <c r="H296" s="53" t="s">
        <v>655</v>
      </c>
      <c r="I296" s="53" t="s">
        <v>656</v>
      </c>
      <c r="J296" s="53" t="s">
        <v>681</v>
      </c>
    </row>
    <row r="297" spans="1:10" ht="15" customHeight="1" x14ac:dyDescent="0.35">
      <c r="A297" s="53" t="s">
        <v>649</v>
      </c>
      <c r="B297" s="53" t="s">
        <v>679</v>
      </c>
      <c r="C297" s="53" t="s">
        <v>651</v>
      </c>
      <c r="D297" s="53">
        <v>1</v>
      </c>
      <c r="E297" s="53" t="s">
        <v>682</v>
      </c>
      <c r="F297" s="53" t="s">
        <v>653</v>
      </c>
      <c r="G297" s="53" t="s">
        <v>654</v>
      </c>
      <c r="H297" s="53" t="s">
        <v>655</v>
      </c>
      <c r="I297" s="53" t="s">
        <v>656</v>
      </c>
      <c r="J297" s="53" t="s">
        <v>681</v>
      </c>
    </row>
    <row r="298" spans="1:10" ht="15" customHeight="1" x14ac:dyDescent="0.35">
      <c r="A298" s="53" t="s">
        <v>649</v>
      </c>
      <c r="B298" s="53" t="s">
        <v>660</v>
      </c>
      <c r="C298" s="53" t="s">
        <v>651</v>
      </c>
      <c r="D298" s="53">
        <v>1</v>
      </c>
      <c r="E298" s="53" t="s">
        <v>683</v>
      </c>
      <c r="F298" s="53" t="s">
        <v>653</v>
      </c>
      <c r="G298" s="53" t="s">
        <v>654</v>
      </c>
      <c r="H298" s="53" t="s">
        <v>655</v>
      </c>
      <c r="I298" s="53" t="s">
        <v>656</v>
      </c>
      <c r="J298" s="53" t="s">
        <v>684</v>
      </c>
    </row>
    <row r="299" spans="1:10" ht="15" customHeight="1" x14ac:dyDescent="0.35">
      <c r="A299" s="53" t="s">
        <v>649</v>
      </c>
      <c r="B299" s="53" t="s">
        <v>660</v>
      </c>
      <c r="C299" s="53" t="s">
        <v>651</v>
      </c>
      <c r="D299" s="53">
        <v>1</v>
      </c>
      <c r="E299" s="53" t="s">
        <v>685</v>
      </c>
      <c r="F299" s="53" t="s">
        <v>653</v>
      </c>
      <c r="G299" s="53" t="s">
        <v>654</v>
      </c>
      <c r="H299" s="53" t="s">
        <v>655</v>
      </c>
      <c r="I299" s="53" t="s">
        <v>656</v>
      </c>
      <c r="J299" s="53" t="s">
        <v>686</v>
      </c>
    </row>
    <row r="300" spans="1:10" ht="15" customHeight="1" x14ac:dyDescent="0.35">
      <c r="A300" s="53" t="s">
        <v>649</v>
      </c>
      <c r="B300" s="53" t="s">
        <v>660</v>
      </c>
      <c r="C300" s="53" t="s">
        <v>651</v>
      </c>
      <c r="D300" s="53">
        <v>1</v>
      </c>
      <c r="E300" s="53" t="s">
        <v>687</v>
      </c>
      <c r="F300" s="53" t="s">
        <v>653</v>
      </c>
      <c r="G300" s="53" t="s">
        <v>654</v>
      </c>
      <c r="H300" s="53" t="s">
        <v>655</v>
      </c>
      <c r="I300" s="53" t="s">
        <v>656</v>
      </c>
      <c r="J300" s="53" t="s">
        <v>688</v>
      </c>
    </row>
    <row r="301" spans="1:10" ht="15" customHeight="1" x14ac:dyDescent="0.35">
      <c r="A301" s="53" t="s">
        <v>649</v>
      </c>
      <c r="B301" s="53" t="s">
        <v>650</v>
      </c>
      <c r="C301" s="53" t="s">
        <v>651</v>
      </c>
      <c r="D301" s="53">
        <v>1</v>
      </c>
      <c r="E301" s="53" t="s">
        <v>689</v>
      </c>
      <c r="F301" s="53" t="s">
        <v>653</v>
      </c>
      <c r="G301" s="53" t="s">
        <v>654</v>
      </c>
      <c r="H301" s="53" t="s">
        <v>655</v>
      </c>
      <c r="I301" s="53" t="s">
        <v>656</v>
      </c>
      <c r="J301" s="53" t="s">
        <v>690</v>
      </c>
    </row>
    <row r="302" spans="1:10" ht="15" customHeight="1" x14ac:dyDescent="0.35">
      <c r="A302" s="53" t="s">
        <v>649</v>
      </c>
      <c r="B302" s="53" t="s">
        <v>650</v>
      </c>
      <c r="C302" s="53" t="s">
        <v>651</v>
      </c>
      <c r="D302" s="53">
        <v>1</v>
      </c>
      <c r="E302" s="53" t="s">
        <v>691</v>
      </c>
      <c r="F302" s="53" t="s">
        <v>653</v>
      </c>
      <c r="G302" s="53" t="s">
        <v>654</v>
      </c>
      <c r="H302" s="53" t="s">
        <v>655</v>
      </c>
      <c r="I302" s="53" t="s">
        <v>656</v>
      </c>
      <c r="J302" s="53" t="s">
        <v>692</v>
      </c>
    </row>
    <row r="303" spans="1:10" ht="15" customHeight="1" x14ac:dyDescent="0.35">
      <c r="A303" s="53" t="s">
        <v>649</v>
      </c>
      <c r="B303" s="53" t="s">
        <v>650</v>
      </c>
      <c r="C303" s="53" t="s">
        <v>651</v>
      </c>
      <c r="D303" s="53">
        <v>1</v>
      </c>
      <c r="E303" s="53" t="s">
        <v>693</v>
      </c>
      <c r="F303" s="53" t="s">
        <v>653</v>
      </c>
      <c r="G303" s="53" t="s">
        <v>654</v>
      </c>
      <c r="H303" s="53" t="s">
        <v>655</v>
      </c>
      <c r="I303" s="53" t="s">
        <v>656</v>
      </c>
      <c r="J303" s="53" t="s">
        <v>694</v>
      </c>
    </row>
    <row r="304" spans="1:10" ht="15" customHeight="1" x14ac:dyDescent="0.35">
      <c r="A304" s="53" t="s">
        <v>649</v>
      </c>
      <c r="B304" s="53" t="s">
        <v>650</v>
      </c>
      <c r="C304" s="53" t="s">
        <v>651</v>
      </c>
      <c r="D304" s="53">
        <v>1</v>
      </c>
      <c r="E304" s="53" t="s">
        <v>695</v>
      </c>
      <c r="F304" s="53" t="s">
        <v>653</v>
      </c>
      <c r="G304" s="53" t="s">
        <v>654</v>
      </c>
      <c r="H304" s="53" t="s">
        <v>655</v>
      </c>
      <c r="I304" s="53" t="s">
        <v>656</v>
      </c>
      <c r="J304" s="53" t="s">
        <v>696</v>
      </c>
    </row>
    <row r="305" spans="1:10" ht="15" customHeight="1" x14ac:dyDescent="0.35">
      <c r="A305" s="53" t="s">
        <v>649</v>
      </c>
      <c r="B305" s="53" t="s">
        <v>650</v>
      </c>
      <c r="C305" s="53" t="s">
        <v>651</v>
      </c>
      <c r="D305" s="53">
        <v>1</v>
      </c>
      <c r="E305" s="53" t="s">
        <v>697</v>
      </c>
      <c r="F305" s="53" t="s">
        <v>653</v>
      </c>
      <c r="G305" s="53" t="s">
        <v>654</v>
      </c>
      <c r="H305" s="53" t="s">
        <v>655</v>
      </c>
      <c r="I305" s="53" t="s">
        <v>656</v>
      </c>
      <c r="J305" s="53" t="s">
        <v>698</v>
      </c>
    </row>
    <row r="306" spans="1:10" ht="15" customHeight="1" x14ac:dyDescent="0.35">
      <c r="A306" s="53" t="s">
        <v>649</v>
      </c>
      <c r="B306" s="53" t="s">
        <v>650</v>
      </c>
      <c r="C306" s="53" t="s">
        <v>651</v>
      </c>
      <c r="D306" s="53">
        <v>1</v>
      </c>
      <c r="E306" s="53" t="s">
        <v>699</v>
      </c>
      <c r="F306" s="53" t="s">
        <v>653</v>
      </c>
      <c r="G306" s="53" t="s">
        <v>654</v>
      </c>
      <c r="H306" s="53" t="s">
        <v>655</v>
      </c>
      <c r="I306" s="53" t="s">
        <v>656</v>
      </c>
      <c r="J306" s="53" t="s">
        <v>700</v>
      </c>
    </row>
    <row r="307" spans="1:10" ht="15" customHeight="1" x14ac:dyDescent="0.35">
      <c r="A307" s="53" t="s">
        <v>649</v>
      </c>
      <c r="B307" s="53" t="s">
        <v>650</v>
      </c>
      <c r="C307" s="53" t="s">
        <v>651</v>
      </c>
      <c r="D307" s="53">
        <v>1</v>
      </c>
      <c r="E307" s="53" t="s">
        <v>701</v>
      </c>
      <c r="F307" s="53" t="s">
        <v>653</v>
      </c>
      <c r="G307" s="53" t="s">
        <v>654</v>
      </c>
      <c r="H307" s="53" t="s">
        <v>655</v>
      </c>
      <c r="I307" s="53" t="s">
        <v>656</v>
      </c>
      <c r="J307" s="53" t="s">
        <v>702</v>
      </c>
    </row>
    <row r="308" spans="1:10" ht="15" customHeight="1" x14ac:dyDescent="0.35">
      <c r="A308" s="53" t="s">
        <v>649</v>
      </c>
      <c r="B308" s="53" t="s">
        <v>650</v>
      </c>
      <c r="C308" s="53" t="s">
        <v>651</v>
      </c>
      <c r="D308" s="53">
        <v>1</v>
      </c>
      <c r="E308" s="53" t="s">
        <v>703</v>
      </c>
      <c r="F308" s="53" t="s">
        <v>653</v>
      </c>
      <c r="G308" s="53" t="s">
        <v>654</v>
      </c>
      <c r="H308" s="53" t="s">
        <v>655</v>
      </c>
      <c r="I308" s="53" t="s">
        <v>656</v>
      </c>
      <c r="J308" s="53" t="s">
        <v>704</v>
      </c>
    </row>
    <row r="309" spans="1:10" ht="15" customHeight="1" x14ac:dyDescent="0.35">
      <c r="A309" s="53" t="s">
        <v>649</v>
      </c>
      <c r="B309" s="53" t="s">
        <v>650</v>
      </c>
      <c r="C309" s="53" t="s">
        <v>651</v>
      </c>
      <c r="D309" s="53">
        <v>1</v>
      </c>
      <c r="E309" s="53" t="s">
        <v>705</v>
      </c>
      <c r="F309" s="53" t="s">
        <v>653</v>
      </c>
      <c r="G309" s="53" t="s">
        <v>654</v>
      </c>
      <c r="H309" s="53" t="s">
        <v>655</v>
      </c>
      <c r="I309" s="53" t="s">
        <v>656</v>
      </c>
      <c r="J309" s="53" t="s">
        <v>706</v>
      </c>
    </row>
    <row r="310" spans="1:10" ht="15" customHeight="1" x14ac:dyDescent="0.35">
      <c r="A310" s="53" t="s">
        <v>649</v>
      </c>
      <c r="B310" s="53" t="s">
        <v>650</v>
      </c>
      <c r="C310" s="53" t="s">
        <v>651</v>
      </c>
      <c r="D310" s="53">
        <v>1</v>
      </c>
      <c r="E310" s="53" t="s">
        <v>707</v>
      </c>
      <c r="F310" s="53" t="s">
        <v>653</v>
      </c>
      <c r="G310" s="53" t="s">
        <v>654</v>
      </c>
      <c r="H310" s="53" t="s">
        <v>655</v>
      </c>
      <c r="I310" s="53" t="s">
        <v>656</v>
      </c>
      <c r="J310" s="53" t="s">
        <v>708</v>
      </c>
    </row>
    <row r="311" spans="1:10" ht="15" customHeight="1" x14ac:dyDescent="0.35">
      <c r="A311" s="53" t="s">
        <v>649</v>
      </c>
      <c r="B311" s="53" t="s">
        <v>650</v>
      </c>
      <c r="C311" s="53" t="s">
        <v>651</v>
      </c>
      <c r="D311" s="53">
        <v>1</v>
      </c>
      <c r="E311" s="53" t="s">
        <v>709</v>
      </c>
      <c r="F311" s="53" t="s">
        <v>653</v>
      </c>
      <c r="G311" s="53" t="s">
        <v>654</v>
      </c>
      <c r="H311" s="53" t="s">
        <v>655</v>
      </c>
      <c r="I311" s="53" t="s">
        <v>656</v>
      </c>
      <c r="J311" s="53" t="s">
        <v>710</v>
      </c>
    </row>
    <row r="312" spans="1:10" ht="15" customHeight="1" x14ac:dyDescent="0.35">
      <c r="A312" s="53" t="s">
        <v>649</v>
      </c>
      <c r="B312" s="53" t="s">
        <v>650</v>
      </c>
      <c r="C312" s="53" t="s">
        <v>651</v>
      </c>
      <c r="D312" s="53">
        <v>1</v>
      </c>
      <c r="E312" s="53" t="s">
        <v>711</v>
      </c>
      <c r="F312" s="53" t="s">
        <v>653</v>
      </c>
      <c r="G312" s="53" t="s">
        <v>654</v>
      </c>
      <c r="H312" s="53" t="s">
        <v>655</v>
      </c>
      <c r="I312" s="53" t="s">
        <v>656</v>
      </c>
      <c r="J312" s="53" t="s">
        <v>706</v>
      </c>
    </row>
    <row r="313" spans="1:10" ht="15" customHeight="1" x14ac:dyDescent="0.35">
      <c r="A313" s="53" t="s">
        <v>649</v>
      </c>
      <c r="B313" s="53" t="s">
        <v>650</v>
      </c>
      <c r="C313" s="53" t="s">
        <v>651</v>
      </c>
      <c r="D313" s="53">
        <v>1</v>
      </c>
      <c r="E313" s="53" t="s">
        <v>712</v>
      </c>
      <c r="F313" s="53" t="s">
        <v>653</v>
      </c>
      <c r="G313" s="53" t="s">
        <v>654</v>
      </c>
      <c r="H313" s="53" t="s">
        <v>655</v>
      </c>
      <c r="I313" s="53" t="s">
        <v>656</v>
      </c>
      <c r="J313" s="53" t="s">
        <v>713</v>
      </c>
    </row>
    <row r="314" spans="1:10" ht="15" customHeight="1" x14ac:dyDescent="0.35">
      <c r="A314" s="53" t="s">
        <v>649</v>
      </c>
      <c r="B314" s="53" t="s">
        <v>650</v>
      </c>
      <c r="C314" s="53" t="s">
        <v>651</v>
      </c>
      <c r="D314" s="53">
        <v>1</v>
      </c>
      <c r="E314" s="53" t="s">
        <v>714</v>
      </c>
      <c r="F314" s="53" t="s">
        <v>653</v>
      </c>
      <c r="G314" s="53" t="s">
        <v>654</v>
      </c>
      <c r="H314" s="53" t="s">
        <v>655</v>
      </c>
      <c r="I314" s="53" t="s">
        <v>656</v>
      </c>
      <c r="J314" s="53" t="s">
        <v>706</v>
      </c>
    </row>
    <row r="315" spans="1:10" ht="15" customHeight="1" x14ac:dyDescent="0.35">
      <c r="A315" s="53" t="s">
        <v>649</v>
      </c>
      <c r="B315" s="53" t="s">
        <v>660</v>
      </c>
      <c r="C315" s="53" t="s">
        <v>651</v>
      </c>
      <c r="D315" s="53">
        <v>1</v>
      </c>
      <c r="E315" s="53" t="s">
        <v>715</v>
      </c>
      <c r="F315" s="53" t="s">
        <v>653</v>
      </c>
      <c r="G315" s="53" t="s">
        <v>654</v>
      </c>
      <c r="H315" s="53" t="s">
        <v>655</v>
      </c>
      <c r="I315" s="53" t="s">
        <v>656</v>
      </c>
      <c r="J315" s="53" t="s">
        <v>716</v>
      </c>
    </row>
    <row r="316" spans="1:10" ht="15" customHeight="1" x14ac:dyDescent="0.35">
      <c r="A316" s="53" t="s">
        <v>649</v>
      </c>
      <c r="B316" s="53" t="s">
        <v>717</v>
      </c>
      <c r="C316" s="53" t="s">
        <v>651</v>
      </c>
      <c r="D316" s="53">
        <v>1</v>
      </c>
      <c r="E316" s="53" t="s">
        <v>718</v>
      </c>
      <c r="F316" s="53" t="s">
        <v>653</v>
      </c>
      <c r="G316" s="53" t="s">
        <v>654</v>
      </c>
      <c r="H316" s="53" t="s">
        <v>655</v>
      </c>
      <c r="I316" s="53" t="s">
        <v>656</v>
      </c>
      <c r="J316" s="53" t="s">
        <v>719</v>
      </c>
    </row>
    <row r="317" spans="1:10" ht="15" customHeight="1" x14ac:dyDescent="0.35">
      <c r="A317" s="53" t="s">
        <v>649</v>
      </c>
      <c r="B317" s="53" t="s">
        <v>717</v>
      </c>
      <c r="C317" s="53" t="s">
        <v>651</v>
      </c>
      <c r="D317" s="53">
        <v>1</v>
      </c>
      <c r="E317" s="53" t="s">
        <v>720</v>
      </c>
      <c r="F317" s="53" t="s">
        <v>653</v>
      </c>
      <c r="G317" s="53" t="s">
        <v>654</v>
      </c>
      <c r="H317" s="53" t="s">
        <v>655</v>
      </c>
      <c r="I317" s="53" t="s">
        <v>656</v>
      </c>
      <c r="J317" s="53" t="s">
        <v>719</v>
      </c>
    </row>
    <row r="318" spans="1:10" ht="15" customHeight="1" x14ac:dyDescent="0.35">
      <c r="A318" s="53" t="s">
        <v>649</v>
      </c>
      <c r="B318" s="53" t="s">
        <v>717</v>
      </c>
      <c r="C318" s="53" t="s">
        <v>651</v>
      </c>
      <c r="D318" s="53">
        <v>1</v>
      </c>
      <c r="E318" s="53" t="s">
        <v>721</v>
      </c>
      <c r="F318" s="53" t="s">
        <v>653</v>
      </c>
      <c r="G318" s="53" t="s">
        <v>654</v>
      </c>
      <c r="H318" s="53" t="s">
        <v>655</v>
      </c>
      <c r="I318" s="53" t="s">
        <v>656</v>
      </c>
      <c r="J318" s="53" t="s">
        <v>722</v>
      </c>
    </row>
    <row r="319" spans="1:10" ht="15" customHeight="1" x14ac:dyDescent="0.35">
      <c r="A319" s="53" t="s">
        <v>649</v>
      </c>
      <c r="B319" s="53" t="s">
        <v>717</v>
      </c>
      <c r="C319" s="53" t="s">
        <v>651</v>
      </c>
      <c r="D319" s="53">
        <v>1</v>
      </c>
      <c r="E319" s="53" t="s">
        <v>723</v>
      </c>
      <c r="F319" s="53" t="s">
        <v>653</v>
      </c>
      <c r="G319" s="53" t="s">
        <v>654</v>
      </c>
      <c r="H319" s="53" t="s">
        <v>655</v>
      </c>
      <c r="I319" s="53" t="s">
        <v>656</v>
      </c>
      <c r="J319" s="53" t="s">
        <v>724</v>
      </c>
    </row>
    <row r="320" spans="1:10" ht="15" customHeight="1" x14ac:dyDescent="0.35">
      <c r="A320" s="53" t="s">
        <v>649</v>
      </c>
      <c r="B320" s="53" t="s">
        <v>725</v>
      </c>
      <c r="C320" s="53" t="s">
        <v>651</v>
      </c>
      <c r="D320" s="53">
        <v>1</v>
      </c>
      <c r="E320" s="53" t="s">
        <v>726</v>
      </c>
      <c r="F320" s="53" t="s">
        <v>653</v>
      </c>
      <c r="G320" s="53" t="s">
        <v>654</v>
      </c>
      <c r="H320" s="53" t="s">
        <v>655</v>
      </c>
      <c r="I320" s="53" t="s">
        <v>656</v>
      </c>
      <c r="J320" s="53" t="s">
        <v>727</v>
      </c>
    </row>
    <row r="321" spans="1:10" ht="15" customHeight="1" x14ac:dyDescent="0.35">
      <c r="A321" s="53" t="s">
        <v>649</v>
      </c>
      <c r="B321" s="53" t="s">
        <v>717</v>
      </c>
      <c r="C321" s="53" t="s">
        <v>651</v>
      </c>
      <c r="D321" s="53">
        <v>1</v>
      </c>
      <c r="E321" s="53" t="s">
        <v>728</v>
      </c>
      <c r="F321" s="53" t="s">
        <v>653</v>
      </c>
      <c r="G321" s="53" t="s">
        <v>654</v>
      </c>
      <c r="H321" s="53" t="s">
        <v>655</v>
      </c>
      <c r="I321" s="53" t="s">
        <v>656</v>
      </c>
      <c r="J321" s="53" t="s">
        <v>729</v>
      </c>
    </row>
    <row r="322" spans="1:10" ht="15" customHeight="1" x14ac:dyDescent="0.35">
      <c r="A322" s="53" t="s">
        <v>649</v>
      </c>
      <c r="B322" s="53" t="s">
        <v>730</v>
      </c>
      <c r="C322" s="53" t="s">
        <v>651</v>
      </c>
      <c r="D322" s="53">
        <v>1</v>
      </c>
      <c r="E322" s="53" t="s">
        <v>731</v>
      </c>
      <c r="F322" s="53" t="s">
        <v>653</v>
      </c>
      <c r="G322" s="53" t="s">
        <v>654</v>
      </c>
      <c r="H322" s="53" t="s">
        <v>655</v>
      </c>
      <c r="I322" s="53" t="s">
        <v>656</v>
      </c>
      <c r="J322" s="53" t="s">
        <v>732</v>
      </c>
    </row>
    <row r="323" spans="1:10" ht="15" customHeight="1" x14ac:dyDescent="0.35">
      <c r="A323" s="53" t="s">
        <v>649</v>
      </c>
      <c r="B323" s="53" t="s">
        <v>730</v>
      </c>
      <c r="C323" s="53" t="s">
        <v>651</v>
      </c>
      <c r="D323" s="53">
        <v>1</v>
      </c>
      <c r="E323" s="53" t="s">
        <v>733</v>
      </c>
      <c r="F323" s="53" t="s">
        <v>653</v>
      </c>
      <c r="G323" s="53" t="s">
        <v>654</v>
      </c>
      <c r="H323" s="53" t="s">
        <v>655</v>
      </c>
      <c r="I323" s="53" t="s">
        <v>656</v>
      </c>
      <c r="J323" s="53" t="s">
        <v>734</v>
      </c>
    </row>
    <row r="324" spans="1:10" ht="15" customHeight="1" x14ac:dyDescent="0.35">
      <c r="A324" s="53" t="s">
        <v>649</v>
      </c>
      <c r="B324" s="53" t="s">
        <v>730</v>
      </c>
      <c r="C324" s="53" t="s">
        <v>651</v>
      </c>
      <c r="D324" s="53">
        <v>1</v>
      </c>
      <c r="E324" s="53" t="s">
        <v>735</v>
      </c>
      <c r="F324" s="53" t="s">
        <v>653</v>
      </c>
      <c r="G324" s="53" t="s">
        <v>654</v>
      </c>
      <c r="H324" s="53" t="s">
        <v>655</v>
      </c>
      <c r="I324" s="53" t="s">
        <v>656</v>
      </c>
      <c r="J324" s="53" t="s">
        <v>736</v>
      </c>
    </row>
    <row r="325" spans="1:10" ht="15" customHeight="1" x14ac:dyDescent="0.35">
      <c r="A325" s="53" t="s">
        <v>649</v>
      </c>
      <c r="B325" s="53" t="s">
        <v>737</v>
      </c>
      <c r="C325" s="53" t="s">
        <v>651</v>
      </c>
      <c r="D325" s="53">
        <v>1</v>
      </c>
      <c r="E325" s="53" t="s">
        <v>738</v>
      </c>
      <c r="F325" s="53" t="s">
        <v>653</v>
      </c>
      <c r="G325" s="53" t="s">
        <v>654</v>
      </c>
      <c r="H325" s="53" t="s">
        <v>655</v>
      </c>
      <c r="I325" s="53" t="s">
        <v>656</v>
      </c>
      <c r="J325" s="53" t="s">
        <v>739</v>
      </c>
    </row>
    <row r="326" spans="1:10" ht="15" customHeight="1" x14ac:dyDescent="0.35">
      <c r="A326" s="53" t="s">
        <v>649</v>
      </c>
      <c r="B326" s="53" t="s">
        <v>730</v>
      </c>
      <c r="C326" s="53" t="s">
        <v>651</v>
      </c>
      <c r="D326" s="53">
        <v>1</v>
      </c>
      <c r="E326" s="53" t="s">
        <v>740</v>
      </c>
      <c r="F326" s="53" t="s">
        <v>653</v>
      </c>
      <c r="G326" s="53" t="s">
        <v>654</v>
      </c>
      <c r="H326" s="53" t="s">
        <v>655</v>
      </c>
      <c r="I326" s="53" t="s">
        <v>656</v>
      </c>
      <c r="J326" s="53" t="s">
        <v>741</v>
      </c>
    </row>
    <row r="327" spans="1:10" ht="15" customHeight="1" x14ac:dyDescent="0.35">
      <c r="A327" s="53" t="s">
        <v>649</v>
      </c>
      <c r="B327" s="53" t="s">
        <v>730</v>
      </c>
      <c r="C327" s="53" t="s">
        <v>651</v>
      </c>
      <c r="D327" s="53">
        <v>1</v>
      </c>
      <c r="E327" s="53" t="s">
        <v>742</v>
      </c>
      <c r="F327" s="53" t="s">
        <v>653</v>
      </c>
      <c r="G327" s="53" t="s">
        <v>654</v>
      </c>
      <c r="H327" s="53" t="s">
        <v>655</v>
      </c>
      <c r="I327" s="53" t="s">
        <v>656</v>
      </c>
      <c r="J327" s="53" t="s">
        <v>743</v>
      </c>
    </row>
    <row r="328" spans="1:10" ht="15" customHeight="1" x14ac:dyDescent="0.35">
      <c r="A328" s="53" t="s">
        <v>649</v>
      </c>
      <c r="B328" s="53" t="s">
        <v>730</v>
      </c>
      <c r="C328" s="53" t="s">
        <v>651</v>
      </c>
      <c r="D328" s="53">
        <v>1</v>
      </c>
      <c r="E328" s="53" t="s">
        <v>744</v>
      </c>
      <c r="F328" s="53" t="s">
        <v>653</v>
      </c>
      <c r="G328" s="53" t="s">
        <v>654</v>
      </c>
      <c r="H328" s="53" t="s">
        <v>655</v>
      </c>
      <c r="I328" s="53" t="s">
        <v>656</v>
      </c>
      <c r="J328" s="53" t="s">
        <v>745</v>
      </c>
    </row>
    <row r="329" spans="1:10" ht="15" customHeight="1" x14ac:dyDescent="0.35">
      <c r="A329" s="53" t="s">
        <v>649</v>
      </c>
      <c r="B329" s="53" t="s">
        <v>746</v>
      </c>
      <c r="C329" s="53" t="s">
        <v>651</v>
      </c>
      <c r="D329" s="53">
        <v>1</v>
      </c>
      <c r="E329" s="53" t="s">
        <v>747</v>
      </c>
      <c r="F329" s="53" t="s">
        <v>653</v>
      </c>
      <c r="G329" s="53" t="s">
        <v>654</v>
      </c>
      <c r="H329" s="53" t="s">
        <v>655</v>
      </c>
      <c r="I329" s="53" t="s">
        <v>656</v>
      </c>
      <c r="J329" s="53" t="s">
        <v>748</v>
      </c>
    </row>
    <row r="330" spans="1:10" ht="15" customHeight="1" x14ac:dyDescent="0.35">
      <c r="A330" s="53" t="s">
        <v>649</v>
      </c>
      <c r="B330" s="53" t="s">
        <v>746</v>
      </c>
      <c r="C330" s="53" t="s">
        <v>651</v>
      </c>
      <c r="D330" s="53">
        <v>1</v>
      </c>
      <c r="E330" s="53" t="s">
        <v>749</v>
      </c>
      <c r="F330" s="53" t="s">
        <v>653</v>
      </c>
      <c r="G330" s="53" t="s">
        <v>654</v>
      </c>
      <c r="H330" s="53" t="s">
        <v>655</v>
      </c>
      <c r="I330" s="53" t="s">
        <v>656</v>
      </c>
      <c r="J330" s="53" t="s">
        <v>750</v>
      </c>
    </row>
    <row r="331" spans="1:10" ht="15" customHeight="1" x14ac:dyDescent="0.35">
      <c r="A331" s="53" t="s">
        <v>649</v>
      </c>
      <c r="B331" s="53" t="s">
        <v>751</v>
      </c>
      <c r="C331" s="53" t="s">
        <v>651</v>
      </c>
      <c r="D331" s="53">
        <v>1</v>
      </c>
      <c r="E331" s="53" t="s">
        <v>752</v>
      </c>
      <c r="F331" s="53" t="s">
        <v>653</v>
      </c>
      <c r="G331" s="53" t="s">
        <v>654</v>
      </c>
      <c r="H331" s="53" t="s">
        <v>655</v>
      </c>
      <c r="I331" s="53" t="s">
        <v>656</v>
      </c>
      <c r="J331" s="53" t="s">
        <v>753</v>
      </c>
    </row>
    <row r="332" spans="1:10" ht="15" customHeight="1" x14ac:dyDescent="0.35">
      <c r="A332" s="53" t="s">
        <v>649</v>
      </c>
      <c r="B332" s="53" t="s">
        <v>746</v>
      </c>
      <c r="C332" s="53" t="s">
        <v>651</v>
      </c>
      <c r="D332" s="53">
        <v>1</v>
      </c>
      <c r="E332" s="53" t="s">
        <v>754</v>
      </c>
      <c r="F332" s="53" t="s">
        <v>653</v>
      </c>
      <c r="G332" s="53" t="s">
        <v>654</v>
      </c>
      <c r="H332" s="53" t="s">
        <v>655</v>
      </c>
      <c r="I332" s="53" t="s">
        <v>656</v>
      </c>
      <c r="J332" s="53" t="s">
        <v>755</v>
      </c>
    </row>
    <row r="333" spans="1:10" ht="15" customHeight="1" x14ac:dyDescent="0.35">
      <c r="A333" s="53" t="s">
        <v>649</v>
      </c>
      <c r="B333" s="53" t="s">
        <v>751</v>
      </c>
      <c r="C333" s="53" t="s">
        <v>651</v>
      </c>
      <c r="D333" s="53">
        <v>1</v>
      </c>
      <c r="E333" s="53" t="s">
        <v>756</v>
      </c>
      <c r="F333" s="53" t="s">
        <v>653</v>
      </c>
      <c r="G333" s="53" t="s">
        <v>654</v>
      </c>
      <c r="H333" s="53" t="s">
        <v>655</v>
      </c>
      <c r="I333" s="53" t="s">
        <v>656</v>
      </c>
      <c r="J333" s="53" t="s">
        <v>757</v>
      </c>
    </row>
    <row r="334" spans="1:10" ht="15" customHeight="1" x14ac:dyDescent="0.35">
      <c r="A334" s="53" t="s">
        <v>649</v>
      </c>
      <c r="B334" s="53" t="s">
        <v>746</v>
      </c>
      <c r="C334" s="53" t="s">
        <v>651</v>
      </c>
      <c r="D334" s="53">
        <v>1</v>
      </c>
      <c r="E334" s="53" t="s">
        <v>758</v>
      </c>
      <c r="F334" s="53" t="s">
        <v>653</v>
      </c>
      <c r="G334" s="53" t="s">
        <v>654</v>
      </c>
      <c r="H334" s="53" t="s">
        <v>655</v>
      </c>
      <c r="I334" s="53" t="s">
        <v>656</v>
      </c>
      <c r="J334" s="53" t="s">
        <v>759</v>
      </c>
    </row>
    <row r="335" spans="1:10" ht="15" customHeight="1" x14ac:dyDescent="0.35">
      <c r="A335" s="53" t="s">
        <v>649</v>
      </c>
      <c r="B335" s="53" t="s">
        <v>663</v>
      </c>
      <c r="C335" s="53" t="s">
        <v>651</v>
      </c>
      <c r="D335" s="53">
        <v>1</v>
      </c>
      <c r="E335" s="53" t="s">
        <v>760</v>
      </c>
      <c r="F335" s="53" t="s">
        <v>653</v>
      </c>
      <c r="G335" s="53" t="s">
        <v>654</v>
      </c>
      <c r="H335" s="53" t="s">
        <v>655</v>
      </c>
      <c r="I335" s="53" t="s">
        <v>656</v>
      </c>
      <c r="J335" s="53" t="s">
        <v>761</v>
      </c>
    </row>
    <row r="336" spans="1:10" ht="15" customHeight="1" x14ac:dyDescent="0.35">
      <c r="A336" s="53" t="s">
        <v>649</v>
      </c>
      <c r="B336" s="53" t="s">
        <v>725</v>
      </c>
      <c r="C336" s="53" t="s">
        <v>651</v>
      </c>
      <c r="D336" s="53">
        <v>1</v>
      </c>
      <c r="E336" s="53" t="s">
        <v>762</v>
      </c>
      <c r="F336" s="53" t="s">
        <v>653</v>
      </c>
      <c r="G336" s="53" t="s">
        <v>654</v>
      </c>
      <c r="H336" s="53" t="s">
        <v>655</v>
      </c>
      <c r="I336" s="53" t="s">
        <v>656</v>
      </c>
      <c r="J336" s="53" t="s">
        <v>763</v>
      </c>
    </row>
    <row r="337" spans="1:10" ht="15" customHeight="1" x14ac:dyDescent="0.35">
      <c r="A337" s="53" t="s">
        <v>649</v>
      </c>
      <c r="B337" s="53" t="s">
        <v>725</v>
      </c>
      <c r="C337" s="53" t="s">
        <v>651</v>
      </c>
      <c r="D337" s="53">
        <v>1</v>
      </c>
      <c r="E337" s="53" t="s">
        <v>764</v>
      </c>
      <c r="F337" s="53" t="s">
        <v>653</v>
      </c>
      <c r="G337" s="53" t="s">
        <v>654</v>
      </c>
      <c r="H337" s="53" t="s">
        <v>655</v>
      </c>
      <c r="I337" s="53" t="s">
        <v>656</v>
      </c>
      <c r="J337" s="53" t="s">
        <v>765</v>
      </c>
    </row>
    <row r="338" spans="1:10" ht="15" customHeight="1" x14ac:dyDescent="0.35">
      <c r="A338" s="53" t="s">
        <v>649</v>
      </c>
      <c r="B338" s="53" t="s">
        <v>766</v>
      </c>
      <c r="C338" s="53" t="s">
        <v>651</v>
      </c>
      <c r="D338" s="53">
        <v>1</v>
      </c>
      <c r="E338" s="53" t="s">
        <v>767</v>
      </c>
      <c r="F338" s="53" t="s">
        <v>653</v>
      </c>
      <c r="G338" s="53" t="s">
        <v>654</v>
      </c>
      <c r="H338" s="53" t="s">
        <v>655</v>
      </c>
      <c r="I338" s="53" t="s">
        <v>656</v>
      </c>
      <c r="J338" s="53" t="s">
        <v>768</v>
      </c>
    </row>
    <row r="339" spans="1:10" ht="15" customHeight="1" x14ac:dyDescent="0.35">
      <c r="A339" s="53" t="s">
        <v>649</v>
      </c>
      <c r="B339" s="53" t="s">
        <v>766</v>
      </c>
      <c r="C339" s="53" t="s">
        <v>651</v>
      </c>
      <c r="D339" s="53">
        <v>1</v>
      </c>
      <c r="E339" s="53" t="s">
        <v>769</v>
      </c>
      <c r="F339" s="53" t="s">
        <v>653</v>
      </c>
      <c r="G339" s="53" t="s">
        <v>654</v>
      </c>
      <c r="H339" s="53" t="s">
        <v>655</v>
      </c>
      <c r="I339" s="53" t="s">
        <v>656</v>
      </c>
      <c r="J339" s="53" t="s">
        <v>770</v>
      </c>
    </row>
    <row r="340" spans="1:10" ht="15" customHeight="1" x14ac:dyDescent="0.35">
      <c r="A340" s="53" t="s">
        <v>649</v>
      </c>
      <c r="B340" s="53" t="s">
        <v>771</v>
      </c>
      <c r="C340" s="53" t="s">
        <v>651</v>
      </c>
      <c r="D340" s="53">
        <v>1</v>
      </c>
      <c r="E340" s="53" t="s">
        <v>772</v>
      </c>
      <c r="F340" s="53" t="s">
        <v>653</v>
      </c>
      <c r="G340" s="53" t="s">
        <v>654</v>
      </c>
      <c r="H340" s="53" t="s">
        <v>655</v>
      </c>
      <c r="I340" s="53" t="s">
        <v>656</v>
      </c>
      <c r="J340" s="53" t="s">
        <v>684</v>
      </c>
    </row>
    <row r="341" spans="1:10" ht="15" customHeight="1" x14ac:dyDescent="0.35">
      <c r="A341" s="53" t="s">
        <v>649</v>
      </c>
      <c r="B341" s="53" t="s">
        <v>717</v>
      </c>
      <c r="C341" s="53" t="s">
        <v>651</v>
      </c>
      <c r="D341" s="53">
        <v>1</v>
      </c>
      <c r="E341" s="53" t="s">
        <v>773</v>
      </c>
      <c r="F341" s="53" t="s">
        <v>653</v>
      </c>
      <c r="G341" s="53" t="s">
        <v>654</v>
      </c>
      <c r="H341" s="53" t="s">
        <v>655</v>
      </c>
      <c r="I341" s="53" t="s">
        <v>656</v>
      </c>
      <c r="J341" s="53" t="s">
        <v>684</v>
      </c>
    </row>
    <row r="342" spans="1:10" ht="15" customHeight="1" x14ac:dyDescent="0.35">
      <c r="A342" s="53" t="s">
        <v>649</v>
      </c>
      <c r="B342" s="53" t="s">
        <v>717</v>
      </c>
      <c r="C342" s="53" t="s">
        <v>651</v>
      </c>
      <c r="D342" s="53">
        <v>1</v>
      </c>
      <c r="E342" s="53" t="s">
        <v>774</v>
      </c>
      <c r="F342" s="53" t="s">
        <v>653</v>
      </c>
      <c r="G342" s="53" t="s">
        <v>654</v>
      </c>
      <c r="H342" s="53" t="s">
        <v>655</v>
      </c>
      <c r="I342" s="53" t="s">
        <v>656</v>
      </c>
      <c r="J342" s="53" t="s">
        <v>686</v>
      </c>
    </row>
    <row r="343" spans="1:10" ht="15" customHeight="1" x14ac:dyDescent="0.35">
      <c r="A343" s="53" t="s">
        <v>649</v>
      </c>
      <c r="B343" s="53" t="s">
        <v>717</v>
      </c>
      <c r="C343" s="53" t="s">
        <v>651</v>
      </c>
      <c r="D343" s="53">
        <v>1</v>
      </c>
      <c r="E343" s="53" t="s">
        <v>775</v>
      </c>
      <c r="F343" s="53" t="s">
        <v>653</v>
      </c>
      <c r="G343" s="53" t="s">
        <v>654</v>
      </c>
      <c r="H343" s="53" t="s">
        <v>655</v>
      </c>
      <c r="I343" s="53" t="s">
        <v>656</v>
      </c>
      <c r="J343" s="53" t="s">
        <v>776</v>
      </c>
    </row>
    <row r="344" spans="1:10" ht="15" customHeight="1" x14ac:dyDescent="0.35">
      <c r="A344" s="53" t="s">
        <v>649</v>
      </c>
      <c r="B344" s="53" t="s">
        <v>717</v>
      </c>
      <c r="C344" s="53" t="s">
        <v>651</v>
      </c>
      <c r="D344" s="53">
        <v>1</v>
      </c>
      <c r="E344" s="53" t="s">
        <v>777</v>
      </c>
      <c r="F344" s="53" t="s">
        <v>653</v>
      </c>
      <c r="G344" s="53" t="s">
        <v>654</v>
      </c>
      <c r="H344" s="53" t="s">
        <v>655</v>
      </c>
      <c r="I344" s="53" t="s">
        <v>656</v>
      </c>
      <c r="J344" s="53" t="s">
        <v>667</v>
      </c>
    </row>
    <row r="345" spans="1:10" ht="15" customHeight="1" x14ac:dyDescent="0.35">
      <c r="A345" s="53" t="s">
        <v>649</v>
      </c>
      <c r="B345" s="53" t="s">
        <v>778</v>
      </c>
      <c r="C345" s="53" t="s">
        <v>651</v>
      </c>
      <c r="D345" s="53">
        <v>1</v>
      </c>
      <c r="E345" s="53" t="s">
        <v>779</v>
      </c>
      <c r="F345" s="53" t="s">
        <v>653</v>
      </c>
      <c r="G345" s="53" t="s">
        <v>654</v>
      </c>
      <c r="H345" s="53" t="s">
        <v>655</v>
      </c>
      <c r="I345" s="53" t="s">
        <v>656</v>
      </c>
      <c r="J345" s="53" t="s">
        <v>780</v>
      </c>
    </row>
    <row r="346" spans="1:10" ht="15" customHeight="1" x14ac:dyDescent="0.35">
      <c r="A346" s="53" t="s">
        <v>649</v>
      </c>
      <c r="B346" s="53" t="s">
        <v>778</v>
      </c>
      <c r="C346" s="53" t="s">
        <v>651</v>
      </c>
      <c r="D346" s="53">
        <v>1</v>
      </c>
      <c r="E346" s="53" t="s">
        <v>781</v>
      </c>
      <c r="F346" s="53" t="s">
        <v>653</v>
      </c>
      <c r="G346" s="53" t="s">
        <v>654</v>
      </c>
      <c r="H346" s="53" t="s">
        <v>655</v>
      </c>
      <c r="I346" s="53" t="s">
        <v>656</v>
      </c>
      <c r="J346" s="53" t="s">
        <v>782</v>
      </c>
    </row>
    <row r="347" spans="1:10" ht="15" customHeight="1" x14ac:dyDescent="0.35">
      <c r="A347" s="53" t="s">
        <v>649</v>
      </c>
      <c r="B347" s="53" t="s">
        <v>783</v>
      </c>
      <c r="C347" s="53" t="s">
        <v>651</v>
      </c>
      <c r="D347" s="53">
        <v>1</v>
      </c>
      <c r="E347" s="53" t="s">
        <v>784</v>
      </c>
      <c r="F347" s="53" t="s">
        <v>653</v>
      </c>
      <c r="G347" s="53" t="s">
        <v>654</v>
      </c>
      <c r="H347" s="53" t="s">
        <v>655</v>
      </c>
      <c r="I347" s="53" t="s">
        <v>656</v>
      </c>
      <c r="J347" s="53" t="s">
        <v>750</v>
      </c>
    </row>
    <row r="348" spans="1:10" ht="15" customHeight="1" x14ac:dyDescent="0.35">
      <c r="A348" s="53" t="s">
        <v>649</v>
      </c>
      <c r="B348" s="53" t="s">
        <v>783</v>
      </c>
      <c r="C348" s="53" t="s">
        <v>651</v>
      </c>
      <c r="D348" s="53">
        <v>1</v>
      </c>
      <c r="E348" s="53" t="s">
        <v>785</v>
      </c>
      <c r="F348" s="53" t="s">
        <v>653</v>
      </c>
      <c r="G348" s="53" t="s">
        <v>654</v>
      </c>
      <c r="H348" s="53" t="s">
        <v>655</v>
      </c>
      <c r="I348" s="53" t="s">
        <v>656</v>
      </c>
      <c r="J348" s="53" t="s">
        <v>786</v>
      </c>
    </row>
    <row r="349" spans="1:10" ht="15" customHeight="1" x14ac:dyDescent="0.35">
      <c r="A349" s="53" t="s">
        <v>649</v>
      </c>
      <c r="B349" s="53" t="s">
        <v>783</v>
      </c>
      <c r="C349" s="53" t="s">
        <v>651</v>
      </c>
      <c r="D349" s="53">
        <v>1</v>
      </c>
      <c r="E349" s="53" t="s">
        <v>787</v>
      </c>
      <c r="F349" s="53" t="s">
        <v>653</v>
      </c>
      <c r="G349" s="53" t="s">
        <v>654</v>
      </c>
      <c r="H349" s="53" t="s">
        <v>655</v>
      </c>
      <c r="I349" s="53" t="s">
        <v>656</v>
      </c>
      <c r="J349" s="53" t="s">
        <v>788</v>
      </c>
    </row>
    <row r="350" spans="1:10" ht="15" customHeight="1" x14ac:dyDescent="0.35">
      <c r="A350" s="53" t="s">
        <v>649</v>
      </c>
      <c r="B350" s="53" t="s">
        <v>778</v>
      </c>
      <c r="C350" s="53" t="s">
        <v>651</v>
      </c>
      <c r="D350" s="53">
        <v>1</v>
      </c>
      <c r="E350" s="53" t="s">
        <v>789</v>
      </c>
      <c r="F350" s="53" t="s">
        <v>653</v>
      </c>
      <c r="G350" s="53" t="s">
        <v>654</v>
      </c>
      <c r="H350" s="53" t="s">
        <v>655</v>
      </c>
      <c r="I350" s="53" t="s">
        <v>656</v>
      </c>
      <c r="J350" s="53" t="s">
        <v>790</v>
      </c>
    </row>
    <row r="351" spans="1:10" ht="15" customHeight="1" x14ac:dyDescent="0.35">
      <c r="A351" s="53" t="s">
        <v>649</v>
      </c>
      <c r="B351" s="53" t="s">
        <v>778</v>
      </c>
      <c r="C351" s="53" t="s">
        <v>651</v>
      </c>
      <c r="D351" s="53">
        <v>1</v>
      </c>
      <c r="E351" s="53" t="s">
        <v>791</v>
      </c>
      <c r="F351" s="53" t="s">
        <v>653</v>
      </c>
      <c r="G351" s="53" t="s">
        <v>654</v>
      </c>
      <c r="H351" s="53" t="s">
        <v>655</v>
      </c>
      <c r="I351" s="53" t="s">
        <v>656</v>
      </c>
      <c r="J351" s="53" t="s">
        <v>792</v>
      </c>
    </row>
    <row r="352" spans="1:10" ht="15" customHeight="1" x14ac:dyDescent="0.35">
      <c r="A352" s="53" t="s">
        <v>649</v>
      </c>
      <c r="B352" s="53" t="s">
        <v>783</v>
      </c>
      <c r="C352" s="53" t="s">
        <v>651</v>
      </c>
      <c r="D352" s="53">
        <v>1</v>
      </c>
      <c r="E352" s="53" t="s">
        <v>793</v>
      </c>
      <c r="F352" s="53" t="s">
        <v>653</v>
      </c>
      <c r="G352" s="53" t="s">
        <v>654</v>
      </c>
      <c r="H352" s="53" t="s">
        <v>655</v>
      </c>
      <c r="I352" s="53" t="s">
        <v>656</v>
      </c>
      <c r="J352" s="53" t="s">
        <v>794</v>
      </c>
    </row>
    <row r="353" spans="1:10" ht="15" customHeight="1" x14ac:dyDescent="0.35">
      <c r="A353" s="53" t="s">
        <v>649</v>
      </c>
      <c r="B353" s="53" t="s">
        <v>783</v>
      </c>
      <c r="C353" s="53" t="s">
        <v>651</v>
      </c>
      <c r="D353" s="53">
        <v>1</v>
      </c>
      <c r="E353" s="53" t="s">
        <v>795</v>
      </c>
      <c r="F353" s="53" t="s">
        <v>653</v>
      </c>
      <c r="G353" s="53" t="s">
        <v>654</v>
      </c>
      <c r="H353" s="53" t="s">
        <v>655</v>
      </c>
      <c r="I353" s="53" t="s">
        <v>656</v>
      </c>
      <c r="J353" s="53" t="s">
        <v>796</v>
      </c>
    </row>
    <row r="354" spans="1:10" ht="15" customHeight="1" x14ac:dyDescent="0.35">
      <c r="A354" s="53" t="s">
        <v>649</v>
      </c>
      <c r="B354" s="53" t="s">
        <v>778</v>
      </c>
      <c r="C354" s="53" t="s">
        <v>651</v>
      </c>
      <c r="D354" s="53">
        <v>1</v>
      </c>
      <c r="E354" s="53" t="s">
        <v>797</v>
      </c>
      <c r="F354" s="53" t="s">
        <v>653</v>
      </c>
      <c r="G354" s="53" t="s">
        <v>654</v>
      </c>
      <c r="H354" s="53" t="s">
        <v>655</v>
      </c>
      <c r="I354" s="53" t="s">
        <v>656</v>
      </c>
      <c r="J354" s="53" t="s">
        <v>798</v>
      </c>
    </row>
    <row r="355" spans="1:10" ht="15" customHeight="1" x14ac:dyDescent="0.35">
      <c r="A355" s="53" t="s">
        <v>649</v>
      </c>
      <c r="B355" s="53" t="s">
        <v>783</v>
      </c>
      <c r="C355" s="53" t="s">
        <v>651</v>
      </c>
      <c r="D355" s="53">
        <v>1</v>
      </c>
      <c r="E355" s="53" t="s">
        <v>799</v>
      </c>
      <c r="F355" s="53" t="s">
        <v>653</v>
      </c>
      <c r="G355" s="53" t="s">
        <v>654</v>
      </c>
      <c r="H355" s="53" t="s">
        <v>655</v>
      </c>
      <c r="I355" s="53" t="s">
        <v>656</v>
      </c>
      <c r="J355" s="53" t="s">
        <v>800</v>
      </c>
    </row>
    <row r="356" spans="1:10" ht="15" customHeight="1" x14ac:dyDescent="0.35">
      <c r="A356" s="53" t="s">
        <v>649</v>
      </c>
      <c r="B356" s="53" t="s">
        <v>801</v>
      </c>
      <c r="C356" s="53" t="s">
        <v>651</v>
      </c>
      <c r="D356" s="53">
        <v>1</v>
      </c>
      <c r="E356" s="53" t="s">
        <v>802</v>
      </c>
      <c r="F356" s="53" t="s">
        <v>653</v>
      </c>
      <c r="G356" s="53" t="s">
        <v>654</v>
      </c>
      <c r="H356" s="53" t="s">
        <v>655</v>
      </c>
      <c r="I356" s="53" t="s">
        <v>656</v>
      </c>
      <c r="J356" s="53" t="s">
        <v>803</v>
      </c>
    </row>
    <row r="357" spans="1:10" ht="15" customHeight="1" x14ac:dyDescent="0.35">
      <c r="A357" s="53" t="s">
        <v>649</v>
      </c>
      <c r="B357" s="53" t="s">
        <v>801</v>
      </c>
      <c r="C357" s="53" t="s">
        <v>651</v>
      </c>
      <c r="D357" s="53">
        <v>1</v>
      </c>
      <c r="E357" s="53" t="s">
        <v>804</v>
      </c>
      <c r="F357" s="53" t="s">
        <v>653</v>
      </c>
      <c r="G357" s="53" t="s">
        <v>654</v>
      </c>
      <c r="H357" s="53" t="s">
        <v>655</v>
      </c>
      <c r="I357" s="53" t="s">
        <v>656</v>
      </c>
      <c r="J357" s="53" t="s">
        <v>805</v>
      </c>
    </row>
    <row r="358" spans="1:10" ht="15" customHeight="1" x14ac:dyDescent="0.35">
      <c r="A358" s="53" t="s">
        <v>649</v>
      </c>
      <c r="B358" s="53" t="s">
        <v>679</v>
      </c>
      <c r="C358" s="53" t="s">
        <v>651</v>
      </c>
      <c r="D358" s="53">
        <v>1</v>
      </c>
      <c r="E358" s="53" t="s">
        <v>806</v>
      </c>
      <c r="F358" s="53" t="s">
        <v>653</v>
      </c>
      <c r="G358" s="53" t="s">
        <v>654</v>
      </c>
      <c r="H358" s="53" t="s">
        <v>655</v>
      </c>
      <c r="I358" s="53" t="s">
        <v>656</v>
      </c>
      <c r="J358" s="53" t="s">
        <v>807</v>
      </c>
    </row>
    <row r="359" spans="1:10" ht="15" customHeight="1" x14ac:dyDescent="0.35">
      <c r="A359" s="53" t="s">
        <v>649</v>
      </c>
      <c r="B359" s="53" t="s">
        <v>679</v>
      </c>
      <c r="C359" s="53" t="s">
        <v>651</v>
      </c>
      <c r="D359" s="53">
        <v>1</v>
      </c>
      <c r="E359" s="53" t="s">
        <v>808</v>
      </c>
      <c r="F359" s="53" t="s">
        <v>653</v>
      </c>
      <c r="G359" s="53" t="s">
        <v>654</v>
      </c>
      <c r="H359" s="53" t="s">
        <v>655</v>
      </c>
      <c r="I359" s="53" t="s">
        <v>656</v>
      </c>
      <c r="J359" s="53" t="s">
        <v>809</v>
      </c>
    </row>
    <row r="360" spans="1:10" ht="15" customHeight="1" x14ac:dyDescent="0.35">
      <c r="A360" s="53" t="s">
        <v>649</v>
      </c>
      <c r="B360" s="53" t="s">
        <v>679</v>
      </c>
      <c r="C360" s="53" t="s">
        <v>651</v>
      </c>
      <c r="D360" s="53">
        <v>1</v>
      </c>
      <c r="E360" s="53" t="s">
        <v>810</v>
      </c>
      <c r="F360" s="53" t="s">
        <v>653</v>
      </c>
      <c r="G360" s="53" t="s">
        <v>654</v>
      </c>
      <c r="H360" s="53" t="s">
        <v>655</v>
      </c>
      <c r="I360" s="53" t="s">
        <v>656</v>
      </c>
      <c r="J360" s="53" t="s">
        <v>811</v>
      </c>
    </row>
    <row r="361" spans="1:10" ht="15" customHeight="1" x14ac:dyDescent="0.35">
      <c r="A361" s="53" t="s">
        <v>649</v>
      </c>
      <c r="B361" s="53" t="s">
        <v>679</v>
      </c>
      <c r="C361" s="53" t="s">
        <v>651</v>
      </c>
      <c r="D361" s="53">
        <v>1</v>
      </c>
      <c r="E361" s="53" t="s">
        <v>812</v>
      </c>
      <c r="F361" s="53" t="s">
        <v>653</v>
      </c>
      <c r="G361" s="53" t="s">
        <v>654</v>
      </c>
      <c r="H361" s="53" t="s">
        <v>655</v>
      </c>
      <c r="I361" s="53" t="s">
        <v>656</v>
      </c>
      <c r="J361" s="53" t="s">
        <v>813</v>
      </c>
    </row>
    <row r="362" spans="1:10" ht="15" customHeight="1" x14ac:dyDescent="0.35">
      <c r="A362" s="53" t="s">
        <v>649</v>
      </c>
      <c r="B362" s="53" t="s">
        <v>814</v>
      </c>
      <c r="C362" s="53" t="s">
        <v>651</v>
      </c>
      <c r="D362" s="53">
        <v>1</v>
      </c>
      <c r="E362" s="53" t="s">
        <v>815</v>
      </c>
      <c r="F362" s="53" t="s">
        <v>653</v>
      </c>
      <c r="G362" s="53" t="s">
        <v>654</v>
      </c>
      <c r="H362" s="53" t="s">
        <v>655</v>
      </c>
      <c r="I362" s="53" t="s">
        <v>656</v>
      </c>
      <c r="J362" s="53" t="s">
        <v>816</v>
      </c>
    </row>
    <row r="363" spans="1:10" ht="15" customHeight="1" x14ac:dyDescent="0.35">
      <c r="A363" s="53" t="s">
        <v>649</v>
      </c>
      <c r="B363" s="53" t="s">
        <v>814</v>
      </c>
      <c r="C363" s="53" t="s">
        <v>651</v>
      </c>
      <c r="D363" s="53">
        <v>1</v>
      </c>
      <c r="E363" s="53" t="s">
        <v>817</v>
      </c>
      <c r="F363" s="53" t="s">
        <v>653</v>
      </c>
      <c r="G363" s="53" t="s">
        <v>654</v>
      </c>
      <c r="H363" s="53" t="s">
        <v>655</v>
      </c>
      <c r="I363" s="53" t="s">
        <v>656</v>
      </c>
      <c r="J363" s="53" t="s">
        <v>818</v>
      </c>
    </row>
    <row r="364" spans="1:10" ht="15" customHeight="1" x14ac:dyDescent="0.35">
      <c r="A364" s="53" t="s">
        <v>649</v>
      </c>
      <c r="B364" s="53" t="s">
        <v>814</v>
      </c>
      <c r="C364" s="53" t="s">
        <v>651</v>
      </c>
      <c r="D364" s="53">
        <v>1</v>
      </c>
      <c r="E364" s="53" t="s">
        <v>819</v>
      </c>
      <c r="F364" s="53" t="s">
        <v>653</v>
      </c>
      <c r="G364" s="53" t="s">
        <v>654</v>
      </c>
      <c r="H364" s="53" t="s">
        <v>655</v>
      </c>
      <c r="I364" s="53" t="s">
        <v>656</v>
      </c>
      <c r="J364" s="53" t="s">
        <v>820</v>
      </c>
    </row>
    <row r="365" spans="1:10" ht="15" customHeight="1" x14ac:dyDescent="0.35">
      <c r="A365" s="53" t="s">
        <v>649</v>
      </c>
      <c r="B365" s="53" t="s">
        <v>814</v>
      </c>
      <c r="C365" s="53" t="s">
        <v>651</v>
      </c>
      <c r="D365" s="53">
        <v>1</v>
      </c>
      <c r="E365" s="53" t="s">
        <v>821</v>
      </c>
      <c r="F365" s="53" t="s">
        <v>653</v>
      </c>
      <c r="G365" s="53" t="s">
        <v>654</v>
      </c>
      <c r="H365" s="53" t="s">
        <v>655</v>
      </c>
      <c r="I365" s="53" t="s">
        <v>656</v>
      </c>
      <c r="J365" s="53" t="s">
        <v>822</v>
      </c>
    </row>
    <row r="366" spans="1:10" ht="15" customHeight="1" x14ac:dyDescent="0.35">
      <c r="A366" s="53" t="s">
        <v>649</v>
      </c>
      <c r="B366" s="53" t="s">
        <v>814</v>
      </c>
      <c r="C366" s="53" t="s">
        <v>651</v>
      </c>
      <c r="D366" s="53">
        <v>1</v>
      </c>
      <c r="E366" s="53" t="s">
        <v>823</v>
      </c>
      <c r="F366" s="53" t="s">
        <v>653</v>
      </c>
      <c r="G366" s="53" t="s">
        <v>654</v>
      </c>
      <c r="H366" s="53" t="s">
        <v>655</v>
      </c>
      <c r="I366" s="53" t="s">
        <v>656</v>
      </c>
      <c r="J366" s="53" t="s">
        <v>824</v>
      </c>
    </row>
    <row r="367" spans="1:10" ht="15" customHeight="1" x14ac:dyDescent="0.35">
      <c r="A367" s="53" t="s">
        <v>649</v>
      </c>
      <c r="B367" s="53" t="s">
        <v>814</v>
      </c>
      <c r="C367" s="53" t="s">
        <v>651</v>
      </c>
      <c r="D367" s="53">
        <v>1</v>
      </c>
      <c r="E367" s="53" t="s">
        <v>825</v>
      </c>
      <c r="F367" s="53" t="s">
        <v>653</v>
      </c>
      <c r="G367" s="53" t="s">
        <v>654</v>
      </c>
      <c r="H367" s="53" t="s">
        <v>655</v>
      </c>
      <c r="I367" s="53" t="s">
        <v>656</v>
      </c>
      <c r="J367" s="53" t="s">
        <v>669</v>
      </c>
    </row>
    <row r="368" spans="1:10" ht="15" customHeight="1" x14ac:dyDescent="0.35">
      <c r="A368" s="53" t="s">
        <v>649</v>
      </c>
      <c r="B368" s="53" t="s">
        <v>814</v>
      </c>
      <c r="C368" s="53" t="s">
        <v>651</v>
      </c>
      <c r="D368" s="53">
        <v>1</v>
      </c>
      <c r="E368" s="53" t="s">
        <v>826</v>
      </c>
      <c r="F368" s="53" t="s">
        <v>653</v>
      </c>
      <c r="G368" s="53" t="s">
        <v>654</v>
      </c>
      <c r="H368" s="53" t="s">
        <v>655</v>
      </c>
      <c r="I368" s="53" t="s">
        <v>656</v>
      </c>
      <c r="J368" s="53" t="s">
        <v>827</v>
      </c>
    </row>
    <row r="369" spans="1:10" ht="15" customHeight="1" x14ac:dyDescent="0.35">
      <c r="A369" s="53" t="s">
        <v>649</v>
      </c>
      <c r="B369" s="53" t="s">
        <v>679</v>
      </c>
      <c r="C369" s="53" t="s">
        <v>651</v>
      </c>
      <c r="D369" s="53">
        <v>1</v>
      </c>
      <c r="E369" s="53" t="s">
        <v>828</v>
      </c>
      <c r="F369" s="53" t="s">
        <v>653</v>
      </c>
      <c r="G369" s="53" t="s">
        <v>654</v>
      </c>
      <c r="H369" s="53" t="s">
        <v>655</v>
      </c>
      <c r="I369" s="53" t="s">
        <v>656</v>
      </c>
      <c r="J369" s="53" t="s">
        <v>813</v>
      </c>
    </row>
    <row r="370" spans="1:10" ht="15" customHeight="1" x14ac:dyDescent="0.35">
      <c r="A370" s="53" t="s">
        <v>649</v>
      </c>
      <c r="B370" s="53" t="s">
        <v>679</v>
      </c>
      <c r="C370" s="53" t="s">
        <v>651</v>
      </c>
      <c r="D370" s="53">
        <v>1</v>
      </c>
      <c r="E370" s="53" t="s">
        <v>829</v>
      </c>
      <c r="F370" s="53" t="s">
        <v>653</v>
      </c>
      <c r="G370" s="53" t="s">
        <v>654</v>
      </c>
      <c r="H370" s="53" t="s">
        <v>655</v>
      </c>
      <c r="I370" s="53" t="s">
        <v>656</v>
      </c>
      <c r="J370" s="53" t="s">
        <v>809</v>
      </c>
    </row>
    <row r="371" spans="1:10" ht="15" customHeight="1" x14ac:dyDescent="0.35">
      <c r="A371" s="53" t="s">
        <v>649</v>
      </c>
      <c r="B371" s="53" t="s">
        <v>814</v>
      </c>
      <c r="C371" s="53" t="s">
        <v>651</v>
      </c>
      <c r="D371" s="53">
        <v>1</v>
      </c>
      <c r="E371" s="53" t="s">
        <v>830</v>
      </c>
      <c r="F371" s="53" t="s">
        <v>653</v>
      </c>
      <c r="G371" s="53" t="s">
        <v>654</v>
      </c>
      <c r="H371" s="53" t="s">
        <v>655</v>
      </c>
      <c r="I371" s="53" t="s">
        <v>656</v>
      </c>
      <c r="J371" s="53" t="s">
        <v>831</v>
      </c>
    </row>
    <row r="372" spans="1:10" ht="15" customHeight="1" x14ac:dyDescent="0.35">
      <c r="A372" s="53" t="s">
        <v>649</v>
      </c>
      <c r="B372" s="53" t="s">
        <v>814</v>
      </c>
      <c r="C372" s="53" t="s">
        <v>651</v>
      </c>
      <c r="D372" s="53">
        <v>1</v>
      </c>
      <c r="E372" s="53" t="s">
        <v>832</v>
      </c>
      <c r="F372" s="53" t="s">
        <v>653</v>
      </c>
      <c r="G372" s="53" t="s">
        <v>654</v>
      </c>
      <c r="H372" s="53" t="s">
        <v>655</v>
      </c>
      <c r="I372" s="53" t="s">
        <v>656</v>
      </c>
      <c r="J372" s="53" t="s">
        <v>827</v>
      </c>
    </row>
    <row r="373" spans="1:10" ht="15" customHeight="1" x14ac:dyDescent="0.35">
      <c r="A373" s="53" t="s">
        <v>649</v>
      </c>
      <c r="B373" s="53" t="s">
        <v>814</v>
      </c>
      <c r="C373" s="53" t="s">
        <v>651</v>
      </c>
      <c r="D373" s="53">
        <v>1</v>
      </c>
      <c r="E373" s="53" t="s">
        <v>833</v>
      </c>
      <c r="F373" s="53" t="s">
        <v>653</v>
      </c>
      <c r="G373" s="53" t="s">
        <v>654</v>
      </c>
      <c r="H373" s="53" t="s">
        <v>655</v>
      </c>
      <c r="I373" s="53" t="s">
        <v>656</v>
      </c>
      <c r="J373" s="53" t="s">
        <v>834</v>
      </c>
    </row>
    <row r="374" spans="1:10" ht="15" customHeight="1" x14ac:dyDescent="0.35">
      <c r="A374" s="53" t="s">
        <v>649</v>
      </c>
      <c r="B374" s="53" t="s">
        <v>679</v>
      </c>
      <c r="C374" s="53" t="s">
        <v>651</v>
      </c>
      <c r="D374" s="53">
        <v>1</v>
      </c>
      <c r="E374" s="53" t="s">
        <v>835</v>
      </c>
      <c r="F374" s="53" t="s">
        <v>653</v>
      </c>
      <c r="G374" s="53" t="s">
        <v>654</v>
      </c>
      <c r="H374" s="53" t="s">
        <v>655</v>
      </c>
      <c r="I374" s="53" t="s">
        <v>656</v>
      </c>
      <c r="J374" s="53" t="s">
        <v>836</v>
      </c>
    </row>
    <row r="375" spans="1:10" ht="15" customHeight="1" x14ac:dyDescent="0.35">
      <c r="A375" s="53" t="s">
        <v>649</v>
      </c>
      <c r="B375" s="53" t="s">
        <v>679</v>
      </c>
      <c r="C375" s="53" t="s">
        <v>651</v>
      </c>
      <c r="D375" s="53">
        <v>1</v>
      </c>
      <c r="E375" s="53" t="s">
        <v>837</v>
      </c>
      <c r="F375" s="53" t="s">
        <v>653</v>
      </c>
      <c r="G375" s="53" t="s">
        <v>654</v>
      </c>
      <c r="H375" s="53" t="s">
        <v>655</v>
      </c>
      <c r="I375" s="53" t="s">
        <v>656</v>
      </c>
      <c r="J375" s="53" t="s">
        <v>662</v>
      </c>
    </row>
    <row r="376" spans="1:10" ht="15" customHeight="1" x14ac:dyDescent="0.35">
      <c r="A376" s="53" t="s">
        <v>649</v>
      </c>
      <c r="B376" s="53" t="s">
        <v>814</v>
      </c>
      <c r="C376" s="53" t="s">
        <v>651</v>
      </c>
      <c r="D376" s="53">
        <v>1</v>
      </c>
      <c r="E376" s="53" t="s">
        <v>838</v>
      </c>
      <c r="F376" s="53" t="s">
        <v>653</v>
      </c>
      <c r="G376" s="53" t="s">
        <v>654</v>
      </c>
      <c r="H376" s="53" t="s">
        <v>655</v>
      </c>
      <c r="I376" s="53" t="s">
        <v>656</v>
      </c>
      <c r="J376" s="53" t="s">
        <v>839</v>
      </c>
    </row>
    <row r="377" spans="1:10" ht="15" customHeight="1" x14ac:dyDescent="0.35">
      <c r="A377" s="53" t="s">
        <v>649</v>
      </c>
      <c r="B377" s="53" t="s">
        <v>814</v>
      </c>
      <c r="C377" s="53" t="s">
        <v>651</v>
      </c>
      <c r="D377" s="53">
        <v>1</v>
      </c>
      <c r="E377" s="53" t="s">
        <v>840</v>
      </c>
      <c r="F377" s="53" t="s">
        <v>653</v>
      </c>
      <c r="G377" s="53" t="s">
        <v>654</v>
      </c>
      <c r="H377" s="53" t="s">
        <v>655</v>
      </c>
      <c r="I377" s="53" t="s">
        <v>656</v>
      </c>
      <c r="J377" s="53" t="s">
        <v>765</v>
      </c>
    </row>
    <row r="378" spans="1:10" ht="15" customHeight="1" x14ac:dyDescent="0.35">
      <c r="A378" s="53" t="s">
        <v>649</v>
      </c>
      <c r="B378" s="53" t="s">
        <v>814</v>
      </c>
      <c r="C378" s="53" t="s">
        <v>651</v>
      </c>
      <c r="D378" s="53">
        <v>1</v>
      </c>
      <c r="E378" s="53" t="s">
        <v>841</v>
      </c>
      <c r="F378" s="53" t="s">
        <v>653</v>
      </c>
      <c r="G378" s="53" t="s">
        <v>654</v>
      </c>
      <c r="H378" s="53" t="s">
        <v>655</v>
      </c>
      <c r="I378" s="53" t="s">
        <v>656</v>
      </c>
      <c r="J378" s="53" t="s">
        <v>776</v>
      </c>
    </row>
    <row r="379" spans="1:10" ht="15" customHeight="1" x14ac:dyDescent="0.35">
      <c r="A379" s="53" t="s">
        <v>649</v>
      </c>
      <c r="B379" s="53" t="s">
        <v>814</v>
      </c>
      <c r="C379" s="53" t="s">
        <v>651</v>
      </c>
      <c r="D379" s="53">
        <v>1</v>
      </c>
      <c r="E379" s="53" t="s">
        <v>842</v>
      </c>
      <c r="F379" s="53" t="s">
        <v>653</v>
      </c>
      <c r="G379" s="53" t="s">
        <v>654</v>
      </c>
      <c r="H379" s="53" t="s">
        <v>655</v>
      </c>
      <c r="I379" s="53" t="s">
        <v>656</v>
      </c>
      <c r="J379" s="53" t="s">
        <v>843</v>
      </c>
    </row>
    <row r="380" spans="1:10" ht="15" customHeight="1" x14ac:dyDescent="0.35">
      <c r="A380" s="53" t="s">
        <v>649</v>
      </c>
      <c r="B380" s="53" t="s">
        <v>660</v>
      </c>
      <c r="C380" s="53" t="s">
        <v>651</v>
      </c>
      <c r="D380" s="53">
        <v>1</v>
      </c>
      <c r="E380" s="53" t="s">
        <v>844</v>
      </c>
      <c r="F380" s="53" t="s">
        <v>653</v>
      </c>
      <c r="G380" s="53" t="s">
        <v>654</v>
      </c>
      <c r="H380" s="53" t="s">
        <v>655</v>
      </c>
      <c r="I380" s="53" t="s">
        <v>656</v>
      </c>
      <c r="J380" s="53" t="s">
        <v>845</v>
      </c>
    </row>
    <row r="381" spans="1:10" ht="15" customHeight="1" x14ac:dyDescent="0.35">
      <c r="A381" s="53" t="s">
        <v>649</v>
      </c>
      <c r="B381" s="53" t="s">
        <v>660</v>
      </c>
      <c r="C381" s="53" t="s">
        <v>651</v>
      </c>
      <c r="D381" s="53">
        <v>1</v>
      </c>
      <c r="E381" s="53" t="s">
        <v>846</v>
      </c>
      <c r="F381" s="53" t="s">
        <v>653</v>
      </c>
      <c r="G381" s="53" t="s">
        <v>654</v>
      </c>
      <c r="H381" s="53" t="s">
        <v>655</v>
      </c>
      <c r="I381" s="53" t="s">
        <v>656</v>
      </c>
      <c r="J381" s="53" t="s">
        <v>807</v>
      </c>
    </row>
    <row r="382" spans="1:10" ht="15" customHeight="1" x14ac:dyDescent="0.35">
      <c r="A382" s="53" t="s">
        <v>649</v>
      </c>
      <c r="B382" s="53" t="s">
        <v>717</v>
      </c>
      <c r="C382" s="53" t="s">
        <v>651</v>
      </c>
      <c r="D382" s="53">
        <v>1</v>
      </c>
      <c r="E382" s="53" t="s">
        <v>847</v>
      </c>
      <c r="F382" s="53" t="s">
        <v>653</v>
      </c>
      <c r="G382" s="53" t="s">
        <v>654</v>
      </c>
      <c r="H382" s="53" t="s">
        <v>655</v>
      </c>
      <c r="I382" s="53" t="s">
        <v>656</v>
      </c>
      <c r="J382" s="53" t="s">
        <v>761</v>
      </c>
    </row>
    <row r="383" spans="1:10" ht="15" customHeight="1" x14ac:dyDescent="0.35">
      <c r="A383" s="53" t="s">
        <v>649</v>
      </c>
      <c r="B383" s="53" t="s">
        <v>717</v>
      </c>
      <c r="C383" s="53" t="s">
        <v>651</v>
      </c>
      <c r="D383" s="53">
        <v>1</v>
      </c>
      <c r="E383" s="53" t="s">
        <v>848</v>
      </c>
      <c r="F383" s="53" t="s">
        <v>653</v>
      </c>
      <c r="G383" s="53" t="s">
        <v>654</v>
      </c>
      <c r="H383" s="53" t="s">
        <v>655</v>
      </c>
      <c r="I383" s="53" t="s">
        <v>656</v>
      </c>
      <c r="J383" s="53" t="s">
        <v>820</v>
      </c>
    </row>
    <row r="384" spans="1:10" ht="15" customHeight="1" x14ac:dyDescent="0.35">
      <c r="A384" s="53" t="s">
        <v>649</v>
      </c>
      <c r="B384" s="53" t="s">
        <v>679</v>
      </c>
      <c r="C384" s="53" t="s">
        <v>651</v>
      </c>
      <c r="D384" s="53">
        <v>1</v>
      </c>
      <c r="E384" s="53" t="s">
        <v>849</v>
      </c>
      <c r="F384" s="53" t="s">
        <v>653</v>
      </c>
      <c r="G384" s="53" t="s">
        <v>654</v>
      </c>
      <c r="H384" s="53" t="s">
        <v>655</v>
      </c>
      <c r="I384" s="53" t="s">
        <v>656</v>
      </c>
      <c r="J384" s="53" t="s">
        <v>763</v>
      </c>
    </row>
    <row r="385" spans="1:10" ht="15" customHeight="1" x14ac:dyDescent="0.35">
      <c r="A385" s="53" t="s">
        <v>649</v>
      </c>
      <c r="B385" s="53" t="s">
        <v>679</v>
      </c>
      <c r="C385" s="53" t="s">
        <v>651</v>
      </c>
      <c r="D385" s="53">
        <v>1</v>
      </c>
      <c r="E385" s="53" t="s">
        <v>850</v>
      </c>
      <c r="F385" s="53" t="s">
        <v>653</v>
      </c>
      <c r="G385" s="53" t="s">
        <v>654</v>
      </c>
      <c r="H385" s="53" t="s">
        <v>655</v>
      </c>
      <c r="I385" s="53" t="s">
        <v>656</v>
      </c>
      <c r="J385" s="53" t="s">
        <v>818</v>
      </c>
    </row>
    <row r="386" spans="1:10" ht="15" customHeight="1" x14ac:dyDescent="0.35">
      <c r="A386" s="53" t="s">
        <v>649</v>
      </c>
      <c r="B386" s="53" t="s">
        <v>771</v>
      </c>
      <c r="C386" s="53" t="s">
        <v>651</v>
      </c>
      <c r="D386" s="53">
        <v>1</v>
      </c>
      <c r="E386" s="53" t="s">
        <v>851</v>
      </c>
      <c r="F386" s="53" t="s">
        <v>653</v>
      </c>
      <c r="G386" s="53" t="s">
        <v>654</v>
      </c>
      <c r="H386" s="53" t="s">
        <v>655</v>
      </c>
      <c r="I386" s="53" t="s">
        <v>656</v>
      </c>
      <c r="J386" s="53" t="s">
        <v>852</v>
      </c>
    </row>
    <row r="387" spans="1:10" ht="15" customHeight="1" x14ac:dyDescent="0.35">
      <c r="A387" s="53" t="s">
        <v>649</v>
      </c>
      <c r="B387" s="53" t="s">
        <v>771</v>
      </c>
      <c r="C387" s="53" t="s">
        <v>651</v>
      </c>
      <c r="D387" s="53">
        <v>1</v>
      </c>
      <c r="E387" s="53" t="s">
        <v>853</v>
      </c>
      <c r="F387" s="53" t="s">
        <v>653</v>
      </c>
      <c r="G387" s="53" t="s">
        <v>654</v>
      </c>
      <c r="H387" s="53" t="s">
        <v>655</v>
      </c>
      <c r="I387" s="53" t="s">
        <v>656</v>
      </c>
      <c r="J387" s="53" t="s">
        <v>843</v>
      </c>
    </row>
    <row r="388" spans="1:10" ht="15" customHeight="1" x14ac:dyDescent="0.35">
      <c r="A388" s="53" t="s">
        <v>649</v>
      </c>
      <c r="B388" s="53" t="s">
        <v>771</v>
      </c>
      <c r="C388" s="53" t="s">
        <v>651</v>
      </c>
      <c r="D388" s="53">
        <v>1</v>
      </c>
      <c r="E388" s="53" t="s">
        <v>854</v>
      </c>
      <c r="F388" s="53" t="s">
        <v>653</v>
      </c>
      <c r="G388" s="53" t="s">
        <v>654</v>
      </c>
      <c r="H388" s="53" t="s">
        <v>655</v>
      </c>
      <c r="I388" s="53" t="s">
        <v>656</v>
      </c>
      <c r="J388" s="53" t="s">
        <v>855</v>
      </c>
    </row>
    <row r="389" spans="1:10" ht="15" customHeight="1" x14ac:dyDescent="0.35">
      <c r="A389" s="53" t="s">
        <v>649</v>
      </c>
      <c r="B389" s="53" t="s">
        <v>717</v>
      </c>
      <c r="C389" s="53" t="s">
        <v>651</v>
      </c>
      <c r="D389" s="53">
        <v>1</v>
      </c>
      <c r="E389" s="53" t="s">
        <v>856</v>
      </c>
      <c r="F389" s="53" t="s">
        <v>653</v>
      </c>
      <c r="G389" s="53" t="s">
        <v>654</v>
      </c>
      <c r="H389" s="53" t="s">
        <v>655</v>
      </c>
      <c r="I389" s="53" t="s">
        <v>656</v>
      </c>
      <c r="J389" s="53" t="s">
        <v>857</v>
      </c>
    </row>
    <row r="390" spans="1:10" ht="15" customHeight="1" x14ac:dyDescent="0.35">
      <c r="A390" s="53" t="s">
        <v>649</v>
      </c>
      <c r="B390" s="53" t="s">
        <v>717</v>
      </c>
      <c r="C390" s="53" t="s">
        <v>651</v>
      </c>
      <c r="D390" s="53">
        <v>1</v>
      </c>
      <c r="E390" s="53" t="s">
        <v>858</v>
      </c>
      <c r="F390" s="53" t="s">
        <v>653</v>
      </c>
      <c r="G390" s="53" t="s">
        <v>654</v>
      </c>
      <c r="H390" s="53" t="s">
        <v>655</v>
      </c>
      <c r="I390" s="53" t="s">
        <v>656</v>
      </c>
      <c r="J390" s="53" t="s">
        <v>859</v>
      </c>
    </row>
    <row r="391" spans="1:10" ht="15" customHeight="1" x14ac:dyDescent="0.35">
      <c r="A391" s="53" t="s">
        <v>649</v>
      </c>
      <c r="B391" s="53" t="s">
        <v>771</v>
      </c>
      <c r="C391" s="53" t="s">
        <v>651</v>
      </c>
      <c r="D391" s="53">
        <v>1</v>
      </c>
      <c r="E391" s="53" t="s">
        <v>860</v>
      </c>
      <c r="F391" s="53" t="s">
        <v>653</v>
      </c>
      <c r="G391" s="53" t="s">
        <v>654</v>
      </c>
      <c r="H391" s="53" t="s">
        <v>655</v>
      </c>
      <c r="I391" s="53" t="s">
        <v>656</v>
      </c>
      <c r="J391" s="53" t="s">
        <v>861</v>
      </c>
    </row>
    <row r="392" spans="1:10" ht="15" customHeight="1" x14ac:dyDescent="0.35">
      <c r="A392" s="53" t="s">
        <v>649</v>
      </c>
      <c r="B392" s="53" t="s">
        <v>650</v>
      </c>
      <c r="C392" s="53" t="s">
        <v>651</v>
      </c>
      <c r="D392" s="53">
        <v>1</v>
      </c>
      <c r="E392" s="53" t="s">
        <v>862</v>
      </c>
      <c r="F392" s="53" t="s">
        <v>653</v>
      </c>
      <c r="G392" s="53" t="s">
        <v>654</v>
      </c>
      <c r="H392" s="53" t="s">
        <v>655</v>
      </c>
      <c r="I392" s="53" t="s">
        <v>656</v>
      </c>
      <c r="J392" s="53" t="s">
        <v>722</v>
      </c>
    </row>
    <row r="393" spans="1:10" ht="15" customHeight="1" x14ac:dyDescent="0.35">
      <c r="A393" s="53" t="s">
        <v>649</v>
      </c>
      <c r="B393" s="53" t="s">
        <v>717</v>
      </c>
      <c r="C393" s="53" t="s">
        <v>651</v>
      </c>
      <c r="D393" s="53">
        <v>1</v>
      </c>
      <c r="E393" s="53" t="s">
        <v>863</v>
      </c>
      <c r="F393" s="53" t="s">
        <v>653</v>
      </c>
      <c r="G393" s="53" t="s">
        <v>654</v>
      </c>
      <c r="H393" s="53" t="s">
        <v>655</v>
      </c>
      <c r="I393" s="53" t="s">
        <v>656</v>
      </c>
      <c r="J393" s="53" t="s">
        <v>816</v>
      </c>
    </row>
    <row r="394" spans="1:10" ht="15" customHeight="1" x14ac:dyDescent="0.35">
      <c r="A394" s="53" t="s">
        <v>649</v>
      </c>
      <c r="B394" s="53" t="s">
        <v>717</v>
      </c>
      <c r="C394" s="53" t="s">
        <v>651</v>
      </c>
      <c r="D394" s="53">
        <v>1</v>
      </c>
      <c r="E394" s="53" t="s">
        <v>864</v>
      </c>
      <c r="F394" s="53" t="s">
        <v>653</v>
      </c>
      <c r="G394" s="53" t="s">
        <v>654</v>
      </c>
      <c r="H394" s="53" t="s">
        <v>655</v>
      </c>
      <c r="I394" s="53" t="s">
        <v>656</v>
      </c>
      <c r="J394" s="53" t="s">
        <v>859</v>
      </c>
    </row>
    <row r="395" spans="1:10" ht="15" customHeight="1" x14ac:dyDescent="0.35">
      <c r="A395" s="53" t="s">
        <v>649</v>
      </c>
      <c r="B395" s="53" t="s">
        <v>771</v>
      </c>
      <c r="C395" s="53" t="s">
        <v>651</v>
      </c>
      <c r="D395" s="53">
        <v>1</v>
      </c>
      <c r="E395" s="53" t="s">
        <v>865</v>
      </c>
      <c r="F395" s="53" t="s">
        <v>653</v>
      </c>
      <c r="G395" s="53" t="s">
        <v>654</v>
      </c>
      <c r="H395" s="53" t="s">
        <v>655</v>
      </c>
      <c r="I395" s="53" t="s">
        <v>656</v>
      </c>
      <c r="J395" s="53" t="s">
        <v>866</v>
      </c>
    </row>
    <row r="396" spans="1:10" ht="15" customHeight="1" x14ac:dyDescent="0.35">
      <c r="A396" s="53" t="s">
        <v>649</v>
      </c>
      <c r="B396" s="53" t="s">
        <v>771</v>
      </c>
      <c r="C396" s="53" t="s">
        <v>651</v>
      </c>
      <c r="D396" s="53">
        <v>1</v>
      </c>
      <c r="E396" s="53" t="s">
        <v>867</v>
      </c>
      <c r="F396" s="53" t="s">
        <v>653</v>
      </c>
      <c r="G396" s="53" t="s">
        <v>654</v>
      </c>
      <c r="H396" s="53" t="s">
        <v>655</v>
      </c>
      <c r="I396" s="53" t="s">
        <v>656</v>
      </c>
      <c r="J396" s="53" t="s">
        <v>684</v>
      </c>
    </row>
    <row r="397" spans="1:10" ht="15" customHeight="1" x14ac:dyDescent="0.35">
      <c r="A397" s="53" t="s">
        <v>649</v>
      </c>
      <c r="B397" s="53" t="s">
        <v>771</v>
      </c>
      <c r="C397" s="53" t="s">
        <v>651</v>
      </c>
      <c r="D397" s="53">
        <v>1</v>
      </c>
      <c r="E397" s="53" t="s">
        <v>868</v>
      </c>
      <c r="F397" s="53" t="s">
        <v>653</v>
      </c>
      <c r="G397" s="53" t="s">
        <v>654</v>
      </c>
      <c r="H397" s="53" t="s">
        <v>655</v>
      </c>
      <c r="I397" s="53" t="s">
        <v>656</v>
      </c>
      <c r="J397" s="53" t="s">
        <v>869</v>
      </c>
    </row>
    <row r="398" spans="1:10" ht="15" customHeight="1" x14ac:dyDescent="0.35">
      <c r="A398" s="53" t="s">
        <v>649</v>
      </c>
      <c r="B398" s="53" t="s">
        <v>771</v>
      </c>
      <c r="C398" s="53" t="s">
        <v>651</v>
      </c>
      <c r="D398" s="53">
        <v>1</v>
      </c>
      <c r="E398" s="53" t="s">
        <v>870</v>
      </c>
      <c r="F398" s="53" t="s">
        <v>653</v>
      </c>
      <c r="G398" s="53" t="s">
        <v>654</v>
      </c>
      <c r="H398" s="53" t="s">
        <v>655</v>
      </c>
      <c r="I398" s="53" t="s">
        <v>656</v>
      </c>
      <c r="J398" s="53" t="s">
        <v>688</v>
      </c>
    </row>
    <row r="399" spans="1:10" ht="15" customHeight="1" x14ac:dyDescent="0.35">
      <c r="A399" s="53" t="s">
        <v>649</v>
      </c>
      <c r="B399" s="53" t="s">
        <v>771</v>
      </c>
      <c r="C399" s="53" t="s">
        <v>651</v>
      </c>
      <c r="D399" s="53">
        <v>1</v>
      </c>
      <c r="E399" s="53" t="s">
        <v>871</v>
      </c>
      <c r="F399" s="53" t="s">
        <v>653</v>
      </c>
      <c r="G399" s="53" t="s">
        <v>654</v>
      </c>
      <c r="H399" s="53" t="s">
        <v>655</v>
      </c>
      <c r="I399" s="53" t="s">
        <v>656</v>
      </c>
      <c r="J399" s="53" t="s">
        <v>684</v>
      </c>
    </row>
    <row r="400" spans="1:10" ht="15" customHeight="1" x14ac:dyDescent="0.35">
      <c r="A400" s="53" t="s">
        <v>649</v>
      </c>
      <c r="B400" s="53" t="s">
        <v>771</v>
      </c>
      <c r="C400" s="53" t="s">
        <v>651</v>
      </c>
      <c r="D400" s="53">
        <v>1</v>
      </c>
      <c r="E400" s="53" t="s">
        <v>872</v>
      </c>
      <c r="F400" s="53" t="s">
        <v>653</v>
      </c>
      <c r="G400" s="53" t="s">
        <v>654</v>
      </c>
      <c r="H400" s="53" t="s">
        <v>655</v>
      </c>
      <c r="I400" s="53" t="s">
        <v>656</v>
      </c>
      <c r="J400" s="53" t="s">
        <v>765</v>
      </c>
    </row>
    <row r="401" spans="1:10" ht="15" customHeight="1" x14ac:dyDescent="0.35">
      <c r="A401" s="53" t="s">
        <v>649</v>
      </c>
      <c r="B401" s="53" t="s">
        <v>771</v>
      </c>
      <c r="C401" s="53" t="s">
        <v>651</v>
      </c>
      <c r="D401" s="53">
        <v>1</v>
      </c>
      <c r="E401" s="53" t="s">
        <v>873</v>
      </c>
      <c r="F401" s="53" t="s">
        <v>653</v>
      </c>
      <c r="G401" s="53" t="s">
        <v>654</v>
      </c>
      <c r="H401" s="53" t="s">
        <v>655</v>
      </c>
      <c r="I401" s="53" t="s">
        <v>656</v>
      </c>
      <c r="J401" s="53" t="s">
        <v>874</v>
      </c>
    </row>
    <row r="402" spans="1:10" ht="15" customHeight="1" x14ac:dyDescent="0.35">
      <c r="A402" s="53" t="s">
        <v>649</v>
      </c>
      <c r="B402" s="53" t="s">
        <v>771</v>
      </c>
      <c r="C402" s="53" t="s">
        <v>651</v>
      </c>
      <c r="D402" s="53">
        <v>1</v>
      </c>
      <c r="E402" s="53" t="s">
        <v>875</v>
      </c>
      <c r="F402" s="53" t="s">
        <v>653</v>
      </c>
      <c r="G402" s="53" t="s">
        <v>654</v>
      </c>
      <c r="H402" s="53" t="s">
        <v>655</v>
      </c>
      <c r="I402" s="53" t="s">
        <v>656</v>
      </c>
      <c r="J402" s="53" t="s">
        <v>876</v>
      </c>
    </row>
    <row r="403" spans="1:10" ht="15" customHeight="1" x14ac:dyDescent="0.35">
      <c r="A403" s="53" t="s">
        <v>649</v>
      </c>
      <c r="B403" s="53" t="s">
        <v>660</v>
      </c>
      <c r="C403" s="53" t="s">
        <v>651</v>
      </c>
      <c r="D403" s="53">
        <v>1</v>
      </c>
      <c r="E403" s="53" t="s">
        <v>877</v>
      </c>
      <c r="F403" s="53" t="s">
        <v>653</v>
      </c>
      <c r="G403" s="53" t="s">
        <v>654</v>
      </c>
      <c r="H403" s="53" t="s">
        <v>655</v>
      </c>
      <c r="I403" s="53" t="s">
        <v>656</v>
      </c>
      <c r="J403" s="53" t="s">
        <v>878</v>
      </c>
    </row>
    <row r="404" spans="1:10" ht="15" customHeight="1" x14ac:dyDescent="0.35">
      <c r="A404" s="53" t="s">
        <v>649</v>
      </c>
      <c r="B404" s="53" t="s">
        <v>660</v>
      </c>
      <c r="C404" s="53" t="s">
        <v>651</v>
      </c>
      <c r="D404" s="53">
        <v>1</v>
      </c>
      <c r="E404" s="53" t="s">
        <v>879</v>
      </c>
      <c r="F404" s="53" t="s">
        <v>653</v>
      </c>
      <c r="G404" s="53" t="s">
        <v>654</v>
      </c>
      <c r="H404" s="53" t="s">
        <v>655</v>
      </c>
      <c r="I404" s="53" t="s">
        <v>656</v>
      </c>
      <c r="J404" s="53" t="s">
        <v>880</v>
      </c>
    </row>
    <row r="405" spans="1:10" ht="15" customHeight="1" x14ac:dyDescent="0.35">
      <c r="A405" s="53" t="s">
        <v>649</v>
      </c>
      <c r="B405" s="53" t="s">
        <v>771</v>
      </c>
      <c r="C405" s="53" t="s">
        <v>651</v>
      </c>
      <c r="D405" s="53">
        <v>1</v>
      </c>
      <c r="E405" s="53" t="s">
        <v>881</v>
      </c>
      <c r="F405" s="53" t="s">
        <v>653</v>
      </c>
      <c r="G405" s="53" t="s">
        <v>654</v>
      </c>
      <c r="H405" s="53" t="s">
        <v>655</v>
      </c>
      <c r="I405" s="53" t="s">
        <v>656</v>
      </c>
      <c r="J405" s="53" t="s">
        <v>882</v>
      </c>
    </row>
    <row r="406" spans="1:10" ht="15" customHeight="1" x14ac:dyDescent="0.35">
      <c r="A406" s="53" t="s">
        <v>649</v>
      </c>
      <c r="B406" s="53" t="s">
        <v>660</v>
      </c>
      <c r="C406" s="53" t="s">
        <v>651</v>
      </c>
      <c r="D406" s="53">
        <v>1</v>
      </c>
      <c r="E406" s="53" t="s">
        <v>883</v>
      </c>
      <c r="F406" s="53" t="s">
        <v>653</v>
      </c>
      <c r="G406" s="53" t="s">
        <v>654</v>
      </c>
      <c r="H406" s="53" t="s">
        <v>655</v>
      </c>
      <c r="I406" s="53" t="s">
        <v>656</v>
      </c>
      <c r="J406" s="53" t="s">
        <v>768</v>
      </c>
    </row>
    <row r="407" spans="1:10" ht="15" customHeight="1" x14ac:dyDescent="0.35">
      <c r="A407" s="53" t="s">
        <v>649</v>
      </c>
      <c r="B407" s="53" t="s">
        <v>660</v>
      </c>
      <c r="C407" s="53" t="s">
        <v>651</v>
      </c>
      <c r="D407" s="53">
        <v>1</v>
      </c>
      <c r="E407" s="53" t="s">
        <v>884</v>
      </c>
      <c r="F407" s="53" t="s">
        <v>653</v>
      </c>
      <c r="G407" s="53" t="s">
        <v>654</v>
      </c>
      <c r="H407" s="53" t="s">
        <v>655</v>
      </c>
      <c r="I407" s="53" t="s">
        <v>656</v>
      </c>
      <c r="J407" s="53" t="s">
        <v>885</v>
      </c>
    </row>
    <row r="408" spans="1:10" ht="15" customHeight="1" x14ac:dyDescent="0.35">
      <c r="A408" s="53" t="s">
        <v>649</v>
      </c>
      <c r="B408" s="53" t="s">
        <v>660</v>
      </c>
      <c r="C408" s="53" t="s">
        <v>651</v>
      </c>
      <c r="D408" s="53">
        <v>1</v>
      </c>
      <c r="E408" s="53" t="s">
        <v>886</v>
      </c>
      <c r="F408" s="53" t="s">
        <v>653</v>
      </c>
      <c r="G408" s="53" t="s">
        <v>654</v>
      </c>
      <c r="H408" s="53" t="s">
        <v>655</v>
      </c>
      <c r="I408" s="53" t="s">
        <v>656</v>
      </c>
      <c r="J408" s="53" t="s">
        <v>839</v>
      </c>
    </row>
    <row r="409" spans="1:10" ht="15" customHeight="1" x14ac:dyDescent="0.35">
      <c r="A409" s="53" t="s">
        <v>649</v>
      </c>
      <c r="B409" s="53" t="s">
        <v>660</v>
      </c>
      <c r="C409" s="53" t="s">
        <v>651</v>
      </c>
      <c r="D409" s="53">
        <v>1</v>
      </c>
      <c r="E409" s="53" t="s">
        <v>887</v>
      </c>
      <c r="F409" s="53" t="s">
        <v>653</v>
      </c>
      <c r="G409" s="53" t="s">
        <v>654</v>
      </c>
      <c r="H409" s="53" t="s">
        <v>655</v>
      </c>
      <c r="I409" s="53" t="s">
        <v>656</v>
      </c>
      <c r="J409" s="53" t="s">
        <v>882</v>
      </c>
    </row>
    <row r="410" spans="1:10" ht="15" customHeight="1" x14ac:dyDescent="0.35">
      <c r="A410" s="53" t="s">
        <v>649</v>
      </c>
      <c r="B410" s="53" t="s">
        <v>771</v>
      </c>
      <c r="C410" s="53" t="s">
        <v>651</v>
      </c>
      <c r="D410" s="53">
        <v>1</v>
      </c>
      <c r="E410" s="53" t="s">
        <v>888</v>
      </c>
      <c r="F410" s="53" t="s">
        <v>653</v>
      </c>
      <c r="G410" s="53" t="s">
        <v>654</v>
      </c>
      <c r="H410" s="53" t="s">
        <v>655</v>
      </c>
      <c r="I410" s="53" t="s">
        <v>656</v>
      </c>
      <c r="J410" s="53" t="s">
        <v>889</v>
      </c>
    </row>
    <row r="411" spans="1:10" ht="15" customHeight="1" x14ac:dyDescent="0.35">
      <c r="A411" s="53" t="s">
        <v>649</v>
      </c>
      <c r="B411" s="53" t="s">
        <v>771</v>
      </c>
      <c r="C411" s="53" t="s">
        <v>651</v>
      </c>
      <c r="D411" s="53">
        <v>1</v>
      </c>
      <c r="E411" s="53" t="s">
        <v>890</v>
      </c>
      <c r="F411" s="53" t="s">
        <v>653</v>
      </c>
      <c r="G411" s="53" t="s">
        <v>654</v>
      </c>
      <c r="H411" s="53" t="s">
        <v>655</v>
      </c>
      <c r="I411" s="53" t="s">
        <v>656</v>
      </c>
      <c r="J411" s="53" t="s">
        <v>891</v>
      </c>
    </row>
    <row r="412" spans="1:10" ht="15" customHeight="1" x14ac:dyDescent="0.35">
      <c r="A412" s="53" t="s">
        <v>649</v>
      </c>
      <c r="B412" s="53" t="s">
        <v>679</v>
      </c>
      <c r="C412" s="53" t="s">
        <v>651</v>
      </c>
      <c r="D412" s="53">
        <v>1</v>
      </c>
      <c r="E412" s="53" t="s">
        <v>892</v>
      </c>
      <c r="F412" s="53" t="s">
        <v>653</v>
      </c>
      <c r="G412" s="53" t="s">
        <v>654</v>
      </c>
      <c r="H412" s="53" t="s">
        <v>655</v>
      </c>
      <c r="I412" s="53" t="s">
        <v>656</v>
      </c>
      <c r="J412" s="53" t="s">
        <v>893</v>
      </c>
    </row>
    <row r="413" spans="1:10" ht="15" customHeight="1" x14ac:dyDescent="0.35">
      <c r="A413" s="53" t="s">
        <v>649</v>
      </c>
      <c r="B413" s="53" t="s">
        <v>679</v>
      </c>
      <c r="C413" s="53" t="s">
        <v>651</v>
      </c>
      <c r="D413" s="53">
        <v>1</v>
      </c>
      <c r="E413" s="53" t="s">
        <v>894</v>
      </c>
      <c r="F413" s="53" t="s">
        <v>653</v>
      </c>
      <c r="G413" s="53" t="s">
        <v>654</v>
      </c>
      <c r="H413" s="53" t="s">
        <v>655</v>
      </c>
      <c r="I413" s="53" t="s">
        <v>656</v>
      </c>
      <c r="J413" s="53" t="s">
        <v>813</v>
      </c>
    </row>
    <row r="414" spans="1:10" ht="15" customHeight="1" x14ac:dyDescent="0.35">
      <c r="A414" s="53" t="s">
        <v>649</v>
      </c>
      <c r="B414" s="53" t="s">
        <v>814</v>
      </c>
      <c r="C414" s="53" t="s">
        <v>651</v>
      </c>
      <c r="D414" s="53">
        <v>1</v>
      </c>
      <c r="E414" s="53" t="s">
        <v>895</v>
      </c>
      <c r="F414" s="53" t="s">
        <v>653</v>
      </c>
      <c r="G414" s="53" t="s">
        <v>654</v>
      </c>
      <c r="H414" s="53" t="s">
        <v>655</v>
      </c>
      <c r="I414" s="53" t="s">
        <v>656</v>
      </c>
      <c r="J414" s="53" t="s">
        <v>839</v>
      </c>
    </row>
    <row r="415" spans="1:10" ht="15" customHeight="1" x14ac:dyDescent="0.35">
      <c r="A415" s="53" t="s">
        <v>896</v>
      </c>
      <c r="B415" s="53" t="s">
        <v>897</v>
      </c>
      <c r="C415" s="53" t="s">
        <v>898</v>
      </c>
      <c r="D415" s="53">
        <v>1</v>
      </c>
      <c r="E415" s="53" t="s">
        <v>899</v>
      </c>
      <c r="F415" s="53" t="s">
        <v>900</v>
      </c>
      <c r="G415" s="53" t="s">
        <v>901</v>
      </c>
      <c r="H415" s="53" t="s">
        <v>902</v>
      </c>
      <c r="I415" s="53" t="s">
        <v>656</v>
      </c>
      <c r="J415" s="53" t="s">
        <v>903</v>
      </c>
    </row>
    <row r="416" spans="1:10" ht="15" customHeight="1" x14ac:dyDescent="0.35">
      <c r="A416" s="53" t="s">
        <v>896</v>
      </c>
      <c r="B416" s="53" t="s">
        <v>904</v>
      </c>
      <c r="C416" s="53" t="s">
        <v>905</v>
      </c>
      <c r="D416" s="53">
        <v>1</v>
      </c>
      <c r="E416" s="53" t="s">
        <v>906</v>
      </c>
      <c r="F416" s="53" t="s">
        <v>900</v>
      </c>
      <c r="G416" s="53" t="s">
        <v>901</v>
      </c>
      <c r="H416" s="53" t="s">
        <v>902</v>
      </c>
      <c r="I416" s="53" t="s">
        <v>656</v>
      </c>
      <c r="J416" s="53" t="s">
        <v>907</v>
      </c>
    </row>
    <row r="417" spans="1:10" ht="15" customHeight="1" x14ac:dyDescent="0.35">
      <c r="A417" s="53" t="s">
        <v>896</v>
      </c>
      <c r="B417" s="53" t="s">
        <v>908</v>
      </c>
      <c r="C417" s="53" t="s">
        <v>909</v>
      </c>
      <c r="D417" s="53">
        <v>1</v>
      </c>
      <c r="E417" s="53" t="s">
        <v>910</v>
      </c>
      <c r="F417" s="53" t="s">
        <v>900</v>
      </c>
      <c r="G417" s="53" t="s">
        <v>901</v>
      </c>
      <c r="H417" s="53" t="s">
        <v>902</v>
      </c>
      <c r="I417" s="53" t="s">
        <v>656</v>
      </c>
      <c r="J417" s="53" t="s">
        <v>911</v>
      </c>
    </row>
    <row r="418" spans="1:10" ht="15" customHeight="1" x14ac:dyDescent="0.35">
      <c r="A418" s="53" t="s">
        <v>896</v>
      </c>
      <c r="B418" s="53" t="s">
        <v>912</v>
      </c>
      <c r="C418" s="53" t="s">
        <v>913</v>
      </c>
      <c r="D418" s="53">
        <v>1</v>
      </c>
      <c r="E418" s="53" t="s">
        <v>914</v>
      </c>
      <c r="F418" s="53" t="s">
        <v>900</v>
      </c>
      <c r="G418" s="53" t="s">
        <v>901</v>
      </c>
      <c r="H418" s="53" t="s">
        <v>902</v>
      </c>
      <c r="I418" s="53" t="s">
        <v>656</v>
      </c>
      <c r="J418" s="53" t="s">
        <v>915</v>
      </c>
    </row>
    <row r="419" spans="1:10" ht="15" customHeight="1" x14ac:dyDescent="0.35">
      <c r="A419" s="53" t="s">
        <v>896</v>
      </c>
      <c r="B419" s="53" t="s">
        <v>916</v>
      </c>
      <c r="C419" s="53" t="s">
        <v>917</v>
      </c>
      <c r="D419" s="53">
        <v>1</v>
      </c>
      <c r="E419" s="53" t="s">
        <v>918</v>
      </c>
      <c r="F419" s="53" t="s">
        <v>900</v>
      </c>
      <c r="G419" s="53" t="s">
        <v>901</v>
      </c>
      <c r="H419" s="53" t="s">
        <v>902</v>
      </c>
      <c r="I419" s="53" t="s">
        <v>656</v>
      </c>
      <c r="J419" s="53" t="s">
        <v>919</v>
      </c>
    </row>
    <row r="420" spans="1:10" ht="15" customHeight="1" x14ac:dyDescent="0.35">
      <c r="A420" s="53" t="s">
        <v>896</v>
      </c>
      <c r="B420" s="53" t="s">
        <v>920</v>
      </c>
      <c r="C420" s="53" t="s">
        <v>921</v>
      </c>
      <c r="D420" s="53">
        <v>1</v>
      </c>
      <c r="E420" s="53" t="s">
        <v>922</v>
      </c>
      <c r="F420" s="53" t="s">
        <v>900</v>
      </c>
      <c r="G420" s="53" t="s">
        <v>901</v>
      </c>
      <c r="H420" s="53" t="s">
        <v>902</v>
      </c>
      <c r="I420" s="53" t="s">
        <v>656</v>
      </c>
      <c r="J420" s="53" t="s">
        <v>923</v>
      </c>
    </row>
    <row r="421" spans="1:10" ht="15" customHeight="1" x14ac:dyDescent="0.35">
      <c r="A421" s="53" t="s">
        <v>896</v>
      </c>
      <c r="B421" s="53" t="s">
        <v>924</v>
      </c>
      <c r="C421" s="53" t="s">
        <v>925</v>
      </c>
      <c r="D421" s="53">
        <v>1</v>
      </c>
      <c r="E421" s="53" t="s">
        <v>926</v>
      </c>
      <c r="F421" s="53" t="s">
        <v>900</v>
      </c>
      <c r="G421" s="53" t="s">
        <v>901</v>
      </c>
      <c r="H421" s="53" t="s">
        <v>902</v>
      </c>
      <c r="I421" s="53" t="s">
        <v>656</v>
      </c>
      <c r="J421" s="53" t="s">
        <v>927</v>
      </c>
    </row>
    <row r="422" spans="1:10" ht="15" customHeight="1" x14ac:dyDescent="0.35">
      <c r="A422" s="53" t="s">
        <v>896</v>
      </c>
      <c r="B422" s="53" t="s">
        <v>928</v>
      </c>
      <c r="C422" s="53" t="s">
        <v>929</v>
      </c>
      <c r="D422" s="53">
        <v>1</v>
      </c>
      <c r="E422" s="53" t="s">
        <v>930</v>
      </c>
      <c r="F422" s="53" t="s">
        <v>900</v>
      </c>
      <c r="G422" s="53" t="s">
        <v>901</v>
      </c>
      <c r="H422" s="53" t="s">
        <v>902</v>
      </c>
      <c r="I422" s="53" t="s">
        <v>656</v>
      </c>
      <c r="J422" s="53" t="s">
        <v>931</v>
      </c>
    </row>
    <row r="423" spans="1:10" ht="15" customHeight="1" x14ac:dyDescent="0.35">
      <c r="A423" s="53" t="s">
        <v>896</v>
      </c>
      <c r="B423" s="53" t="s">
        <v>932</v>
      </c>
      <c r="C423" s="53" t="s">
        <v>921</v>
      </c>
      <c r="D423" s="53">
        <v>1</v>
      </c>
      <c r="E423" s="53" t="s">
        <v>933</v>
      </c>
      <c r="F423" s="53" t="s">
        <v>900</v>
      </c>
      <c r="G423" s="53" t="s">
        <v>901</v>
      </c>
      <c r="H423" s="53" t="s">
        <v>902</v>
      </c>
      <c r="I423" s="53" t="s">
        <v>656</v>
      </c>
      <c r="J423" s="53" t="s">
        <v>934</v>
      </c>
    </row>
    <row r="424" spans="1:10" ht="15" customHeight="1" x14ac:dyDescent="0.35">
      <c r="A424" s="53" t="s">
        <v>896</v>
      </c>
      <c r="B424" s="53" t="s">
        <v>935</v>
      </c>
      <c r="C424" s="53" t="s">
        <v>921</v>
      </c>
      <c r="D424" s="53">
        <v>1</v>
      </c>
      <c r="E424" s="53" t="s">
        <v>936</v>
      </c>
      <c r="F424" s="53" t="s">
        <v>900</v>
      </c>
      <c r="G424" s="53" t="s">
        <v>901</v>
      </c>
      <c r="H424" s="53" t="s">
        <v>902</v>
      </c>
      <c r="I424" s="53" t="s">
        <v>656</v>
      </c>
      <c r="J424" s="53" t="s">
        <v>937</v>
      </c>
    </row>
    <row r="425" spans="1:10" ht="15" customHeight="1" x14ac:dyDescent="0.35">
      <c r="A425" s="53" t="s">
        <v>896</v>
      </c>
      <c r="B425" s="53" t="s">
        <v>938</v>
      </c>
      <c r="C425" s="53" t="s">
        <v>925</v>
      </c>
      <c r="D425" s="53">
        <v>1</v>
      </c>
      <c r="E425" s="53" t="s">
        <v>939</v>
      </c>
      <c r="F425" s="53" t="s">
        <v>900</v>
      </c>
      <c r="G425" s="53" t="s">
        <v>901</v>
      </c>
      <c r="H425" s="53" t="s">
        <v>902</v>
      </c>
      <c r="I425" s="53" t="s">
        <v>656</v>
      </c>
      <c r="J425" s="53" t="s">
        <v>940</v>
      </c>
    </row>
    <row r="426" spans="1:10" ht="15" customHeight="1" x14ac:dyDescent="0.35">
      <c r="A426" s="53" t="s">
        <v>896</v>
      </c>
      <c r="B426" s="53" t="s">
        <v>941</v>
      </c>
      <c r="C426" s="53" t="s">
        <v>942</v>
      </c>
      <c r="D426" s="53">
        <v>1</v>
      </c>
      <c r="E426" s="53" t="s">
        <v>943</v>
      </c>
      <c r="F426" s="53" t="s">
        <v>900</v>
      </c>
      <c r="G426" s="53" t="s">
        <v>901</v>
      </c>
      <c r="H426" s="53" t="s">
        <v>902</v>
      </c>
      <c r="I426" s="53" t="s">
        <v>656</v>
      </c>
      <c r="J426" s="53" t="s">
        <v>944</v>
      </c>
    </row>
    <row r="427" spans="1:10" ht="15" customHeight="1" x14ac:dyDescent="0.35">
      <c r="A427" s="53" t="s">
        <v>896</v>
      </c>
      <c r="B427" s="53" t="s">
        <v>945</v>
      </c>
      <c r="C427" s="53" t="s">
        <v>946</v>
      </c>
      <c r="D427" s="53">
        <v>1</v>
      </c>
      <c r="E427" s="53" t="s">
        <v>947</v>
      </c>
      <c r="F427" s="53" t="s">
        <v>900</v>
      </c>
      <c r="G427" s="53" t="s">
        <v>901</v>
      </c>
      <c r="H427" s="53" t="s">
        <v>902</v>
      </c>
      <c r="I427" s="53" t="s">
        <v>656</v>
      </c>
      <c r="J427" s="53" t="s">
        <v>948</v>
      </c>
    </row>
    <row r="428" spans="1:10" ht="15" customHeight="1" x14ac:dyDescent="0.35">
      <c r="A428" s="53" t="s">
        <v>896</v>
      </c>
      <c r="B428" s="53" t="s">
        <v>949</v>
      </c>
      <c r="C428" s="53" t="s">
        <v>925</v>
      </c>
      <c r="D428" s="53">
        <v>1</v>
      </c>
      <c r="E428" s="53" t="s">
        <v>950</v>
      </c>
      <c r="F428" s="53" t="s">
        <v>900</v>
      </c>
      <c r="G428" s="53" t="s">
        <v>901</v>
      </c>
      <c r="H428" s="53" t="s">
        <v>902</v>
      </c>
      <c r="I428" s="53" t="s">
        <v>656</v>
      </c>
      <c r="J428" s="53" t="s">
        <v>951</v>
      </c>
    </row>
    <row r="429" spans="1:10" ht="15" customHeight="1" x14ac:dyDescent="0.35">
      <c r="A429" s="53" t="s">
        <v>896</v>
      </c>
      <c r="B429" s="53" t="s">
        <v>952</v>
      </c>
      <c r="C429" s="53" t="s">
        <v>913</v>
      </c>
      <c r="D429" s="53">
        <v>1</v>
      </c>
      <c r="E429" s="53" t="s">
        <v>953</v>
      </c>
      <c r="F429" s="53" t="s">
        <v>900</v>
      </c>
      <c r="G429" s="53" t="s">
        <v>901</v>
      </c>
      <c r="H429" s="53" t="s">
        <v>902</v>
      </c>
      <c r="I429" s="53" t="s">
        <v>656</v>
      </c>
      <c r="J429" s="53" t="s">
        <v>954</v>
      </c>
    </row>
    <row r="430" spans="1:10" ht="15" customHeight="1" x14ac:dyDescent="0.35">
      <c r="A430" s="53" t="s">
        <v>896</v>
      </c>
      <c r="B430" s="53" t="s">
        <v>955</v>
      </c>
      <c r="C430" s="53" t="s">
        <v>921</v>
      </c>
      <c r="D430" s="53">
        <v>1</v>
      </c>
      <c r="E430" s="53" t="s">
        <v>956</v>
      </c>
      <c r="F430" s="53" t="s">
        <v>900</v>
      </c>
      <c r="G430" s="53" t="s">
        <v>901</v>
      </c>
      <c r="H430" s="53" t="s">
        <v>902</v>
      </c>
      <c r="I430" s="53" t="s">
        <v>656</v>
      </c>
      <c r="J430" s="53" t="s">
        <v>957</v>
      </c>
    </row>
    <row r="431" spans="1:10" ht="15" customHeight="1" x14ac:dyDescent="0.35">
      <c r="A431" s="53" t="s">
        <v>896</v>
      </c>
      <c r="B431" s="53" t="s">
        <v>958</v>
      </c>
      <c r="C431" s="53" t="s">
        <v>959</v>
      </c>
      <c r="D431" s="53">
        <v>1</v>
      </c>
      <c r="E431" s="53" t="s">
        <v>960</v>
      </c>
      <c r="F431" s="53" t="s">
        <v>900</v>
      </c>
      <c r="G431" s="53" t="s">
        <v>901</v>
      </c>
      <c r="H431" s="53" t="s">
        <v>902</v>
      </c>
      <c r="I431" s="53" t="s">
        <v>656</v>
      </c>
      <c r="J431" s="53" t="s">
        <v>961</v>
      </c>
    </row>
    <row r="432" spans="1:10" ht="15" customHeight="1" x14ac:dyDescent="0.35">
      <c r="A432" s="53" t="s">
        <v>896</v>
      </c>
      <c r="B432" s="53" t="s">
        <v>962</v>
      </c>
      <c r="C432" s="53" t="s">
        <v>963</v>
      </c>
      <c r="D432" s="53">
        <v>1</v>
      </c>
      <c r="E432" s="53" t="s">
        <v>964</v>
      </c>
      <c r="F432" s="53" t="s">
        <v>900</v>
      </c>
      <c r="G432" s="53" t="s">
        <v>901</v>
      </c>
      <c r="H432" s="53" t="s">
        <v>902</v>
      </c>
      <c r="I432" s="53" t="s">
        <v>656</v>
      </c>
      <c r="J432" s="53" t="s">
        <v>965</v>
      </c>
    </row>
    <row r="433" spans="1:10" ht="15" customHeight="1" x14ac:dyDescent="0.35">
      <c r="A433" s="53" t="s">
        <v>896</v>
      </c>
      <c r="B433" s="53" t="s">
        <v>966</v>
      </c>
      <c r="C433" s="53" t="s">
        <v>921</v>
      </c>
      <c r="D433" s="53">
        <v>1</v>
      </c>
      <c r="E433" s="53" t="s">
        <v>967</v>
      </c>
      <c r="F433" s="53" t="s">
        <v>900</v>
      </c>
      <c r="G433" s="53" t="s">
        <v>901</v>
      </c>
      <c r="H433" s="53" t="s">
        <v>902</v>
      </c>
      <c r="I433" s="53" t="s">
        <v>656</v>
      </c>
      <c r="J433" s="53" t="s">
        <v>968</v>
      </c>
    </row>
    <row r="434" spans="1:10" ht="15" customHeight="1" x14ac:dyDescent="0.35">
      <c r="A434" s="53" t="s">
        <v>896</v>
      </c>
      <c r="B434" s="53" t="s">
        <v>969</v>
      </c>
      <c r="C434" s="53" t="s">
        <v>946</v>
      </c>
      <c r="D434" s="53">
        <v>1</v>
      </c>
      <c r="E434" s="53" t="s">
        <v>970</v>
      </c>
      <c r="F434" s="53" t="s">
        <v>900</v>
      </c>
      <c r="G434" s="53" t="s">
        <v>901</v>
      </c>
      <c r="H434" s="53" t="s">
        <v>902</v>
      </c>
      <c r="I434" s="53" t="s">
        <v>656</v>
      </c>
      <c r="J434" s="53" t="s">
        <v>971</v>
      </c>
    </row>
    <row r="435" spans="1:10" ht="15" customHeight="1" x14ac:dyDescent="0.35">
      <c r="A435" s="53" t="s">
        <v>896</v>
      </c>
      <c r="B435" s="53" t="s">
        <v>972</v>
      </c>
      <c r="C435" s="53" t="s">
        <v>973</v>
      </c>
      <c r="D435" s="53">
        <v>1</v>
      </c>
      <c r="E435" s="53" t="s">
        <v>974</v>
      </c>
      <c r="F435" s="53" t="s">
        <v>900</v>
      </c>
      <c r="G435" s="53" t="s">
        <v>901</v>
      </c>
      <c r="H435" s="53" t="s">
        <v>902</v>
      </c>
      <c r="I435" s="53" t="s">
        <v>656</v>
      </c>
      <c r="J435" s="53" t="s">
        <v>975</v>
      </c>
    </row>
    <row r="436" spans="1:10" ht="15" customHeight="1" x14ac:dyDescent="0.35">
      <c r="A436" s="53" t="s">
        <v>896</v>
      </c>
      <c r="B436" s="53" t="s">
        <v>976</v>
      </c>
      <c r="C436" s="53" t="s">
        <v>959</v>
      </c>
      <c r="D436" s="53">
        <v>1</v>
      </c>
      <c r="E436" s="53" t="s">
        <v>977</v>
      </c>
      <c r="F436" s="53" t="s">
        <v>900</v>
      </c>
      <c r="G436" s="53" t="s">
        <v>901</v>
      </c>
      <c r="H436" s="53" t="s">
        <v>902</v>
      </c>
      <c r="I436" s="53" t="s">
        <v>656</v>
      </c>
      <c r="J436" s="53" t="s">
        <v>978</v>
      </c>
    </row>
    <row r="437" spans="1:10" ht="15" customHeight="1" x14ac:dyDescent="0.35">
      <c r="A437" s="53" t="s">
        <v>896</v>
      </c>
      <c r="B437" s="53" t="s">
        <v>979</v>
      </c>
      <c r="C437" s="53" t="s">
        <v>925</v>
      </c>
      <c r="D437" s="53">
        <v>1</v>
      </c>
      <c r="E437" s="53" t="s">
        <v>980</v>
      </c>
      <c r="F437" s="53" t="s">
        <v>900</v>
      </c>
      <c r="G437" s="53" t="s">
        <v>901</v>
      </c>
      <c r="H437" s="53" t="s">
        <v>902</v>
      </c>
      <c r="I437" s="53" t="s">
        <v>656</v>
      </c>
      <c r="J437" s="53" t="s">
        <v>981</v>
      </c>
    </row>
    <row r="438" spans="1:10" ht="15" customHeight="1" x14ac:dyDescent="0.35">
      <c r="A438" s="53" t="s">
        <v>896</v>
      </c>
      <c r="B438" s="53" t="s">
        <v>982</v>
      </c>
      <c r="C438" s="53" t="s">
        <v>909</v>
      </c>
      <c r="D438" s="53">
        <v>1</v>
      </c>
      <c r="E438" s="53" t="s">
        <v>983</v>
      </c>
      <c r="F438" s="53" t="s">
        <v>900</v>
      </c>
      <c r="G438" s="53" t="s">
        <v>901</v>
      </c>
      <c r="H438" s="53" t="s">
        <v>902</v>
      </c>
      <c r="I438" s="53" t="s">
        <v>656</v>
      </c>
      <c r="J438" s="53" t="s">
        <v>984</v>
      </c>
    </row>
    <row r="439" spans="1:10" ht="15" customHeight="1" x14ac:dyDescent="0.35">
      <c r="A439" s="53" t="s">
        <v>896</v>
      </c>
      <c r="B439" s="53" t="s">
        <v>985</v>
      </c>
      <c r="C439" s="53" t="s">
        <v>925</v>
      </c>
      <c r="D439" s="53">
        <v>1</v>
      </c>
      <c r="E439" s="53" t="s">
        <v>986</v>
      </c>
      <c r="F439" s="53" t="s">
        <v>900</v>
      </c>
      <c r="G439" s="53" t="s">
        <v>901</v>
      </c>
      <c r="H439" s="53" t="s">
        <v>902</v>
      </c>
      <c r="I439" s="53" t="s">
        <v>656</v>
      </c>
      <c r="J439" s="53" t="s">
        <v>987</v>
      </c>
    </row>
    <row r="440" spans="1:10" ht="15" customHeight="1" x14ac:dyDescent="0.35">
      <c r="A440" s="53" t="s">
        <v>896</v>
      </c>
      <c r="B440" s="53" t="s">
        <v>988</v>
      </c>
      <c r="C440" s="53" t="s">
        <v>989</v>
      </c>
      <c r="D440" s="53">
        <v>1</v>
      </c>
      <c r="E440" s="53" t="s">
        <v>990</v>
      </c>
      <c r="F440" s="53" t="s">
        <v>900</v>
      </c>
      <c r="G440" s="53" t="s">
        <v>901</v>
      </c>
      <c r="H440" s="53" t="s">
        <v>902</v>
      </c>
      <c r="I440" s="53" t="s">
        <v>656</v>
      </c>
      <c r="J440" s="53" t="s">
        <v>991</v>
      </c>
    </row>
    <row r="441" spans="1:10" ht="15" customHeight="1" x14ac:dyDescent="0.35">
      <c r="A441" s="53" t="s">
        <v>896</v>
      </c>
      <c r="B441" s="53" t="s">
        <v>992</v>
      </c>
      <c r="C441" s="53" t="s">
        <v>909</v>
      </c>
      <c r="D441" s="53">
        <v>1</v>
      </c>
      <c r="E441" s="53" t="s">
        <v>993</v>
      </c>
      <c r="F441" s="53" t="s">
        <v>900</v>
      </c>
      <c r="G441" s="53" t="s">
        <v>901</v>
      </c>
      <c r="H441" s="53" t="s">
        <v>902</v>
      </c>
      <c r="I441" s="53" t="s">
        <v>656</v>
      </c>
      <c r="J441" s="53" t="s">
        <v>994</v>
      </c>
    </row>
    <row r="442" spans="1:10" ht="15" customHeight="1" x14ac:dyDescent="0.35">
      <c r="A442" s="53" t="s">
        <v>896</v>
      </c>
      <c r="B442" s="53" t="s">
        <v>995</v>
      </c>
      <c r="C442" s="53" t="s">
        <v>996</v>
      </c>
      <c r="D442" s="53">
        <v>1</v>
      </c>
      <c r="E442" s="53" t="s">
        <v>997</v>
      </c>
      <c r="F442" s="53" t="s">
        <v>900</v>
      </c>
      <c r="G442" s="53" t="s">
        <v>901</v>
      </c>
      <c r="H442" s="53" t="s">
        <v>902</v>
      </c>
      <c r="I442" s="53" t="s">
        <v>656</v>
      </c>
      <c r="J442" s="53" t="s">
        <v>998</v>
      </c>
    </row>
    <row r="443" spans="1:10" ht="15" customHeight="1" x14ac:dyDescent="0.35">
      <c r="A443" s="53" t="s">
        <v>896</v>
      </c>
      <c r="B443" s="53" t="s">
        <v>999</v>
      </c>
      <c r="C443" s="53" t="s">
        <v>946</v>
      </c>
      <c r="D443" s="53">
        <v>1</v>
      </c>
      <c r="E443" s="53" t="s">
        <v>1000</v>
      </c>
      <c r="F443" s="53" t="s">
        <v>900</v>
      </c>
      <c r="G443" s="53" t="s">
        <v>901</v>
      </c>
      <c r="H443" s="53" t="s">
        <v>902</v>
      </c>
      <c r="I443" s="53" t="s">
        <v>656</v>
      </c>
      <c r="J443" s="53" t="s">
        <v>1001</v>
      </c>
    </row>
    <row r="444" spans="1:10" ht="15" customHeight="1" x14ac:dyDescent="0.35">
      <c r="A444" s="53" t="s">
        <v>896</v>
      </c>
      <c r="B444" s="53" t="s">
        <v>1002</v>
      </c>
      <c r="C444" s="53" t="s">
        <v>989</v>
      </c>
      <c r="D444" s="53">
        <v>1</v>
      </c>
      <c r="E444" s="53" t="s">
        <v>1003</v>
      </c>
      <c r="F444" s="53" t="s">
        <v>900</v>
      </c>
      <c r="G444" s="53" t="s">
        <v>901</v>
      </c>
      <c r="H444" s="53" t="s">
        <v>902</v>
      </c>
      <c r="I444" s="53" t="s">
        <v>656</v>
      </c>
      <c r="J444" s="53" t="s">
        <v>1004</v>
      </c>
    </row>
    <row r="445" spans="1:10" ht="15" customHeight="1" x14ac:dyDescent="0.35">
      <c r="A445" s="53" t="s">
        <v>896</v>
      </c>
      <c r="B445" s="53" t="s">
        <v>1005</v>
      </c>
      <c r="C445" s="53" t="s">
        <v>921</v>
      </c>
      <c r="D445" s="53">
        <v>1</v>
      </c>
      <c r="E445" s="53" t="s">
        <v>1006</v>
      </c>
      <c r="F445" s="53" t="s">
        <v>900</v>
      </c>
      <c r="G445" s="53" t="s">
        <v>901</v>
      </c>
      <c r="H445" s="53" t="s">
        <v>902</v>
      </c>
      <c r="I445" s="53" t="s">
        <v>656</v>
      </c>
      <c r="J445" s="53" t="s">
        <v>1007</v>
      </c>
    </row>
    <row r="446" spans="1:10" ht="15" customHeight="1" x14ac:dyDescent="0.35">
      <c r="A446" s="53" t="s">
        <v>896</v>
      </c>
      <c r="B446" s="53" t="s">
        <v>1008</v>
      </c>
      <c r="C446" s="53" t="s">
        <v>1009</v>
      </c>
      <c r="D446" s="53">
        <v>1</v>
      </c>
      <c r="E446" s="53" t="s">
        <v>1010</v>
      </c>
      <c r="F446" s="53" t="s">
        <v>900</v>
      </c>
      <c r="G446" s="53" t="s">
        <v>901</v>
      </c>
      <c r="H446" s="53" t="s">
        <v>902</v>
      </c>
      <c r="I446" s="53" t="s">
        <v>656</v>
      </c>
      <c r="J446" s="53" t="s">
        <v>1011</v>
      </c>
    </row>
    <row r="447" spans="1:10" ht="15" customHeight="1" x14ac:dyDescent="0.35">
      <c r="A447" s="53" t="s">
        <v>896</v>
      </c>
      <c r="B447" s="53" t="s">
        <v>1012</v>
      </c>
      <c r="C447" s="53" t="s">
        <v>921</v>
      </c>
      <c r="D447" s="53">
        <v>1</v>
      </c>
      <c r="E447" s="53" t="s">
        <v>1013</v>
      </c>
      <c r="F447" s="53" t="s">
        <v>900</v>
      </c>
      <c r="G447" s="53" t="s">
        <v>901</v>
      </c>
      <c r="H447" s="53" t="s">
        <v>902</v>
      </c>
      <c r="I447" s="53" t="s">
        <v>656</v>
      </c>
      <c r="J447" s="53" t="s">
        <v>1014</v>
      </c>
    </row>
    <row r="448" spans="1:10" ht="15" customHeight="1" x14ac:dyDescent="0.35">
      <c r="A448" s="53" t="s">
        <v>896</v>
      </c>
      <c r="B448" s="53" t="s">
        <v>1015</v>
      </c>
      <c r="C448" s="53" t="s">
        <v>996</v>
      </c>
      <c r="D448" s="53">
        <v>1</v>
      </c>
      <c r="E448" s="53" t="s">
        <v>1016</v>
      </c>
      <c r="F448" s="53" t="s">
        <v>900</v>
      </c>
      <c r="G448" s="53" t="s">
        <v>901</v>
      </c>
      <c r="H448" s="53" t="s">
        <v>902</v>
      </c>
      <c r="I448" s="53" t="s">
        <v>656</v>
      </c>
      <c r="J448" s="53" t="s">
        <v>1017</v>
      </c>
    </row>
    <row r="449" spans="1:10" ht="15" customHeight="1" x14ac:dyDescent="0.35">
      <c r="A449" s="53" t="s">
        <v>896</v>
      </c>
      <c r="B449" s="53" t="s">
        <v>1018</v>
      </c>
      <c r="C449" s="53" t="s">
        <v>963</v>
      </c>
      <c r="D449" s="53">
        <v>1</v>
      </c>
      <c r="E449" s="53" t="s">
        <v>1019</v>
      </c>
      <c r="F449" s="53" t="s">
        <v>900</v>
      </c>
      <c r="G449" s="53" t="s">
        <v>901</v>
      </c>
      <c r="H449" s="53" t="s">
        <v>902</v>
      </c>
      <c r="I449" s="53" t="s">
        <v>656</v>
      </c>
      <c r="J449" s="53" t="s">
        <v>1020</v>
      </c>
    </row>
    <row r="450" spans="1:10" ht="15" customHeight="1" x14ac:dyDescent="0.35">
      <c r="A450" s="53" t="s">
        <v>896</v>
      </c>
      <c r="B450" s="53" t="s">
        <v>1021</v>
      </c>
      <c r="C450" s="53" t="s">
        <v>925</v>
      </c>
      <c r="D450" s="53">
        <v>1</v>
      </c>
      <c r="E450" s="53" t="s">
        <v>1022</v>
      </c>
      <c r="F450" s="53" t="s">
        <v>900</v>
      </c>
      <c r="G450" s="53" t="s">
        <v>901</v>
      </c>
      <c r="H450" s="53" t="s">
        <v>902</v>
      </c>
      <c r="I450" s="53" t="s">
        <v>656</v>
      </c>
      <c r="J450" s="53" t="s">
        <v>1023</v>
      </c>
    </row>
    <row r="451" spans="1:10" ht="15" customHeight="1" x14ac:dyDescent="0.35">
      <c r="A451" s="53" t="s">
        <v>896</v>
      </c>
      <c r="B451" s="53" t="s">
        <v>1024</v>
      </c>
      <c r="C451" s="53" t="s">
        <v>925</v>
      </c>
      <c r="D451" s="53">
        <v>1</v>
      </c>
      <c r="E451" s="53" t="s">
        <v>1025</v>
      </c>
      <c r="F451" s="53" t="s">
        <v>1026</v>
      </c>
      <c r="G451" s="53" t="s">
        <v>901</v>
      </c>
      <c r="H451" s="53" t="s">
        <v>902</v>
      </c>
      <c r="I451" s="53" t="s">
        <v>656</v>
      </c>
      <c r="J451" s="53" t="s">
        <v>1027</v>
      </c>
    </row>
    <row r="452" spans="1:10" ht="15" customHeight="1" x14ac:dyDescent="0.35">
      <c r="A452" s="53" t="s">
        <v>896</v>
      </c>
      <c r="B452" s="53" t="s">
        <v>1028</v>
      </c>
      <c r="C452" s="53" t="s">
        <v>989</v>
      </c>
      <c r="D452" s="53">
        <v>1</v>
      </c>
      <c r="E452" s="53" t="s">
        <v>1029</v>
      </c>
      <c r="F452" s="53" t="s">
        <v>1026</v>
      </c>
      <c r="G452" s="53" t="s">
        <v>901</v>
      </c>
      <c r="H452" s="53" t="s">
        <v>902</v>
      </c>
      <c r="I452" s="53" t="s">
        <v>656</v>
      </c>
      <c r="J452" s="53" t="s">
        <v>1030</v>
      </c>
    </row>
    <row r="453" spans="1:10" ht="15" customHeight="1" x14ac:dyDescent="0.35">
      <c r="A453" s="53" t="s">
        <v>896</v>
      </c>
      <c r="B453" s="53" t="s">
        <v>1031</v>
      </c>
      <c r="C453" s="53" t="s">
        <v>996</v>
      </c>
      <c r="D453" s="53">
        <v>1</v>
      </c>
      <c r="E453" s="53" t="s">
        <v>1032</v>
      </c>
      <c r="F453" s="53" t="s">
        <v>900</v>
      </c>
      <c r="G453" s="53" t="s">
        <v>901</v>
      </c>
      <c r="H453" s="53" t="s">
        <v>902</v>
      </c>
      <c r="I453" s="53" t="s">
        <v>656</v>
      </c>
      <c r="J453" s="53" t="s">
        <v>1033</v>
      </c>
    </row>
    <row r="454" spans="1:10" ht="15" customHeight="1" x14ac:dyDescent="0.35">
      <c r="A454" s="53" t="s">
        <v>896</v>
      </c>
      <c r="B454" s="53" t="s">
        <v>1034</v>
      </c>
      <c r="C454" s="53" t="s">
        <v>905</v>
      </c>
      <c r="D454" s="53">
        <v>1</v>
      </c>
      <c r="E454" s="53" t="s">
        <v>1035</v>
      </c>
      <c r="F454" s="53" t="s">
        <v>900</v>
      </c>
      <c r="G454" s="53" t="s">
        <v>901</v>
      </c>
      <c r="H454" s="53" t="s">
        <v>902</v>
      </c>
      <c r="I454" s="53" t="s">
        <v>656</v>
      </c>
      <c r="J454" s="53" t="s">
        <v>1036</v>
      </c>
    </row>
    <row r="455" spans="1:10" ht="15" customHeight="1" x14ac:dyDescent="0.35">
      <c r="A455" s="53" t="s">
        <v>896</v>
      </c>
      <c r="B455" s="53" t="s">
        <v>1037</v>
      </c>
      <c r="C455" s="53" t="s">
        <v>905</v>
      </c>
      <c r="D455" s="53">
        <v>1</v>
      </c>
      <c r="E455" s="53" t="s">
        <v>1038</v>
      </c>
      <c r="F455" s="53" t="s">
        <v>900</v>
      </c>
      <c r="G455" s="53" t="s">
        <v>901</v>
      </c>
      <c r="H455" s="53" t="s">
        <v>902</v>
      </c>
      <c r="I455" s="53" t="s">
        <v>656</v>
      </c>
      <c r="J455" s="53" t="s">
        <v>1039</v>
      </c>
    </row>
    <row r="456" spans="1:10" ht="15" customHeight="1" x14ac:dyDescent="0.35">
      <c r="A456" s="53" t="s">
        <v>896</v>
      </c>
      <c r="B456" s="53" t="s">
        <v>1040</v>
      </c>
      <c r="C456" s="53" t="s">
        <v>925</v>
      </c>
      <c r="D456" s="53">
        <v>1</v>
      </c>
      <c r="E456" s="53" t="s">
        <v>1041</v>
      </c>
      <c r="F456" s="53" t="s">
        <v>900</v>
      </c>
      <c r="G456" s="53" t="s">
        <v>901</v>
      </c>
      <c r="H456" s="53" t="s">
        <v>902</v>
      </c>
      <c r="I456" s="53" t="s">
        <v>656</v>
      </c>
      <c r="J456" s="53" t="s">
        <v>1042</v>
      </c>
    </row>
    <row r="457" spans="1:10" ht="15" customHeight="1" x14ac:dyDescent="0.35">
      <c r="A457" s="53" t="s">
        <v>896</v>
      </c>
      <c r="B457" s="53" t="s">
        <v>1043</v>
      </c>
      <c r="C457" s="53" t="s">
        <v>925</v>
      </c>
      <c r="D457" s="53">
        <v>1</v>
      </c>
      <c r="E457" s="53" t="s">
        <v>1044</v>
      </c>
      <c r="F457" s="53" t="s">
        <v>900</v>
      </c>
      <c r="G457" s="53" t="s">
        <v>901</v>
      </c>
      <c r="H457" s="53" t="s">
        <v>902</v>
      </c>
      <c r="I457" s="53" t="s">
        <v>656</v>
      </c>
      <c r="J457" s="53" t="s">
        <v>1045</v>
      </c>
    </row>
    <row r="458" spans="1:10" ht="15" customHeight="1" x14ac:dyDescent="0.35">
      <c r="A458" s="53" t="s">
        <v>896</v>
      </c>
      <c r="B458" s="53" t="s">
        <v>1046</v>
      </c>
      <c r="C458" s="53" t="s">
        <v>909</v>
      </c>
      <c r="D458" s="53">
        <v>1</v>
      </c>
      <c r="E458" s="53" t="s">
        <v>1047</v>
      </c>
      <c r="F458" s="53" t="s">
        <v>900</v>
      </c>
      <c r="G458" s="53" t="s">
        <v>901</v>
      </c>
      <c r="H458" s="53" t="s">
        <v>902</v>
      </c>
      <c r="I458" s="53" t="s">
        <v>656</v>
      </c>
      <c r="J458" s="53" t="s">
        <v>1048</v>
      </c>
    </row>
    <row r="459" spans="1:10" ht="15" customHeight="1" x14ac:dyDescent="0.35">
      <c r="A459" s="53" t="s">
        <v>896</v>
      </c>
      <c r="B459" s="53" t="s">
        <v>1049</v>
      </c>
      <c r="C459" s="53" t="s">
        <v>1050</v>
      </c>
      <c r="D459" s="53">
        <v>1</v>
      </c>
      <c r="E459" s="53" t="s">
        <v>1051</v>
      </c>
      <c r="F459" s="53" t="s">
        <v>900</v>
      </c>
      <c r="G459" s="53" t="s">
        <v>901</v>
      </c>
      <c r="H459" s="53" t="s">
        <v>902</v>
      </c>
      <c r="I459" s="53" t="s">
        <v>656</v>
      </c>
      <c r="J459" s="53" t="s">
        <v>1052</v>
      </c>
    </row>
    <row r="460" spans="1:10" ht="15" customHeight="1" x14ac:dyDescent="0.35">
      <c r="A460" s="53" t="s">
        <v>896</v>
      </c>
      <c r="B460" s="53" t="s">
        <v>1053</v>
      </c>
      <c r="C460" s="53" t="s">
        <v>1054</v>
      </c>
      <c r="D460" s="53">
        <v>1</v>
      </c>
      <c r="E460" s="53" t="s">
        <v>1055</v>
      </c>
      <c r="F460" s="53" t="s">
        <v>900</v>
      </c>
      <c r="G460" s="53" t="s">
        <v>901</v>
      </c>
      <c r="H460" s="53" t="s">
        <v>902</v>
      </c>
      <c r="I460" s="53" t="s">
        <v>656</v>
      </c>
      <c r="J460" s="53" t="s">
        <v>1056</v>
      </c>
    </row>
    <row r="461" spans="1:10" ht="15" customHeight="1" x14ac:dyDescent="0.35">
      <c r="A461" s="53" t="s">
        <v>896</v>
      </c>
      <c r="B461" s="53" t="s">
        <v>1057</v>
      </c>
      <c r="C461" s="53" t="s">
        <v>996</v>
      </c>
      <c r="D461" s="53">
        <v>1</v>
      </c>
      <c r="E461" s="53" t="s">
        <v>1058</v>
      </c>
      <c r="F461" s="53" t="s">
        <v>900</v>
      </c>
      <c r="G461" s="53" t="s">
        <v>901</v>
      </c>
      <c r="H461" s="53" t="s">
        <v>902</v>
      </c>
      <c r="I461" s="53" t="s">
        <v>656</v>
      </c>
      <c r="J461" s="53" t="s">
        <v>1059</v>
      </c>
    </row>
    <row r="462" spans="1:10" ht="15" customHeight="1" x14ac:dyDescent="0.35">
      <c r="A462" s="53" t="s">
        <v>896</v>
      </c>
      <c r="B462" s="53" t="s">
        <v>1060</v>
      </c>
      <c r="C462" s="53" t="s">
        <v>913</v>
      </c>
      <c r="D462" s="53">
        <v>1</v>
      </c>
      <c r="E462" s="53" t="s">
        <v>1061</v>
      </c>
      <c r="F462" s="53" t="s">
        <v>900</v>
      </c>
      <c r="G462" s="53" t="s">
        <v>901</v>
      </c>
      <c r="H462" s="53" t="s">
        <v>902</v>
      </c>
      <c r="I462" s="53" t="s">
        <v>656</v>
      </c>
      <c r="J462" s="53" t="s">
        <v>1062</v>
      </c>
    </row>
    <row r="463" spans="1:10" ht="15" customHeight="1" x14ac:dyDescent="0.35">
      <c r="A463" s="53" t="s">
        <v>896</v>
      </c>
      <c r="B463" s="53" t="s">
        <v>1063</v>
      </c>
      <c r="C463" s="53" t="s">
        <v>921</v>
      </c>
      <c r="D463" s="53">
        <v>1</v>
      </c>
      <c r="E463" s="53" t="s">
        <v>1064</v>
      </c>
      <c r="F463" s="53" t="s">
        <v>900</v>
      </c>
      <c r="G463" s="53" t="s">
        <v>901</v>
      </c>
      <c r="H463" s="53" t="s">
        <v>902</v>
      </c>
      <c r="I463" s="53" t="s">
        <v>656</v>
      </c>
      <c r="J463" s="53" t="s">
        <v>1065</v>
      </c>
    </row>
    <row r="464" spans="1:10" ht="15" customHeight="1" x14ac:dyDescent="0.35">
      <c r="A464" s="53" t="s">
        <v>896</v>
      </c>
      <c r="B464" s="53" t="s">
        <v>1066</v>
      </c>
      <c r="C464" s="53" t="s">
        <v>921</v>
      </c>
      <c r="D464" s="53">
        <v>1</v>
      </c>
      <c r="E464" s="53" t="s">
        <v>1067</v>
      </c>
      <c r="F464" s="53" t="s">
        <v>900</v>
      </c>
      <c r="G464" s="53" t="s">
        <v>901</v>
      </c>
      <c r="H464" s="53" t="s">
        <v>902</v>
      </c>
      <c r="I464" s="53" t="s">
        <v>656</v>
      </c>
      <c r="J464" s="53" t="s">
        <v>1068</v>
      </c>
    </row>
    <row r="465" spans="1:10" ht="15" customHeight="1" x14ac:dyDescent="0.35">
      <c r="A465" s="53" t="s">
        <v>896</v>
      </c>
      <c r="B465" s="53" t="s">
        <v>1069</v>
      </c>
      <c r="C465" s="53" t="s">
        <v>1070</v>
      </c>
      <c r="D465" s="53">
        <v>1</v>
      </c>
      <c r="E465" s="53" t="s">
        <v>1071</v>
      </c>
      <c r="F465" s="53" t="s">
        <v>900</v>
      </c>
      <c r="G465" s="53" t="s">
        <v>901</v>
      </c>
      <c r="H465" s="53" t="s">
        <v>902</v>
      </c>
      <c r="I465" s="53" t="s">
        <v>656</v>
      </c>
      <c r="J465" s="53" t="s">
        <v>1072</v>
      </c>
    </row>
    <row r="466" spans="1:10" ht="15" customHeight="1" x14ac:dyDescent="0.35">
      <c r="A466" s="53" t="s">
        <v>896</v>
      </c>
      <c r="B466" s="53" t="s">
        <v>1073</v>
      </c>
      <c r="C466" s="53" t="s">
        <v>1070</v>
      </c>
      <c r="D466" s="53">
        <v>1</v>
      </c>
      <c r="E466" s="53" t="s">
        <v>1074</v>
      </c>
      <c r="F466" s="53" t="s">
        <v>900</v>
      </c>
      <c r="G466" s="53" t="s">
        <v>901</v>
      </c>
      <c r="H466" s="53" t="s">
        <v>902</v>
      </c>
      <c r="I466" s="53" t="s">
        <v>656</v>
      </c>
      <c r="J466" s="53" t="s">
        <v>1075</v>
      </c>
    </row>
    <row r="467" spans="1:10" ht="15" customHeight="1" x14ac:dyDescent="0.35">
      <c r="A467" s="53" t="s">
        <v>896</v>
      </c>
      <c r="B467" s="53" t="s">
        <v>1076</v>
      </c>
      <c r="C467" s="53" t="s">
        <v>1077</v>
      </c>
      <c r="D467" s="53">
        <v>1</v>
      </c>
      <c r="E467" s="53" t="s">
        <v>1078</v>
      </c>
      <c r="F467" s="53" t="s">
        <v>900</v>
      </c>
      <c r="G467" s="53" t="s">
        <v>901</v>
      </c>
      <c r="H467" s="53" t="s">
        <v>902</v>
      </c>
      <c r="I467" s="53" t="s">
        <v>656</v>
      </c>
      <c r="J467" s="53" t="s">
        <v>1079</v>
      </c>
    </row>
    <row r="468" spans="1:10" ht="15" customHeight="1" x14ac:dyDescent="0.35">
      <c r="A468" s="53" t="s">
        <v>896</v>
      </c>
      <c r="B468" s="53" t="s">
        <v>1080</v>
      </c>
      <c r="C468" s="53" t="s">
        <v>905</v>
      </c>
      <c r="D468" s="53">
        <v>1</v>
      </c>
      <c r="E468" s="53" t="s">
        <v>1081</v>
      </c>
      <c r="F468" s="53" t="s">
        <v>900</v>
      </c>
      <c r="G468" s="53" t="s">
        <v>901</v>
      </c>
      <c r="H468" s="53" t="s">
        <v>902</v>
      </c>
      <c r="I468" s="53" t="s">
        <v>656</v>
      </c>
      <c r="J468" s="53" t="s">
        <v>1082</v>
      </c>
    </row>
    <row r="469" spans="1:10" ht="15" customHeight="1" x14ac:dyDescent="0.35">
      <c r="A469" s="53" t="s">
        <v>896</v>
      </c>
      <c r="B469" s="53" t="s">
        <v>1083</v>
      </c>
      <c r="C469" s="53" t="s">
        <v>1084</v>
      </c>
      <c r="D469" s="53">
        <v>1</v>
      </c>
      <c r="E469" s="53" t="s">
        <v>1085</v>
      </c>
      <c r="F469" s="53" t="s">
        <v>900</v>
      </c>
      <c r="G469" s="53" t="s">
        <v>901</v>
      </c>
      <c r="H469" s="53" t="s">
        <v>902</v>
      </c>
      <c r="I469" s="53" t="s">
        <v>656</v>
      </c>
      <c r="J469" s="53" t="s">
        <v>1086</v>
      </c>
    </row>
    <row r="470" spans="1:10" ht="15" customHeight="1" x14ac:dyDescent="0.35">
      <c r="A470" s="53" t="s">
        <v>896</v>
      </c>
      <c r="B470" s="53" t="s">
        <v>1087</v>
      </c>
      <c r="C470" s="53" t="s">
        <v>989</v>
      </c>
      <c r="D470" s="53">
        <v>1</v>
      </c>
      <c r="E470" s="53" t="s">
        <v>1088</v>
      </c>
      <c r="F470" s="53" t="s">
        <v>900</v>
      </c>
      <c r="G470" s="53" t="s">
        <v>901</v>
      </c>
      <c r="H470" s="53" t="s">
        <v>902</v>
      </c>
      <c r="I470" s="53" t="s">
        <v>656</v>
      </c>
      <c r="J470" s="53" t="s">
        <v>1089</v>
      </c>
    </row>
    <row r="471" spans="1:10" ht="15" customHeight="1" x14ac:dyDescent="0.35">
      <c r="A471" s="53" t="s">
        <v>896</v>
      </c>
      <c r="B471" s="53" t="s">
        <v>1090</v>
      </c>
      <c r="C471" s="53" t="s">
        <v>1091</v>
      </c>
      <c r="D471" s="53">
        <v>1</v>
      </c>
      <c r="E471" s="53" t="s">
        <v>1092</v>
      </c>
      <c r="F471" s="53" t="s">
        <v>1026</v>
      </c>
      <c r="G471" s="53" t="s">
        <v>901</v>
      </c>
      <c r="H471" s="53" t="s">
        <v>902</v>
      </c>
      <c r="I471" s="53" t="s">
        <v>656</v>
      </c>
      <c r="J471" s="53" t="s">
        <v>1093</v>
      </c>
    </row>
    <row r="472" spans="1:10" ht="15" customHeight="1" x14ac:dyDescent="0.35">
      <c r="A472" s="53" t="s">
        <v>896</v>
      </c>
      <c r="B472" s="53" t="s">
        <v>1094</v>
      </c>
      <c r="C472" s="53" t="s">
        <v>921</v>
      </c>
      <c r="D472" s="53">
        <v>1</v>
      </c>
      <c r="E472" s="53" t="s">
        <v>1095</v>
      </c>
      <c r="F472" s="53" t="s">
        <v>900</v>
      </c>
      <c r="G472" s="53" t="s">
        <v>901</v>
      </c>
      <c r="H472" s="53" t="s">
        <v>902</v>
      </c>
      <c r="I472" s="53" t="s">
        <v>656</v>
      </c>
      <c r="J472" s="53" t="s">
        <v>1096</v>
      </c>
    </row>
    <row r="473" spans="1:10" ht="15" customHeight="1" x14ac:dyDescent="0.35">
      <c r="A473" s="53" t="s">
        <v>896</v>
      </c>
      <c r="B473" s="53" t="s">
        <v>1097</v>
      </c>
      <c r="C473" s="53" t="s">
        <v>1050</v>
      </c>
      <c r="D473" s="53">
        <v>1</v>
      </c>
      <c r="E473" s="53" t="s">
        <v>1098</v>
      </c>
      <c r="F473" s="53" t="s">
        <v>1026</v>
      </c>
      <c r="G473" s="53" t="s">
        <v>901</v>
      </c>
      <c r="H473" s="53" t="s">
        <v>902</v>
      </c>
      <c r="I473" s="53" t="s">
        <v>656</v>
      </c>
      <c r="J473" s="53" t="s">
        <v>1099</v>
      </c>
    </row>
    <row r="474" spans="1:10" ht="15" customHeight="1" x14ac:dyDescent="0.35">
      <c r="A474" s="53" t="s">
        <v>896</v>
      </c>
      <c r="B474" s="53" t="s">
        <v>1100</v>
      </c>
      <c r="C474" s="53" t="s">
        <v>1101</v>
      </c>
      <c r="D474" s="53">
        <v>1</v>
      </c>
      <c r="E474" s="53" t="s">
        <v>1102</v>
      </c>
      <c r="F474" s="53" t="s">
        <v>1026</v>
      </c>
      <c r="G474" s="53" t="s">
        <v>901</v>
      </c>
      <c r="H474" s="53" t="s">
        <v>902</v>
      </c>
      <c r="I474" s="53" t="s">
        <v>656</v>
      </c>
      <c r="J474" s="53" t="s">
        <v>1103</v>
      </c>
    </row>
    <row r="475" spans="1:10" ht="15" customHeight="1" x14ac:dyDescent="0.35">
      <c r="A475" s="53" t="s">
        <v>896</v>
      </c>
      <c r="B475" s="53" t="s">
        <v>1104</v>
      </c>
      <c r="C475" s="53" t="s">
        <v>909</v>
      </c>
      <c r="D475" s="53">
        <v>1</v>
      </c>
      <c r="E475" s="53" t="s">
        <v>1105</v>
      </c>
      <c r="F475" s="53" t="s">
        <v>1026</v>
      </c>
      <c r="G475" s="53" t="s">
        <v>901</v>
      </c>
      <c r="H475" s="53" t="s">
        <v>902</v>
      </c>
      <c r="I475" s="53" t="s">
        <v>656</v>
      </c>
      <c r="J475" s="53" t="s">
        <v>1106</v>
      </c>
    </row>
    <row r="476" spans="1:10" ht="15" customHeight="1" x14ac:dyDescent="0.35">
      <c r="A476" s="53" t="s">
        <v>896</v>
      </c>
      <c r="B476" s="53" t="s">
        <v>1107</v>
      </c>
      <c r="C476" s="53" t="s">
        <v>1101</v>
      </c>
      <c r="D476" s="53">
        <v>1</v>
      </c>
      <c r="E476" s="53" t="s">
        <v>1108</v>
      </c>
      <c r="F476" s="53" t="s">
        <v>1026</v>
      </c>
      <c r="G476" s="53" t="s">
        <v>901</v>
      </c>
      <c r="H476" s="53" t="s">
        <v>902</v>
      </c>
      <c r="I476" s="53" t="s">
        <v>656</v>
      </c>
      <c r="J476" s="53" t="s">
        <v>1109</v>
      </c>
    </row>
    <row r="477" spans="1:10" ht="15" customHeight="1" x14ac:dyDescent="0.35">
      <c r="A477" s="53" t="s">
        <v>896</v>
      </c>
      <c r="B477" s="53" t="s">
        <v>1110</v>
      </c>
      <c r="C477" s="53" t="s">
        <v>1111</v>
      </c>
      <c r="D477" s="53">
        <v>1</v>
      </c>
      <c r="E477" s="53" t="s">
        <v>1112</v>
      </c>
      <c r="F477" s="53" t="s">
        <v>1026</v>
      </c>
      <c r="G477" s="53" t="s">
        <v>901</v>
      </c>
      <c r="H477" s="53" t="s">
        <v>902</v>
      </c>
      <c r="I477" s="53" t="s">
        <v>656</v>
      </c>
      <c r="J477" s="53" t="s">
        <v>1113</v>
      </c>
    </row>
    <row r="478" spans="1:10" ht="15" customHeight="1" x14ac:dyDescent="0.35">
      <c r="A478" s="53" t="s">
        <v>896</v>
      </c>
      <c r="B478" s="53" t="s">
        <v>1114</v>
      </c>
      <c r="C478" s="53" t="s">
        <v>925</v>
      </c>
      <c r="D478" s="53">
        <v>1</v>
      </c>
      <c r="E478" s="53" t="s">
        <v>1115</v>
      </c>
      <c r="F478" s="53" t="s">
        <v>1026</v>
      </c>
      <c r="G478" s="53" t="s">
        <v>901</v>
      </c>
      <c r="H478" s="53" t="s">
        <v>902</v>
      </c>
      <c r="I478" s="53" t="s">
        <v>656</v>
      </c>
      <c r="J478" s="53" t="s">
        <v>1116</v>
      </c>
    </row>
    <row r="479" spans="1:10" ht="15" customHeight="1" x14ac:dyDescent="0.35">
      <c r="A479" s="53" t="s">
        <v>896</v>
      </c>
      <c r="B479" s="53" t="s">
        <v>1117</v>
      </c>
      <c r="C479" s="53" t="s">
        <v>1118</v>
      </c>
      <c r="D479" s="53">
        <v>1</v>
      </c>
      <c r="E479" s="53" t="s">
        <v>1119</v>
      </c>
      <c r="F479" s="53" t="s">
        <v>1026</v>
      </c>
      <c r="G479" s="53" t="s">
        <v>901</v>
      </c>
      <c r="H479" s="53" t="s">
        <v>902</v>
      </c>
      <c r="I479" s="53" t="s">
        <v>656</v>
      </c>
      <c r="J479" s="53" t="s">
        <v>1120</v>
      </c>
    </row>
    <row r="480" spans="1:10" ht="15" customHeight="1" x14ac:dyDescent="0.35">
      <c r="A480" s="53" t="s">
        <v>896</v>
      </c>
      <c r="B480" s="53" t="s">
        <v>1121</v>
      </c>
      <c r="C480" s="53" t="s">
        <v>1122</v>
      </c>
      <c r="D480" s="53">
        <v>1</v>
      </c>
      <c r="E480" s="53" t="s">
        <v>1123</v>
      </c>
      <c r="F480" s="53" t="s">
        <v>1026</v>
      </c>
      <c r="G480" s="53" t="s">
        <v>901</v>
      </c>
      <c r="H480" s="53" t="s">
        <v>902</v>
      </c>
      <c r="I480" s="53" t="s">
        <v>656</v>
      </c>
      <c r="J480" s="53" t="s">
        <v>1124</v>
      </c>
    </row>
    <row r="481" spans="1:10" ht="15" customHeight="1" x14ac:dyDescent="0.35">
      <c r="A481" s="53" t="s">
        <v>896</v>
      </c>
      <c r="B481" s="53" t="s">
        <v>1125</v>
      </c>
      <c r="C481" s="53" t="s">
        <v>989</v>
      </c>
      <c r="D481" s="53">
        <v>1</v>
      </c>
      <c r="E481" s="53" t="s">
        <v>1126</v>
      </c>
      <c r="F481" s="53" t="s">
        <v>1026</v>
      </c>
      <c r="G481" s="53" t="s">
        <v>901</v>
      </c>
      <c r="H481" s="53" t="s">
        <v>902</v>
      </c>
      <c r="I481" s="53" t="s">
        <v>656</v>
      </c>
      <c r="J481" s="53" t="s">
        <v>1127</v>
      </c>
    </row>
    <row r="482" spans="1:10" ht="15" customHeight="1" x14ac:dyDescent="0.35">
      <c r="A482" s="53" t="s">
        <v>896</v>
      </c>
      <c r="B482" s="53" t="s">
        <v>1128</v>
      </c>
      <c r="C482" s="53" t="s">
        <v>1129</v>
      </c>
      <c r="D482" s="53">
        <v>1</v>
      </c>
      <c r="E482" s="53" t="s">
        <v>1130</v>
      </c>
      <c r="F482" s="53" t="s">
        <v>1026</v>
      </c>
      <c r="G482" s="53" t="s">
        <v>901</v>
      </c>
      <c r="H482" s="53" t="s">
        <v>902</v>
      </c>
      <c r="I482" s="53" t="s">
        <v>656</v>
      </c>
      <c r="J482" s="53" t="s">
        <v>1131</v>
      </c>
    </row>
    <row r="483" spans="1:10" ht="15" customHeight="1" x14ac:dyDescent="0.35">
      <c r="A483" s="53" t="s">
        <v>896</v>
      </c>
      <c r="B483" s="53" t="s">
        <v>1132</v>
      </c>
      <c r="C483" s="53" t="s">
        <v>1111</v>
      </c>
      <c r="D483" s="53">
        <v>1</v>
      </c>
      <c r="E483" s="53" t="s">
        <v>1133</v>
      </c>
      <c r="F483" s="53" t="s">
        <v>1026</v>
      </c>
      <c r="G483" s="53" t="s">
        <v>901</v>
      </c>
      <c r="H483" s="53" t="s">
        <v>902</v>
      </c>
      <c r="I483" s="53" t="s">
        <v>656</v>
      </c>
      <c r="J483" s="53" t="s">
        <v>1134</v>
      </c>
    </row>
    <row r="484" spans="1:10" ht="15" customHeight="1" x14ac:dyDescent="0.35">
      <c r="A484" s="53" t="s">
        <v>896</v>
      </c>
      <c r="B484" s="53" t="s">
        <v>1135</v>
      </c>
      <c r="C484" s="53" t="s">
        <v>1136</v>
      </c>
      <c r="D484" s="53">
        <v>1</v>
      </c>
      <c r="E484" s="53" t="s">
        <v>1137</v>
      </c>
      <c r="F484" s="53" t="s">
        <v>1026</v>
      </c>
      <c r="G484" s="53" t="s">
        <v>901</v>
      </c>
      <c r="H484" s="53" t="s">
        <v>902</v>
      </c>
      <c r="I484" s="53" t="s">
        <v>656</v>
      </c>
      <c r="J484" s="53" t="s">
        <v>1138</v>
      </c>
    </row>
    <row r="485" spans="1:10" ht="15" customHeight="1" x14ac:dyDescent="0.35">
      <c r="A485" s="53" t="s">
        <v>896</v>
      </c>
      <c r="B485" s="53" t="s">
        <v>1139</v>
      </c>
      <c r="C485" s="53" t="s">
        <v>905</v>
      </c>
      <c r="D485" s="53">
        <v>1</v>
      </c>
      <c r="E485" s="53" t="s">
        <v>1140</v>
      </c>
      <c r="F485" s="53" t="s">
        <v>1026</v>
      </c>
      <c r="G485" s="53" t="s">
        <v>901</v>
      </c>
      <c r="H485" s="53" t="s">
        <v>902</v>
      </c>
      <c r="I485" s="53" t="s">
        <v>656</v>
      </c>
      <c r="J485" s="53" t="s">
        <v>1141</v>
      </c>
    </row>
    <row r="486" spans="1:10" ht="15" customHeight="1" x14ac:dyDescent="0.35">
      <c r="A486" s="53" t="s">
        <v>896</v>
      </c>
      <c r="B486" s="53" t="s">
        <v>1142</v>
      </c>
      <c r="C486" s="53" t="s">
        <v>1143</v>
      </c>
      <c r="D486" s="53">
        <v>1</v>
      </c>
      <c r="E486" s="53" t="s">
        <v>1144</v>
      </c>
      <c r="F486" s="53" t="s">
        <v>1026</v>
      </c>
      <c r="G486" s="53" t="s">
        <v>901</v>
      </c>
      <c r="H486" s="53" t="s">
        <v>902</v>
      </c>
      <c r="I486" s="53" t="s">
        <v>656</v>
      </c>
      <c r="J486" s="53" t="s">
        <v>1145</v>
      </c>
    </row>
    <row r="487" spans="1:10" ht="15" customHeight="1" x14ac:dyDescent="0.35">
      <c r="A487" s="53" t="s">
        <v>896</v>
      </c>
      <c r="B487" s="53" t="s">
        <v>1146</v>
      </c>
      <c r="C487" s="53" t="s">
        <v>1009</v>
      </c>
      <c r="D487" s="53">
        <v>1</v>
      </c>
      <c r="E487" s="53" t="s">
        <v>1147</v>
      </c>
      <c r="F487" s="53" t="s">
        <v>1026</v>
      </c>
      <c r="G487" s="53" t="s">
        <v>901</v>
      </c>
      <c r="H487" s="53" t="s">
        <v>902</v>
      </c>
      <c r="I487" s="53" t="s">
        <v>656</v>
      </c>
      <c r="J487" s="53" t="s">
        <v>1148</v>
      </c>
    </row>
    <row r="488" spans="1:10" ht="15" customHeight="1" x14ac:dyDescent="0.35">
      <c r="A488" s="53" t="s">
        <v>896</v>
      </c>
      <c r="B488" s="53" t="s">
        <v>1149</v>
      </c>
      <c r="C488" s="53" t="s">
        <v>1150</v>
      </c>
      <c r="D488" s="53">
        <v>1</v>
      </c>
      <c r="E488" s="53" t="s">
        <v>1151</v>
      </c>
      <c r="F488" s="53" t="s">
        <v>1026</v>
      </c>
      <c r="G488" s="53" t="s">
        <v>901</v>
      </c>
      <c r="H488" s="53" t="s">
        <v>902</v>
      </c>
      <c r="I488" s="53" t="s">
        <v>656</v>
      </c>
      <c r="J488" s="53" t="s">
        <v>1152</v>
      </c>
    </row>
    <row r="489" spans="1:10" ht="15" customHeight="1" x14ac:dyDescent="0.35">
      <c r="A489" s="53" t="s">
        <v>896</v>
      </c>
      <c r="B489" s="53" t="s">
        <v>1153</v>
      </c>
      <c r="C489" s="53" t="s">
        <v>1084</v>
      </c>
      <c r="D489" s="53">
        <v>1</v>
      </c>
      <c r="E489" s="53" t="s">
        <v>1154</v>
      </c>
      <c r="F489" s="53" t="s">
        <v>1026</v>
      </c>
      <c r="G489" s="53" t="s">
        <v>901</v>
      </c>
      <c r="H489" s="53" t="s">
        <v>902</v>
      </c>
      <c r="I489" s="53" t="s">
        <v>656</v>
      </c>
      <c r="J489" s="53" t="s">
        <v>1155</v>
      </c>
    </row>
    <row r="490" spans="1:10" ht="15" customHeight="1" x14ac:dyDescent="0.35">
      <c r="A490" s="53" t="s">
        <v>896</v>
      </c>
      <c r="B490" s="53" t="s">
        <v>1156</v>
      </c>
      <c r="C490" s="53" t="s">
        <v>1157</v>
      </c>
      <c r="D490" s="53">
        <v>1</v>
      </c>
      <c r="E490" s="53" t="s">
        <v>1158</v>
      </c>
      <c r="F490" s="53" t="s">
        <v>1026</v>
      </c>
      <c r="G490" s="53" t="s">
        <v>901</v>
      </c>
      <c r="H490" s="53" t="s">
        <v>902</v>
      </c>
      <c r="I490" s="53" t="s">
        <v>656</v>
      </c>
      <c r="J490" s="53" t="s">
        <v>1159</v>
      </c>
    </row>
    <row r="491" spans="1:10" ht="15" customHeight="1" x14ac:dyDescent="0.35">
      <c r="A491" s="53" t="s">
        <v>896</v>
      </c>
      <c r="B491" s="53" t="s">
        <v>1160</v>
      </c>
      <c r="C491" s="53" t="s">
        <v>1009</v>
      </c>
      <c r="D491" s="53">
        <v>1</v>
      </c>
      <c r="E491" s="53" t="s">
        <v>1161</v>
      </c>
      <c r="F491" s="53" t="s">
        <v>1026</v>
      </c>
      <c r="G491" s="53" t="s">
        <v>901</v>
      </c>
      <c r="H491" s="53" t="s">
        <v>902</v>
      </c>
      <c r="I491" s="53" t="s">
        <v>656</v>
      </c>
      <c r="J491" s="53" t="s">
        <v>1162</v>
      </c>
    </row>
    <row r="492" spans="1:10" ht="15" customHeight="1" x14ac:dyDescent="0.35">
      <c r="A492" s="53" t="s">
        <v>896</v>
      </c>
      <c r="B492" s="53" t="s">
        <v>1163</v>
      </c>
      <c r="C492" s="53" t="s">
        <v>1101</v>
      </c>
      <c r="D492" s="53">
        <v>1</v>
      </c>
      <c r="E492" s="53" t="s">
        <v>1164</v>
      </c>
      <c r="F492" s="53" t="s">
        <v>1026</v>
      </c>
      <c r="G492" s="53" t="s">
        <v>901</v>
      </c>
      <c r="H492" s="53" t="s">
        <v>902</v>
      </c>
      <c r="I492" s="53" t="s">
        <v>656</v>
      </c>
      <c r="J492" s="53" t="s">
        <v>1165</v>
      </c>
    </row>
    <row r="493" spans="1:10" ht="15" customHeight="1" x14ac:dyDescent="0.35">
      <c r="A493" s="53" t="s">
        <v>896</v>
      </c>
      <c r="B493" s="53" t="s">
        <v>1166</v>
      </c>
      <c r="C493" s="53" t="s">
        <v>1077</v>
      </c>
      <c r="D493" s="53">
        <v>1</v>
      </c>
      <c r="E493" s="53" t="s">
        <v>1167</v>
      </c>
      <c r="F493" s="53" t="s">
        <v>1026</v>
      </c>
      <c r="G493" s="53" t="s">
        <v>901</v>
      </c>
      <c r="H493" s="53" t="s">
        <v>902</v>
      </c>
      <c r="I493" s="53" t="s">
        <v>656</v>
      </c>
      <c r="J493" s="53" t="s">
        <v>1168</v>
      </c>
    </row>
    <row r="494" spans="1:10" ht="15" customHeight="1" x14ac:dyDescent="0.35">
      <c r="A494" s="53" t="s">
        <v>896</v>
      </c>
      <c r="B494" s="53" t="s">
        <v>1169</v>
      </c>
      <c r="C494" s="53" t="s">
        <v>1122</v>
      </c>
      <c r="D494" s="53">
        <v>1</v>
      </c>
      <c r="E494" s="53" t="s">
        <v>1170</v>
      </c>
      <c r="F494" s="53" t="s">
        <v>1026</v>
      </c>
      <c r="G494" s="53" t="s">
        <v>901</v>
      </c>
      <c r="H494" s="53" t="s">
        <v>902</v>
      </c>
      <c r="I494" s="53" t="s">
        <v>656</v>
      </c>
      <c r="J494" s="53" t="s">
        <v>1171</v>
      </c>
    </row>
    <row r="495" spans="1:10" ht="15" customHeight="1" x14ac:dyDescent="0.35">
      <c r="A495" s="53" t="s">
        <v>896</v>
      </c>
      <c r="B495" s="53" t="s">
        <v>1172</v>
      </c>
      <c r="C495" s="53" t="s">
        <v>909</v>
      </c>
      <c r="D495" s="53">
        <v>1</v>
      </c>
      <c r="E495" s="53" t="s">
        <v>1173</v>
      </c>
      <c r="F495" s="53" t="s">
        <v>1026</v>
      </c>
      <c r="G495" s="53" t="s">
        <v>901</v>
      </c>
      <c r="H495" s="53" t="s">
        <v>902</v>
      </c>
      <c r="I495" s="53" t="s">
        <v>656</v>
      </c>
      <c r="J495" s="53" t="s">
        <v>1174</v>
      </c>
    </row>
    <row r="496" spans="1:10" ht="15" customHeight="1" x14ac:dyDescent="0.35">
      <c r="A496" s="53" t="s">
        <v>896</v>
      </c>
      <c r="B496" s="53" t="s">
        <v>1175</v>
      </c>
      <c r="C496" s="53" t="s">
        <v>973</v>
      </c>
      <c r="D496" s="53">
        <v>1</v>
      </c>
      <c r="E496" s="53" t="s">
        <v>1176</v>
      </c>
      <c r="F496" s="53" t="s">
        <v>1026</v>
      </c>
      <c r="G496" s="53" t="s">
        <v>901</v>
      </c>
      <c r="H496" s="53" t="s">
        <v>902</v>
      </c>
      <c r="I496" s="53" t="s">
        <v>656</v>
      </c>
      <c r="J496" s="53" t="s">
        <v>1177</v>
      </c>
    </row>
    <row r="497" spans="1:10" ht="15" customHeight="1" x14ac:dyDescent="0.35">
      <c r="A497" s="53" t="s">
        <v>896</v>
      </c>
      <c r="B497" s="53" t="s">
        <v>1178</v>
      </c>
      <c r="C497" s="53" t="s">
        <v>921</v>
      </c>
      <c r="D497" s="53">
        <v>1</v>
      </c>
      <c r="E497" s="53" t="s">
        <v>1179</v>
      </c>
      <c r="F497" s="53" t="s">
        <v>1026</v>
      </c>
      <c r="G497" s="53" t="s">
        <v>901</v>
      </c>
      <c r="H497" s="53" t="s">
        <v>902</v>
      </c>
      <c r="I497" s="53" t="s">
        <v>656</v>
      </c>
      <c r="J497" s="53" t="s">
        <v>1180</v>
      </c>
    </row>
    <row r="498" spans="1:10" ht="15" customHeight="1" x14ac:dyDescent="0.35">
      <c r="A498" s="53" t="s">
        <v>896</v>
      </c>
      <c r="B498" s="53" t="s">
        <v>1181</v>
      </c>
      <c r="C498" s="53" t="s">
        <v>1101</v>
      </c>
      <c r="D498" s="53">
        <v>1</v>
      </c>
      <c r="E498" s="53" t="s">
        <v>1182</v>
      </c>
      <c r="F498" s="53" t="s">
        <v>1026</v>
      </c>
      <c r="G498" s="53" t="s">
        <v>901</v>
      </c>
      <c r="H498" s="53" t="s">
        <v>902</v>
      </c>
      <c r="I498" s="53" t="s">
        <v>656</v>
      </c>
      <c r="J498" s="53" t="s">
        <v>1183</v>
      </c>
    </row>
    <row r="499" spans="1:10" ht="15" customHeight="1" x14ac:dyDescent="0.35">
      <c r="A499" s="53" t="s">
        <v>896</v>
      </c>
      <c r="B499" s="53" t="s">
        <v>1184</v>
      </c>
      <c r="C499" s="53" t="s">
        <v>942</v>
      </c>
      <c r="D499" s="53">
        <v>1</v>
      </c>
      <c r="E499" s="53" t="s">
        <v>1185</v>
      </c>
      <c r="F499" s="53" t="s">
        <v>1026</v>
      </c>
      <c r="G499" s="53" t="s">
        <v>901</v>
      </c>
      <c r="H499" s="53" t="s">
        <v>902</v>
      </c>
      <c r="I499" s="53" t="s">
        <v>656</v>
      </c>
      <c r="J499" s="53" t="s">
        <v>1186</v>
      </c>
    </row>
    <row r="500" spans="1:10" ht="15" customHeight="1" x14ac:dyDescent="0.35">
      <c r="A500" s="53" t="s">
        <v>896</v>
      </c>
      <c r="B500" s="53" t="s">
        <v>1187</v>
      </c>
      <c r="C500" s="53" t="s">
        <v>921</v>
      </c>
      <c r="D500" s="53">
        <v>1</v>
      </c>
      <c r="E500" s="53" t="s">
        <v>1188</v>
      </c>
      <c r="F500" s="53" t="s">
        <v>1026</v>
      </c>
      <c r="G500" s="53" t="s">
        <v>901</v>
      </c>
      <c r="H500" s="53" t="s">
        <v>902</v>
      </c>
      <c r="I500" s="53" t="s">
        <v>656</v>
      </c>
      <c r="J500" s="53" t="s">
        <v>1189</v>
      </c>
    </row>
    <row r="501" spans="1:10" ht="15" customHeight="1" x14ac:dyDescent="0.35">
      <c r="A501" s="53" t="s">
        <v>896</v>
      </c>
      <c r="B501" s="53" t="s">
        <v>1190</v>
      </c>
      <c r="C501" s="53" t="s">
        <v>942</v>
      </c>
      <c r="D501" s="53">
        <v>1</v>
      </c>
      <c r="E501" s="53" t="s">
        <v>1191</v>
      </c>
      <c r="F501" s="53" t="s">
        <v>1026</v>
      </c>
      <c r="G501" s="53" t="s">
        <v>901</v>
      </c>
      <c r="H501" s="53" t="s">
        <v>902</v>
      </c>
      <c r="I501" s="53" t="s">
        <v>656</v>
      </c>
      <c r="J501" s="53" t="s">
        <v>1192</v>
      </c>
    </row>
    <row r="502" spans="1:10" ht="15" customHeight="1" x14ac:dyDescent="0.35">
      <c r="A502" s="53" t="s">
        <v>896</v>
      </c>
      <c r="B502" s="53" t="s">
        <v>1193</v>
      </c>
      <c r="C502" s="53" t="s">
        <v>1009</v>
      </c>
      <c r="D502" s="53">
        <v>1</v>
      </c>
      <c r="E502" s="53" t="s">
        <v>1194</v>
      </c>
      <c r="F502" s="53" t="s">
        <v>1026</v>
      </c>
      <c r="G502" s="53" t="s">
        <v>901</v>
      </c>
      <c r="H502" s="53" t="s">
        <v>902</v>
      </c>
      <c r="I502" s="53" t="s">
        <v>656</v>
      </c>
      <c r="J502" s="53" t="s">
        <v>1195</v>
      </c>
    </row>
    <row r="503" spans="1:10" ht="15" customHeight="1" x14ac:dyDescent="0.35">
      <c r="A503" s="53" t="s">
        <v>896</v>
      </c>
      <c r="B503" s="53" t="s">
        <v>1196</v>
      </c>
      <c r="C503" s="53" t="s">
        <v>921</v>
      </c>
      <c r="D503" s="53">
        <v>1</v>
      </c>
      <c r="E503" s="53" t="s">
        <v>1197</v>
      </c>
      <c r="F503" s="53" t="s">
        <v>1026</v>
      </c>
      <c r="G503" s="53" t="s">
        <v>901</v>
      </c>
      <c r="H503" s="53" t="s">
        <v>902</v>
      </c>
      <c r="I503" s="53" t="s">
        <v>656</v>
      </c>
      <c r="J503" s="53" t="s">
        <v>1198</v>
      </c>
    </row>
    <row r="504" spans="1:10" ht="15" customHeight="1" x14ac:dyDescent="0.35">
      <c r="A504" s="53" t="s">
        <v>896</v>
      </c>
      <c r="B504" s="53" t="s">
        <v>1199</v>
      </c>
      <c r="C504" s="53" t="s">
        <v>1009</v>
      </c>
      <c r="D504" s="53">
        <v>1</v>
      </c>
      <c r="E504" s="53" t="s">
        <v>1200</v>
      </c>
      <c r="F504" s="53" t="s">
        <v>1026</v>
      </c>
      <c r="G504" s="53" t="s">
        <v>901</v>
      </c>
      <c r="H504" s="53" t="s">
        <v>902</v>
      </c>
      <c r="I504" s="53" t="s">
        <v>656</v>
      </c>
      <c r="J504" s="53" t="s">
        <v>1201</v>
      </c>
    </row>
    <row r="505" spans="1:10" ht="15" customHeight="1" x14ac:dyDescent="0.35">
      <c r="A505" s="53" t="s">
        <v>896</v>
      </c>
      <c r="B505" s="53" t="s">
        <v>1202</v>
      </c>
      <c r="C505" s="53" t="s">
        <v>989</v>
      </c>
      <c r="D505" s="53">
        <v>1</v>
      </c>
      <c r="E505" s="53" t="s">
        <v>1203</v>
      </c>
      <c r="F505" s="53" t="s">
        <v>1026</v>
      </c>
      <c r="G505" s="53" t="s">
        <v>901</v>
      </c>
      <c r="H505" s="53" t="s">
        <v>902</v>
      </c>
      <c r="I505" s="53" t="s">
        <v>656</v>
      </c>
      <c r="J505" s="53" t="s">
        <v>1204</v>
      </c>
    </row>
    <row r="506" spans="1:10" ht="15" customHeight="1" x14ac:dyDescent="0.35">
      <c r="A506" s="53" t="s">
        <v>896</v>
      </c>
      <c r="B506" s="53" t="s">
        <v>1205</v>
      </c>
      <c r="C506" s="53" t="s">
        <v>996</v>
      </c>
      <c r="D506" s="53">
        <v>1</v>
      </c>
      <c r="E506" s="53" t="s">
        <v>1206</v>
      </c>
      <c r="F506" s="53" t="s">
        <v>1026</v>
      </c>
      <c r="G506" s="53" t="s">
        <v>901</v>
      </c>
      <c r="H506" s="53" t="s">
        <v>902</v>
      </c>
      <c r="I506" s="53" t="s">
        <v>656</v>
      </c>
      <c r="J506" s="53" t="s">
        <v>1207</v>
      </c>
    </row>
    <row r="507" spans="1:10" ht="15" customHeight="1" x14ac:dyDescent="0.35">
      <c r="A507" s="53" t="s">
        <v>896</v>
      </c>
      <c r="B507" s="53" t="s">
        <v>1208</v>
      </c>
      <c r="C507" s="53" t="s">
        <v>1077</v>
      </c>
      <c r="D507" s="53">
        <v>1</v>
      </c>
      <c r="E507" s="53" t="s">
        <v>1209</v>
      </c>
      <c r="F507" s="53" t="s">
        <v>1026</v>
      </c>
      <c r="G507" s="53" t="s">
        <v>901</v>
      </c>
      <c r="H507" s="53" t="s">
        <v>902</v>
      </c>
      <c r="I507" s="53" t="s">
        <v>656</v>
      </c>
      <c r="J507" s="53" t="s">
        <v>1210</v>
      </c>
    </row>
    <row r="508" spans="1:10" ht="15" customHeight="1" x14ac:dyDescent="0.35">
      <c r="A508" s="53" t="s">
        <v>896</v>
      </c>
      <c r="B508" s="53" t="s">
        <v>1211</v>
      </c>
      <c r="C508" s="53" t="s">
        <v>1212</v>
      </c>
      <c r="D508" s="53">
        <v>1</v>
      </c>
      <c r="E508" s="53" t="s">
        <v>1213</v>
      </c>
      <c r="F508" s="53" t="s">
        <v>1026</v>
      </c>
      <c r="G508" s="53" t="s">
        <v>901</v>
      </c>
      <c r="H508" s="53" t="s">
        <v>902</v>
      </c>
      <c r="I508" s="53" t="s">
        <v>656</v>
      </c>
      <c r="J508" s="53" t="s">
        <v>1214</v>
      </c>
    </row>
    <row r="509" spans="1:10" ht="15" customHeight="1" x14ac:dyDescent="0.35">
      <c r="A509" s="53" t="s">
        <v>896</v>
      </c>
      <c r="B509" s="53" t="s">
        <v>1215</v>
      </c>
      <c r="C509" s="53" t="s">
        <v>913</v>
      </c>
      <c r="D509" s="53">
        <v>1</v>
      </c>
      <c r="E509" s="53" t="s">
        <v>1216</v>
      </c>
      <c r="F509" s="53" t="s">
        <v>1026</v>
      </c>
      <c r="G509" s="53" t="s">
        <v>901</v>
      </c>
      <c r="H509" s="53" t="s">
        <v>902</v>
      </c>
      <c r="I509" s="53" t="s">
        <v>656</v>
      </c>
      <c r="J509" s="53" t="s">
        <v>1217</v>
      </c>
    </row>
    <row r="510" spans="1:10" ht="15" customHeight="1" x14ac:dyDescent="0.35">
      <c r="A510" s="53" t="s">
        <v>896</v>
      </c>
      <c r="B510" s="53" t="s">
        <v>1218</v>
      </c>
      <c r="C510" s="53" t="s">
        <v>973</v>
      </c>
      <c r="D510" s="53">
        <v>1</v>
      </c>
      <c r="E510" s="53" t="s">
        <v>1219</v>
      </c>
      <c r="F510" s="53" t="s">
        <v>1026</v>
      </c>
      <c r="G510" s="53" t="s">
        <v>901</v>
      </c>
      <c r="H510" s="53" t="s">
        <v>902</v>
      </c>
      <c r="I510" s="53" t="s">
        <v>656</v>
      </c>
      <c r="J510" s="53" t="s">
        <v>1220</v>
      </c>
    </row>
    <row r="511" spans="1:10" ht="15" customHeight="1" x14ac:dyDescent="0.35">
      <c r="A511" s="53" t="s">
        <v>896</v>
      </c>
      <c r="B511" s="53" t="s">
        <v>1221</v>
      </c>
      <c r="C511" s="53" t="s">
        <v>921</v>
      </c>
      <c r="D511" s="53">
        <v>1</v>
      </c>
      <c r="E511" s="53" t="s">
        <v>1222</v>
      </c>
      <c r="F511" s="53" t="s">
        <v>1026</v>
      </c>
      <c r="G511" s="53" t="s">
        <v>901</v>
      </c>
      <c r="H511" s="53" t="s">
        <v>902</v>
      </c>
      <c r="I511" s="53" t="s">
        <v>656</v>
      </c>
      <c r="J511" s="53" t="s">
        <v>1223</v>
      </c>
    </row>
    <row r="512" spans="1:10" ht="15" customHeight="1" x14ac:dyDescent="0.35">
      <c r="A512" s="53" t="s">
        <v>896</v>
      </c>
      <c r="B512" s="53" t="s">
        <v>1224</v>
      </c>
      <c r="C512" s="53" t="s">
        <v>996</v>
      </c>
      <c r="D512" s="53">
        <v>1</v>
      </c>
      <c r="E512" s="53" t="s">
        <v>1225</v>
      </c>
      <c r="F512" s="53" t="s">
        <v>1026</v>
      </c>
      <c r="G512" s="53" t="s">
        <v>901</v>
      </c>
      <c r="H512" s="53" t="s">
        <v>902</v>
      </c>
      <c r="I512" s="53" t="s">
        <v>656</v>
      </c>
      <c r="J512" s="53" t="s">
        <v>1226</v>
      </c>
    </row>
    <row r="513" spans="1:10" ht="15" customHeight="1" x14ac:dyDescent="0.35">
      <c r="A513" s="53" t="s">
        <v>896</v>
      </c>
      <c r="B513" s="53" t="s">
        <v>1227</v>
      </c>
      <c r="C513" s="53" t="s">
        <v>1077</v>
      </c>
      <c r="D513" s="53">
        <v>1</v>
      </c>
      <c r="E513" s="53" t="s">
        <v>1228</v>
      </c>
      <c r="F513" s="53" t="s">
        <v>1026</v>
      </c>
      <c r="G513" s="53" t="s">
        <v>901</v>
      </c>
      <c r="H513" s="53" t="s">
        <v>902</v>
      </c>
      <c r="I513" s="53" t="s">
        <v>656</v>
      </c>
      <c r="J513" s="53" t="s">
        <v>1229</v>
      </c>
    </row>
    <row r="514" spans="1:10" ht="15" customHeight="1" x14ac:dyDescent="0.35">
      <c r="A514" s="53" t="s">
        <v>896</v>
      </c>
      <c r="B514" s="53" t="s">
        <v>1230</v>
      </c>
      <c r="C514" s="53" t="s">
        <v>1009</v>
      </c>
      <c r="D514" s="53">
        <v>1</v>
      </c>
      <c r="E514" s="53" t="s">
        <v>1231</v>
      </c>
      <c r="F514" s="53" t="s">
        <v>1026</v>
      </c>
      <c r="G514" s="53" t="s">
        <v>901</v>
      </c>
      <c r="H514" s="53" t="s">
        <v>902</v>
      </c>
      <c r="I514" s="53" t="s">
        <v>656</v>
      </c>
      <c r="J514" s="53" t="s">
        <v>1232</v>
      </c>
    </row>
    <row r="515" spans="1:10" ht="15" customHeight="1" x14ac:dyDescent="0.35">
      <c r="A515" s="53" t="s">
        <v>896</v>
      </c>
      <c r="B515" s="53" t="s">
        <v>1233</v>
      </c>
      <c r="C515" s="53" t="s">
        <v>989</v>
      </c>
      <c r="D515" s="53">
        <v>1</v>
      </c>
      <c r="E515" s="53" t="s">
        <v>1234</v>
      </c>
      <c r="F515" s="53" t="s">
        <v>1026</v>
      </c>
      <c r="G515" s="53" t="s">
        <v>901</v>
      </c>
      <c r="H515" s="53" t="s">
        <v>902</v>
      </c>
      <c r="I515" s="53" t="s">
        <v>656</v>
      </c>
      <c r="J515" s="53" t="s">
        <v>1235</v>
      </c>
    </row>
    <row r="516" spans="1:10" ht="15" customHeight="1" x14ac:dyDescent="0.35">
      <c r="A516" s="53" t="s">
        <v>896</v>
      </c>
      <c r="B516" s="53" t="s">
        <v>1236</v>
      </c>
      <c r="C516" s="53" t="s">
        <v>1101</v>
      </c>
      <c r="D516" s="53">
        <v>1</v>
      </c>
      <c r="E516" s="53" t="s">
        <v>1237</v>
      </c>
      <c r="F516" s="53" t="s">
        <v>1026</v>
      </c>
      <c r="G516" s="53" t="s">
        <v>901</v>
      </c>
      <c r="H516" s="53" t="s">
        <v>902</v>
      </c>
      <c r="I516" s="53" t="s">
        <v>656</v>
      </c>
      <c r="J516" s="53" t="s">
        <v>1238</v>
      </c>
    </row>
    <row r="517" spans="1:10" ht="15" customHeight="1" x14ac:dyDescent="0.35">
      <c r="A517" s="53" t="s">
        <v>896</v>
      </c>
      <c r="B517" s="53" t="s">
        <v>1239</v>
      </c>
      <c r="C517" s="53" t="s">
        <v>1240</v>
      </c>
      <c r="D517" s="53">
        <v>1</v>
      </c>
      <c r="E517" s="53" t="s">
        <v>1241</v>
      </c>
      <c r="F517" s="53" t="s">
        <v>1026</v>
      </c>
      <c r="G517" s="53" t="s">
        <v>901</v>
      </c>
      <c r="H517" s="53" t="s">
        <v>902</v>
      </c>
      <c r="I517" s="53" t="s">
        <v>656</v>
      </c>
      <c r="J517" s="53" t="s">
        <v>1242</v>
      </c>
    </row>
    <row r="518" spans="1:10" ht="15" customHeight="1" x14ac:dyDescent="0.35">
      <c r="A518" s="53" t="s">
        <v>896</v>
      </c>
      <c r="B518" s="53" t="s">
        <v>1243</v>
      </c>
      <c r="C518" s="53" t="s">
        <v>1009</v>
      </c>
      <c r="D518" s="53">
        <v>1</v>
      </c>
      <c r="E518" s="53" t="s">
        <v>1244</v>
      </c>
      <c r="F518" s="53" t="s">
        <v>1026</v>
      </c>
      <c r="G518" s="53" t="s">
        <v>901</v>
      </c>
      <c r="H518" s="53" t="s">
        <v>902</v>
      </c>
      <c r="I518" s="53" t="s">
        <v>656</v>
      </c>
      <c r="J518" s="53" t="s">
        <v>1245</v>
      </c>
    </row>
    <row r="519" spans="1:10" ht="15" customHeight="1" x14ac:dyDescent="0.35">
      <c r="A519" s="53" t="s">
        <v>896</v>
      </c>
      <c r="B519" s="53" t="s">
        <v>1246</v>
      </c>
      <c r="C519" s="53" t="s">
        <v>959</v>
      </c>
      <c r="D519" s="53">
        <v>1</v>
      </c>
      <c r="E519" s="53" t="s">
        <v>1247</v>
      </c>
      <c r="F519" s="53" t="s">
        <v>1026</v>
      </c>
      <c r="G519" s="53" t="s">
        <v>901</v>
      </c>
      <c r="H519" s="53" t="s">
        <v>902</v>
      </c>
      <c r="I519" s="53" t="s">
        <v>656</v>
      </c>
      <c r="J519" s="53" t="s">
        <v>1248</v>
      </c>
    </row>
    <row r="520" spans="1:10" ht="15" customHeight="1" x14ac:dyDescent="0.35">
      <c r="A520" s="53" t="s">
        <v>896</v>
      </c>
      <c r="B520" s="53" t="s">
        <v>1249</v>
      </c>
      <c r="C520" s="53" t="s">
        <v>1091</v>
      </c>
      <c r="D520" s="53">
        <v>1</v>
      </c>
      <c r="E520" s="53" t="s">
        <v>1250</v>
      </c>
      <c r="F520" s="53" t="s">
        <v>1026</v>
      </c>
      <c r="G520" s="53" t="s">
        <v>901</v>
      </c>
      <c r="H520" s="53" t="s">
        <v>902</v>
      </c>
      <c r="I520" s="53" t="s">
        <v>656</v>
      </c>
      <c r="J520" s="53" t="s">
        <v>1251</v>
      </c>
    </row>
    <row r="521" spans="1:10" ht="15" customHeight="1" x14ac:dyDescent="0.35">
      <c r="A521" s="53" t="s">
        <v>896</v>
      </c>
      <c r="B521" s="53" t="s">
        <v>1252</v>
      </c>
      <c r="C521" s="53" t="s">
        <v>996</v>
      </c>
      <c r="D521" s="53">
        <v>1</v>
      </c>
      <c r="E521" s="53" t="s">
        <v>1253</v>
      </c>
      <c r="F521" s="53" t="s">
        <v>1026</v>
      </c>
      <c r="G521" s="53" t="s">
        <v>901</v>
      </c>
      <c r="H521" s="53" t="s">
        <v>902</v>
      </c>
      <c r="I521" s="53" t="s">
        <v>656</v>
      </c>
      <c r="J521" s="53" t="s">
        <v>1254</v>
      </c>
    </row>
    <row r="522" spans="1:10" ht="15" customHeight="1" x14ac:dyDescent="0.35">
      <c r="A522" s="53" t="s">
        <v>896</v>
      </c>
      <c r="B522" s="53" t="s">
        <v>1255</v>
      </c>
      <c r="C522" s="53" t="s">
        <v>925</v>
      </c>
      <c r="D522" s="53">
        <v>1</v>
      </c>
      <c r="E522" s="53" t="s">
        <v>1256</v>
      </c>
      <c r="F522" s="53" t="s">
        <v>1026</v>
      </c>
      <c r="G522" s="53" t="s">
        <v>901</v>
      </c>
      <c r="H522" s="53" t="s">
        <v>902</v>
      </c>
      <c r="I522" s="53" t="s">
        <v>656</v>
      </c>
      <c r="J522" s="53" t="s">
        <v>1257</v>
      </c>
    </row>
    <row r="523" spans="1:10" ht="15" customHeight="1" x14ac:dyDescent="0.35">
      <c r="A523" s="53" t="s">
        <v>896</v>
      </c>
      <c r="B523" s="53" t="s">
        <v>1258</v>
      </c>
      <c r="C523" s="53" t="s">
        <v>946</v>
      </c>
      <c r="D523" s="53">
        <v>1</v>
      </c>
      <c r="E523" s="53" t="s">
        <v>1259</v>
      </c>
      <c r="F523" s="53" t="s">
        <v>1026</v>
      </c>
      <c r="G523" s="53" t="s">
        <v>901</v>
      </c>
      <c r="H523" s="53" t="s">
        <v>902</v>
      </c>
      <c r="I523" s="53" t="s">
        <v>656</v>
      </c>
      <c r="J523" s="53" t="s">
        <v>1260</v>
      </c>
    </row>
    <row r="524" spans="1:10" ht="15" customHeight="1" x14ac:dyDescent="0.35">
      <c r="A524" s="53" t="s">
        <v>896</v>
      </c>
      <c r="B524" s="53" t="s">
        <v>1261</v>
      </c>
      <c r="C524" s="53" t="s">
        <v>1136</v>
      </c>
      <c r="D524" s="53">
        <v>1</v>
      </c>
      <c r="E524" s="53" t="s">
        <v>1262</v>
      </c>
      <c r="F524" s="53" t="s">
        <v>1026</v>
      </c>
      <c r="G524" s="53" t="s">
        <v>901</v>
      </c>
      <c r="H524" s="53" t="s">
        <v>902</v>
      </c>
      <c r="I524" s="53" t="s">
        <v>656</v>
      </c>
      <c r="J524" s="53" t="s">
        <v>1263</v>
      </c>
    </row>
    <row r="525" spans="1:10" ht="15" customHeight="1" x14ac:dyDescent="0.35">
      <c r="A525" s="53" t="s">
        <v>896</v>
      </c>
      <c r="B525" s="53" t="s">
        <v>1264</v>
      </c>
      <c r="C525" s="53" t="s">
        <v>929</v>
      </c>
      <c r="D525" s="53">
        <v>1</v>
      </c>
      <c r="E525" s="53" t="s">
        <v>1265</v>
      </c>
      <c r="F525" s="53" t="s">
        <v>1026</v>
      </c>
      <c r="G525" s="53" t="s">
        <v>901</v>
      </c>
      <c r="H525" s="53" t="s">
        <v>902</v>
      </c>
      <c r="I525" s="53" t="s">
        <v>656</v>
      </c>
      <c r="J525" s="53" t="s">
        <v>1266</v>
      </c>
    </row>
    <row r="526" spans="1:10" ht="15" customHeight="1" x14ac:dyDescent="0.35">
      <c r="A526" s="53" t="s">
        <v>896</v>
      </c>
      <c r="B526" s="53" t="s">
        <v>1267</v>
      </c>
      <c r="C526" s="53" t="s">
        <v>989</v>
      </c>
      <c r="D526" s="53">
        <v>1</v>
      </c>
      <c r="E526" s="53" t="s">
        <v>1268</v>
      </c>
      <c r="F526" s="53" t="s">
        <v>1026</v>
      </c>
      <c r="G526" s="53" t="s">
        <v>901</v>
      </c>
      <c r="H526" s="53" t="s">
        <v>902</v>
      </c>
      <c r="I526" s="53" t="s">
        <v>656</v>
      </c>
      <c r="J526" s="53" t="s">
        <v>1269</v>
      </c>
    </row>
    <row r="527" spans="1:10" ht="15" customHeight="1" x14ac:dyDescent="0.35">
      <c r="A527" s="53" t="s">
        <v>896</v>
      </c>
      <c r="B527" s="53" t="s">
        <v>1270</v>
      </c>
      <c r="C527" s="53" t="s">
        <v>1009</v>
      </c>
      <c r="D527" s="53">
        <v>1</v>
      </c>
      <c r="E527" s="53" t="s">
        <v>1271</v>
      </c>
      <c r="F527" s="53" t="s">
        <v>1026</v>
      </c>
      <c r="G527" s="53" t="s">
        <v>901</v>
      </c>
      <c r="H527" s="53" t="s">
        <v>902</v>
      </c>
      <c r="I527" s="53" t="s">
        <v>656</v>
      </c>
      <c r="J527" s="53" t="s">
        <v>1272</v>
      </c>
    </row>
    <row r="528" spans="1:10" ht="15" customHeight="1" x14ac:dyDescent="0.35">
      <c r="A528" s="53" t="s">
        <v>896</v>
      </c>
      <c r="B528" s="53" t="s">
        <v>1273</v>
      </c>
      <c r="C528" s="53" t="s">
        <v>905</v>
      </c>
      <c r="D528" s="53">
        <v>1</v>
      </c>
      <c r="E528" s="53" t="s">
        <v>1274</v>
      </c>
      <c r="F528" s="53" t="s">
        <v>1026</v>
      </c>
      <c r="G528" s="53" t="s">
        <v>901</v>
      </c>
      <c r="H528" s="53" t="s">
        <v>902</v>
      </c>
      <c r="I528" s="53" t="s">
        <v>656</v>
      </c>
      <c r="J528" s="53" t="s">
        <v>1275</v>
      </c>
    </row>
    <row r="529" spans="1:10" ht="15" customHeight="1" x14ac:dyDescent="0.35">
      <c r="A529" s="53" t="s">
        <v>896</v>
      </c>
      <c r="B529" s="53" t="s">
        <v>1276</v>
      </c>
      <c r="C529" s="53" t="s">
        <v>921</v>
      </c>
      <c r="D529" s="53">
        <v>1</v>
      </c>
      <c r="E529" s="53" t="s">
        <v>1277</v>
      </c>
      <c r="F529" s="53" t="s">
        <v>1026</v>
      </c>
      <c r="G529" s="53" t="s">
        <v>901</v>
      </c>
      <c r="H529" s="53" t="s">
        <v>902</v>
      </c>
      <c r="I529" s="53" t="s">
        <v>656</v>
      </c>
      <c r="J529" s="53" t="s">
        <v>1278</v>
      </c>
    </row>
    <row r="530" spans="1:10" ht="15" customHeight="1" x14ac:dyDescent="0.35">
      <c r="A530" s="53" t="s">
        <v>896</v>
      </c>
      <c r="B530" s="53" t="s">
        <v>1279</v>
      </c>
      <c r="C530" s="53" t="s">
        <v>1009</v>
      </c>
      <c r="D530" s="53">
        <v>1</v>
      </c>
      <c r="E530" s="53" t="s">
        <v>1280</v>
      </c>
      <c r="F530" s="53" t="s">
        <v>1026</v>
      </c>
      <c r="G530" s="53" t="s">
        <v>901</v>
      </c>
      <c r="H530" s="53" t="s">
        <v>902</v>
      </c>
      <c r="I530" s="53" t="s">
        <v>656</v>
      </c>
      <c r="J530" s="53" t="s">
        <v>1281</v>
      </c>
    </row>
    <row r="531" spans="1:10" ht="15" customHeight="1" x14ac:dyDescent="0.35">
      <c r="A531" s="53" t="s">
        <v>896</v>
      </c>
      <c r="B531" s="53" t="s">
        <v>1282</v>
      </c>
      <c r="C531" s="53" t="s">
        <v>1136</v>
      </c>
      <c r="D531" s="53">
        <v>1</v>
      </c>
      <c r="E531" s="53" t="s">
        <v>1283</v>
      </c>
      <c r="F531" s="53" t="s">
        <v>1026</v>
      </c>
      <c r="G531" s="53" t="s">
        <v>901</v>
      </c>
      <c r="H531" s="53" t="s">
        <v>902</v>
      </c>
      <c r="I531" s="53" t="s">
        <v>656</v>
      </c>
      <c r="J531" s="53" t="s">
        <v>1284</v>
      </c>
    </row>
    <row r="532" spans="1:10" ht="15" customHeight="1" x14ac:dyDescent="0.35">
      <c r="A532" s="53" t="s">
        <v>896</v>
      </c>
      <c r="B532" s="53" t="s">
        <v>1285</v>
      </c>
      <c r="C532" s="53" t="s">
        <v>989</v>
      </c>
      <c r="D532" s="53">
        <v>1</v>
      </c>
      <c r="E532" s="53" t="s">
        <v>1286</v>
      </c>
      <c r="F532" s="53" t="s">
        <v>1026</v>
      </c>
      <c r="G532" s="53" t="s">
        <v>901</v>
      </c>
      <c r="H532" s="53" t="s">
        <v>902</v>
      </c>
      <c r="I532" s="53" t="s">
        <v>656</v>
      </c>
      <c r="J532" s="53" t="s">
        <v>1287</v>
      </c>
    </row>
    <row r="533" spans="1:10" ht="15" customHeight="1" x14ac:dyDescent="0.35">
      <c r="A533" s="53" t="s">
        <v>896</v>
      </c>
      <c r="B533" s="53" t="s">
        <v>1288</v>
      </c>
      <c r="C533" s="53" t="s">
        <v>1136</v>
      </c>
      <c r="D533" s="53">
        <v>1</v>
      </c>
      <c r="E533" s="53" t="s">
        <v>1289</v>
      </c>
      <c r="F533" s="53" t="s">
        <v>1026</v>
      </c>
      <c r="G533" s="53" t="s">
        <v>901</v>
      </c>
      <c r="H533" s="53" t="s">
        <v>902</v>
      </c>
      <c r="I533" s="53" t="s">
        <v>656</v>
      </c>
      <c r="J533" s="53" t="s">
        <v>1290</v>
      </c>
    </row>
    <row r="534" spans="1:10" ht="15" customHeight="1" x14ac:dyDescent="0.35">
      <c r="A534" s="53" t="s">
        <v>896</v>
      </c>
      <c r="B534" s="53" t="s">
        <v>1291</v>
      </c>
      <c r="C534" s="53" t="s">
        <v>921</v>
      </c>
      <c r="D534" s="53">
        <v>1</v>
      </c>
      <c r="E534" s="53" t="s">
        <v>1292</v>
      </c>
      <c r="F534" s="53" t="s">
        <v>1026</v>
      </c>
      <c r="G534" s="53" t="s">
        <v>901</v>
      </c>
      <c r="H534" s="53" t="s">
        <v>902</v>
      </c>
      <c r="I534" s="53" t="s">
        <v>656</v>
      </c>
      <c r="J534" s="53" t="s">
        <v>1293</v>
      </c>
    </row>
    <row r="535" spans="1:10" ht="15" customHeight="1" x14ac:dyDescent="0.35">
      <c r="A535" s="53" t="s">
        <v>896</v>
      </c>
      <c r="B535" s="53" t="s">
        <v>1294</v>
      </c>
      <c r="C535" s="53" t="s">
        <v>1295</v>
      </c>
      <c r="D535" s="53">
        <v>1</v>
      </c>
      <c r="E535" s="53" t="s">
        <v>1296</v>
      </c>
      <c r="F535" s="53" t="s">
        <v>1026</v>
      </c>
      <c r="G535" s="53" t="s">
        <v>901</v>
      </c>
      <c r="H535" s="53" t="s">
        <v>902</v>
      </c>
      <c r="I535" s="53" t="s">
        <v>656</v>
      </c>
      <c r="J535" s="53" t="s">
        <v>1297</v>
      </c>
    </row>
    <row r="536" spans="1:10" ht="15" customHeight="1" x14ac:dyDescent="0.35">
      <c r="A536" s="53" t="s">
        <v>896</v>
      </c>
      <c r="B536" s="53" t="s">
        <v>1298</v>
      </c>
      <c r="C536" s="53" t="s">
        <v>1299</v>
      </c>
      <c r="D536" s="53">
        <v>1</v>
      </c>
      <c r="E536" s="53" t="s">
        <v>1300</v>
      </c>
      <c r="F536" s="53" t="s">
        <v>1026</v>
      </c>
      <c r="G536" s="53" t="s">
        <v>901</v>
      </c>
      <c r="H536" s="53" t="s">
        <v>902</v>
      </c>
      <c r="I536" s="53" t="s">
        <v>656</v>
      </c>
      <c r="J536" s="53" t="s">
        <v>1301</v>
      </c>
    </row>
    <row r="537" spans="1:10" ht="15" customHeight="1" x14ac:dyDescent="0.35">
      <c r="A537" s="53" t="s">
        <v>896</v>
      </c>
      <c r="B537" s="53" t="s">
        <v>1302</v>
      </c>
      <c r="C537" s="53" t="s">
        <v>925</v>
      </c>
      <c r="D537" s="53">
        <v>1</v>
      </c>
      <c r="E537" s="53" t="s">
        <v>1303</v>
      </c>
      <c r="F537" s="53" t="s">
        <v>1026</v>
      </c>
      <c r="G537" s="53" t="s">
        <v>901</v>
      </c>
      <c r="H537" s="53" t="s">
        <v>902</v>
      </c>
      <c r="I537" s="53" t="s">
        <v>656</v>
      </c>
      <c r="J537" s="53" t="s">
        <v>1304</v>
      </c>
    </row>
    <row r="538" spans="1:10" ht="15" customHeight="1" x14ac:dyDescent="0.35">
      <c r="A538" s="53" t="s">
        <v>896</v>
      </c>
      <c r="B538" s="53" t="s">
        <v>1305</v>
      </c>
      <c r="C538" s="53" t="s">
        <v>1101</v>
      </c>
      <c r="D538" s="53">
        <v>1</v>
      </c>
      <c r="E538" s="53" t="s">
        <v>1306</v>
      </c>
      <c r="F538" s="53" t="s">
        <v>1026</v>
      </c>
      <c r="G538" s="53" t="s">
        <v>901</v>
      </c>
      <c r="H538" s="53" t="s">
        <v>902</v>
      </c>
      <c r="I538" s="53" t="s">
        <v>656</v>
      </c>
      <c r="J538" s="53" t="s">
        <v>1307</v>
      </c>
    </row>
    <row r="539" spans="1:10" ht="15" customHeight="1" x14ac:dyDescent="0.35">
      <c r="A539" s="53" t="s">
        <v>896</v>
      </c>
      <c r="B539" s="53" t="s">
        <v>1308</v>
      </c>
      <c r="C539" s="53" t="s">
        <v>1118</v>
      </c>
      <c r="D539" s="53">
        <v>1</v>
      </c>
      <c r="E539" s="53" t="s">
        <v>1309</v>
      </c>
      <c r="F539" s="53" t="s">
        <v>1026</v>
      </c>
      <c r="G539" s="53" t="s">
        <v>901</v>
      </c>
      <c r="H539" s="53" t="s">
        <v>902</v>
      </c>
      <c r="I539" s="53" t="s">
        <v>656</v>
      </c>
      <c r="J539" s="53" t="s">
        <v>1310</v>
      </c>
    </row>
    <row r="540" spans="1:10" ht="15" customHeight="1" x14ac:dyDescent="0.35">
      <c r="A540" s="53" t="s">
        <v>896</v>
      </c>
      <c r="B540" s="53" t="s">
        <v>1311</v>
      </c>
      <c r="C540" s="53" t="s">
        <v>1070</v>
      </c>
      <c r="D540" s="53">
        <v>1</v>
      </c>
      <c r="E540" s="53" t="s">
        <v>1312</v>
      </c>
      <c r="F540" s="53" t="s">
        <v>1026</v>
      </c>
      <c r="G540" s="53" t="s">
        <v>901</v>
      </c>
      <c r="H540" s="53" t="s">
        <v>902</v>
      </c>
      <c r="I540" s="53" t="s">
        <v>656</v>
      </c>
      <c r="J540" s="53" t="s">
        <v>1313</v>
      </c>
    </row>
    <row r="541" spans="1:10" ht="15" customHeight="1" x14ac:dyDescent="0.35">
      <c r="A541" s="53" t="s">
        <v>896</v>
      </c>
      <c r="B541" s="53" t="s">
        <v>1314</v>
      </c>
      <c r="C541" s="53" t="s">
        <v>925</v>
      </c>
      <c r="D541" s="53">
        <v>1</v>
      </c>
      <c r="E541" s="53" t="s">
        <v>1315</v>
      </c>
      <c r="F541" s="53" t="s">
        <v>1026</v>
      </c>
      <c r="G541" s="53" t="s">
        <v>901</v>
      </c>
      <c r="H541" s="53" t="s">
        <v>902</v>
      </c>
      <c r="I541" s="53" t="s">
        <v>656</v>
      </c>
      <c r="J541" s="53" t="s">
        <v>1316</v>
      </c>
    </row>
    <row r="542" spans="1:10" ht="15" customHeight="1" x14ac:dyDescent="0.35">
      <c r="A542" s="53" t="s">
        <v>896</v>
      </c>
      <c r="B542" s="53" t="s">
        <v>1317</v>
      </c>
      <c r="C542" s="53" t="s">
        <v>1111</v>
      </c>
      <c r="D542" s="53">
        <v>1</v>
      </c>
      <c r="E542" s="53" t="s">
        <v>1318</v>
      </c>
      <c r="F542" s="53" t="s">
        <v>1026</v>
      </c>
      <c r="G542" s="53" t="s">
        <v>901</v>
      </c>
      <c r="H542" s="53" t="s">
        <v>902</v>
      </c>
      <c r="I542" s="53" t="s">
        <v>656</v>
      </c>
      <c r="J542" s="53" t="s">
        <v>1319</v>
      </c>
    </row>
    <row r="543" spans="1:10" ht="15" customHeight="1" x14ac:dyDescent="0.35">
      <c r="A543" s="53" t="s">
        <v>896</v>
      </c>
      <c r="B543" s="53" t="s">
        <v>1320</v>
      </c>
      <c r="C543" s="53" t="s">
        <v>925</v>
      </c>
      <c r="D543" s="53">
        <v>1</v>
      </c>
      <c r="E543" s="53" t="s">
        <v>1321</v>
      </c>
      <c r="F543" s="53" t="s">
        <v>1026</v>
      </c>
      <c r="G543" s="53" t="s">
        <v>901</v>
      </c>
      <c r="H543" s="53" t="s">
        <v>902</v>
      </c>
      <c r="I543" s="53" t="s">
        <v>656</v>
      </c>
      <c r="J543" s="53" t="s">
        <v>1322</v>
      </c>
    </row>
    <row r="544" spans="1:10" ht="15" customHeight="1" x14ac:dyDescent="0.35">
      <c r="A544" s="53" t="s">
        <v>896</v>
      </c>
      <c r="B544" s="53" t="s">
        <v>1323</v>
      </c>
      <c r="C544" s="53" t="s">
        <v>989</v>
      </c>
      <c r="D544" s="53">
        <v>1</v>
      </c>
      <c r="E544" s="53" t="s">
        <v>1324</v>
      </c>
      <c r="F544" s="53" t="s">
        <v>1026</v>
      </c>
      <c r="G544" s="53" t="s">
        <v>901</v>
      </c>
      <c r="H544" s="53" t="s">
        <v>902</v>
      </c>
      <c r="I544" s="53" t="s">
        <v>656</v>
      </c>
      <c r="J544" s="53" t="s">
        <v>1325</v>
      </c>
    </row>
    <row r="545" spans="1:10" ht="15" customHeight="1" x14ac:dyDescent="0.35">
      <c r="A545" s="53" t="s">
        <v>896</v>
      </c>
      <c r="B545" s="53" t="s">
        <v>1326</v>
      </c>
      <c r="C545" s="53" t="s">
        <v>905</v>
      </c>
      <c r="D545" s="53">
        <v>1</v>
      </c>
      <c r="E545" s="53" t="s">
        <v>1327</v>
      </c>
      <c r="F545" s="53" t="s">
        <v>1026</v>
      </c>
      <c r="G545" s="53" t="s">
        <v>901</v>
      </c>
      <c r="H545" s="53" t="s">
        <v>902</v>
      </c>
      <c r="I545" s="53" t="s">
        <v>656</v>
      </c>
      <c r="J545" s="53" t="s">
        <v>1328</v>
      </c>
    </row>
    <row r="546" spans="1:10" ht="15" customHeight="1" x14ac:dyDescent="0.35">
      <c r="A546" s="53" t="s">
        <v>896</v>
      </c>
      <c r="B546" s="53" t="s">
        <v>1329</v>
      </c>
      <c r="C546" s="53" t="s">
        <v>905</v>
      </c>
      <c r="D546" s="53">
        <v>1</v>
      </c>
      <c r="E546" s="53" t="s">
        <v>1330</v>
      </c>
      <c r="F546" s="53" t="s">
        <v>1026</v>
      </c>
      <c r="G546" s="53" t="s">
        <v>901</v>
      </c>
      <c r="H546" s="53" t="s">
        <v>902</v>
      </c>
      <c r="I546" s="53" t="s">
        <v>656</v>
      </c>
      <c r="J546" s="53" t="s">
        <v>1331</v>
      </c>
    </row>
    <row r="547" spans="1:10" ht="15" customHeight="1" x14ac:dyDescent="0.35">
      <c r="A547" s="53" t="s">
        <v>896</v>
      </c>
      <c r="B547" s="53" t="s">
        <v>1332</v>
      </c>
      <c r="C547" s="53" t="s">
        <v>913</v>
      </c>
      <c r="D547" s="53">
        <v>1</v>
      </c>
      <c r="E547" s="53" t="s">
        <v>1333</v>
      </c>
      <c r="F547" s="53" t="s">
        <v>1026</v>
      </c>
      <c r="G547" s="53" t="s">
        <v>901</v>
      </c>
      <c r="H547" s="53" t="s">
        <v>902</v>
      </c>
      <c r="I547" s="53" t="s">
        <v>656</v>
      </c>
      <c r="J547" s="53" t="s">
        <v>1334</v>
      </c>
    </row>
    <row r="548" spans="1:10" ht="15" customHeight="1" x14ac:dyDescent="0.35">
      <c r="A548" s="53" t="s">
        <v>896</v>
      </c>
      <c r="B548" s="53" t="s">
        <v>1335</v>
      </c>
      <c r="C548" s="53" t="s">
        <v>905</v>
      </c>
      <c r="D548" s="53">
        <v>1</v>
      </c>
      <c r="E548" s="53" t="s">
        <v>1336</v>
      </c>
      <c r="F548" s="53" t="s">
        <v>1026</v>
      </c>
      <c r="G548" s="53" t="s">
        <v>901</v>
      </c>
      <c r="H548" s="53" t="s">
        <v>902</v>
      </c>
      <c r="I548" s="53" t="s">
        <v>656</v>
      </c>
      <c r="J548" s="53" t="s">
        <v>1337</v>
      </c>
    </row>
    <row r="549" spans="1:10" ht="15" customHeight="1" x14ac:dyDescent="0.35">
      <c r="A549" s="53" t="s">
        <v>896</v>
      </c>
      <c r="B549" s="53" t="s">
        <v>1338</v>
      </c>
      <c r="C549" s="53" t="s">
        <v>913</v>
      </c>
      <c r="D549" s="53">
        <v>1</v>
      </c>
      <c r="E549" s="53" t="s">
        <v>1339</v>
      </c>
      <c r="F549" s="53" t="s">
        <v>1026</v>
      </c>
      <c r="G549" s="53" t="s">
        <v>901</v>
      </c>
      <c r="H549" s="53" t="s">
        <v>902</v>
      </c>
      <c r="I549" s="53" t="s">
        <v>656</v>
      </c>
      <c r="J549" s="53" t="s">
        <v>1340</v>
      </c>
    </row>
    <row r="550" spans="1:10" ht="15" customHeight="1" x14ac:dyDescent="0.35">
      <c r="A550" s="53" t="s">
        <v>896</v>
      </c>
      <c r="B550" s="53" t="s">
        <v>1341</v>
      </c>
      <c r="C550" s="53" t="s">
        <v>989</v>
      </c>
      <c r="D550" s="53">
        <v>1</v>
      </c>
      <c r="E550" s="53" t="s">
        <v>1342</v>
      </c>
      <c r="F550" s="53" t="s">
        <v>1026</v>
      </c>
      <c r="G550" s="53" t="s">
        <v>901</v>
      </c>
      <c r="H550" s="53" t="s">
        <v>902</v>
      </c>
      <c r="I550" s="53" t="s">
        <v>656</v>
      </c>
      <c r="J550" s="53" t="s">
        <v>1343</v>
      </c>
    </row>
    <row r="551" spans="1:10" ht="15" customHeight="1" x14ac:dyDescent="0.35">
      <c r="A551" s="53" t="s">
        <v>896</v>
      </c>
      <c r="B551" s="53" t="s">
        <v>1344</v>
      </c>
      <c r="C551" s="53" t="s">
        <v>905</v>
      </c>
      <c r="D551" s="53">
        <v>1</v>
      </c>
      <c r="E551" s="53" t="s">
        <v>1345</v>
      </c>
      <c r="F551" s="53" t="s">
        <v>1026</v>
      </c>
      <c r="G551" s="53" t="s">
        <v>901</v>
      </c>
      <c r="H551" s="53" t="s">
        <v>902</v>
      </c>
      <c r="I551" s="53" t="s">
        <v>656</v>
      </c>
      <c r="J551" s="53" t="s">
        <v>1346</v>
      </c>
    </row>
    <row r="552" spans="1:10" ht="15" customHeight="1" x14ac:dyDescent="0.35">
      <c r="A552" s="53" t="s">
        <v>896</v>
      </c>
      <c r="B552" s="53" t="s">
        <v>1347</v>
      </c>
      <c r="C552" s="53" t="s">
        <v>929</v>
      </c>
      <c r="D552" s="53">
        <v>1</v>
      </c>
      <c r="E552" s="53" t="s">
        <v>1348</v>
      </c>
      <c r="F552" s="53" t="s">
        <v>1026</v>
      </c>
      <c r="G552" s="53" t="s">
        <v>901</v>
      </c>
      <c r="H552" s="53" t="s">
        <v>902</v>
      </c>
      <c r="I552" s="53" t="s">
        <v>656</v>
      </c>
      <c r="J552" s="53" t="s">
        <v>1349</v>
      </c>
    </row>
    <row r="553" spans="1:10" ht="15" customHeight="1" x14ac:dyDescent="0.35">
      <c r="A553" s="53" t="s">
        <v>896</v>
      </c>
      <c r="B553" s="53" t="s">
        <v>1350</v>
      </c>
      <c r="C553" s="53" t="s">
        <v>1136</v>
      </c>
      <c r="D553" s="53">
        <v>1</v>
      </c>
      <c r="E553" s="53" t="s">
        <v>1351</v>
      </c>
      <c r="F553" s="53" t="s">
        <v>1026</v>
      </c>
      <c r="G553" s="53" t="s">
        <v>901</v>
      </c>
      <c r="H553" s="53" t="s">
        <v>902</v>
      </c>
      <c r="I553" s="53" t="s">
        <v>656</v>
      </c>
      <c r="J553" s="53" t="s">
        <v>1352</v>
      </c>
    </row>
    <row r="554" spans="1:10" ht="15" customHeight="1" x14ac:dyDescent="0.35">
      <c r="A554" s="53" t="s">
        <v>896</v>
      </c>
      <c r="B554" s="53" t="s">
        <v>1353</v>
      </c>
      <c r="C554" s="53" t="s">
        <v>909</v>
      </c>
      <c r="D554" s="53">
        <v>1</v>
      </c>
      <c r="E554" s="53" t="s">
        <v>1354</v>
      </c>
      <c r="F554" s="53" t="s">
        <v>1026</v>
      </c>
      <c r="G554" s="53" t="s">
        <v>901</v>
      </c>
      <c r="H554" s="53" t="s">
        <v>902</v>
      </c>
      <c r="I554" s="53" t="s">
        <v>656</v>
      </c>
      <c r="J554" s="53" t="s">
        <v>1355</v>
      </c>
    </row>
    <row r="555" spans="1:10" ht="15" customHeight="1" x14ac:dyDescent="0.35">
      <c r="A555" s="53" t="s">
        <v>896</v>
      </c>
      <c r="B555" s="53" t="s">
        <v>1356</v>
      </c>
      <c r="C555" s="53" t="s">
        <v>1101</v>
      </c>
      <c r="D555" s="53">
        <v>1</v>
      </c>
      <c r="E555" s="53" t="s">
        <v>1357</v>
      </c>
      <c r="F555" s="53" t="s">
        <v>1026</v>
      </c>
      <c r="G555" s="53" t="s">
        <v>901</v>
      </c>
      <c r="H555" s="53" t="s">
        <v>902</v>
      </c>
      <c r="I555" s="53" t="s">
        <v>656</v>
      </c>
      <c r="J555" s="53" t="s">
        <v>1358</v>
      </c>
    </row>
    <row r="556" spans="1:10" ht="15" customHeight="1" x14ac:dyDescent="0.35">
      <c r="A556" s="53" t="s">
        <v>896</v>
      </c>
      <c r="B556" s="53" t="s">
        <v>1359</v>
      </c>
      <c r="C556" s="53" t="s">
        <v>989</v>
      </c>
      <c r="D556" s="53">
        <v>1</v>
      </c>
      <c r="E556" s="53" t="s">
        <v>1360</v>
      </c>
      <c r="F556" s="53" t="s">
        <v>1026</v>
      </c>
      <c r="G556" s="53" t="s">
        <v>901</v>
      </c>
      <c r="H556" s="53" t="s">
        <v>902</v>
      </c>
      <c r="I556" s="53" t="s">
        <v>656</v>
      </c>
      <c r="J556" s="53" t="s">
        <v>1361</v>
      </c>
    </row>
    <row r="557" spans="1:10" ht="15" customHeight="1" x14ac:dyDescent="0.35">
      <c r="A557" s="53" t="s">
        <v>896</v>
      </c>
      <c r="B557" s="53" t="s">
        <v>1362</v>
      </c>
      <c r="C557" s="53" t="s">
        <v>1009</v>
      </c>
      <c r="D557" s="53">
        <v>1</v>
      </c>
      <c r="E557" s="53" t="s">
        <v>1363</v>
      </c>
      <c r="F557" s="53" t="s">
        <v>1026</v>
      </c>
      <c r="G557" s="53" t="s">
        <v>901</v>
      </c>
      <c r="H557" s="53" t="s">
        <v>902</v>
      </c>
      <c r="I557" s="53" t="s">
        <v>656</v>
      </c>
      <c r="J557" s="53" t="s">
        <v>1364</v>
      </c>
    </row>
    <row r="558" spans="1:10" ht="15" customHeight="1" x14ac:dyDescent="0.35">
      <c r="A558" s="53" t="s">
        <v>896</v>
      </c>
      <c r="B558" s="53" t="s">
        <v>1365</v>
      </c>
      <c r="C558" s="53" t="s">
        <v>1299</v>
      </c>
      <c r="D558" s="53">
        <v>1</v>
      </c>
      <c r="E558" s="53" t="s">
        <v>1366</v>
      </c>
      <c r="F558" s="53" t="s">
        <v>1026</v>
      </c>
      <c r="G558" s="53" t="s">
        <v>901</v>
      </c>
      <c r="H558" s="53" t="s">
        <v>902</v>
      </c>
      <c r="I558" s="53" t="s">
        <v>656</v>
      </c>
      <c r="J558" s="53" t="s">
        <v>1367</v>
      </c>
    </row>
    <row r="559" spans="1:10" ht="15" customHeight="1" x14ac:dyDescent="0.35">
      <c r="A559" s="53" t="s">
        <v>896</v>
      </c>
      <c r="B559" s="53" t="s">
        <v>1368</v>
      </c>
      <c r="C559" s="53" t="s">
        <v>1070</v>
      </c>
      <c r="D559" s="53">
        <v>1</v>
      </c>
      <c r="E559" s="53" t="s">
        <v>1369</v>
      </c>
      <c r="F559" s="53" t="s">
        <v>1026</v>
      </c>
      <c r="G559" s="53" t="s">
        <v>901</v>
      </c>
      <c r="H559" s="53" t="s">
        <v>902</v>
      </c>
      <c r="I559" s="53" t="s">
        <v>656</v>
      </c>
      <c r="J559" s="53" t="s">
        <v>1370</v>
      </c>
    </row>
    <row r="560" spans="1:10" ht="15" customHeight="1" x14ac:dyDescent="0.35">
      <c r="A560" s="53" t="s">
        <v>896</v>
      </c>
      <c r="B560" s="53" t="s">
        <v>1371</v>
      </c>
      <c r="C560" s="53" t="s">
        <v>1136</v>
      </c>
      <c r="D560" s="53">
        <v>1</v>
      </c>
      <c r="E560" s="53" t="s">
        <v>1372</v>
      </c>
      <c r="F560" s="53" t="s">
        <v>1026</v>
      </c>
      <c r="G560" s="53" t="s">
        <v>901</v>
      </c>
      <c r="H560" s="53" t="s">
        <v>902</v>
      </c>
      <c r="I560" s="53" t="s">
        <v>656</v>
      </c>
      <c r="J560" s="53" t="s">
        <v>1373</v>
      </c>
    </row>
    <row r="561" spans="1:10" ht="15" customHeight="1" x14ac:dyDescent="0.35">
      <c r="A561" s="53" t="s">
        <v>896</v>
      </c>
      <c r="B561" s="53" t="s">
        <v>1374</v>
      </c>
      <c r="C561" s="53" t="s">
        <v>989</v>
      </c>
      <c r="D561" s="53">
        <v>1</v>
      </c>
      <c r="E561" s="53" t="s">
        <v>1375</v>
      </c>
      <c r="F561" s="53" t="s">
        <v>1026</v>
      </c>
      <c r="G561" s="53" t="s">
        <v>901</v>
      </c>
      <c r="H561" s="53" t="s">
        <v>902</v>
      </c>
      <c r="I561" s="53" t="s">
        <v>656</v>
      </c>
      <c r="J561" s="53" t="s">
        <v>1376</v>
      </c>
    </row>
    <row r="562" spans="1:10" ht="15" customHeight="1" x14ac:dyDescent="0.35">
      <c r="A562" s="53" t="s">
        <v>896</v>
      </c>
      <c r="B562" s="53" t="s">
        <v>1377</v>
      </c>
      <c r="C562" s="53" t="s">
        <v>913</v>
      </c>
      <c r="D562" s="53">
        <v>1</v>
      </c>
      <c r="E562" s="53" t="s">
        <v>1378</v>
      </c>
      <c r="F562" s="53" t="s">
        <v>1026</v>
      </c>
      <c r="G562" s="53" t="s">
        <v>901</v>
      </c>
      <c r="H562" s="53" t="s">
        <v>902</v>
      </c>
      <c r="I562" s="53" t="s">
        <v>656</v>
      </c>
      <c r="J562" s="53" t="s">
        <v>1379</v>
      </c>
    </row>
    <row r="563" spans="1:10" ht="15" customHeight="1" x14ac:dyDescent="0.35">
      <c r="A563" s="53" t="s">
        <v>896</v>
      </c>
      <c r="B563" s="53" t="s">
        <v>1380</v>
      </c>
      <c r="C563" s="53" t="s">
        <v>1009</v>
      </c>
      <c r="D563" s="53">
        <v>1</v>
      </c>
      <c r="E563" s="53" t="s">
        <v>1381</v>
      </c>
      <c r="F563" s="53" t="s">
        <v>1026</v>
      </c>
      <c r="G563" s="53" t="s">
        <v>901</v>
      </c>
      <c r="H563" s="53" t="s">
        <v>902</v>
      </c>
      <c r="I563" s="53" t="s">
        <v>656</v>
      </c>
      <c r="J563" s="53" t="s">
        <v>1382</v>
      </c>
    </row>
    <row r="564" spans="1:10" ht="15" customHeight="1" x14ac:dyDescent="0.35">
      <c r="A564" s="53" t="s">
        <v>896</v>
      </c>
      <c r="B564" s="53" t="s">
        <v>1383</v>
      </c>
      <c r="C564" s="53" t="s">
        <v>1050</v>
      </c>
      <c r="D564" s="53">
        <v>1</v>
      </c>
      <c r="E564" s="53" t="s">
        <v>1384</v>
      </c>
      <c r="F564" s="53" t="s">
        <v>1026</v>
      </c>
      <c r="G564" s="53" t="s">
        <v>901</v>
      </c>
      <c r="H564" s="53" t="s">
        <v>902</v>
      </c>
      <c r="I564" s="53" t="s">
        <v>656</v>
      </c>
      <c r="J564" s="53" t="s">
        <v>1385</v>
      </c>
    </row>
    <row r="565" spans="1:10" ht="15" customHeight="1" x14ac:dyDescent="0.35">
      <c r="A565" s="53" t="s">
        <v>896</v>
      </c>
      <c r="B565" s="53" t="s">
        <v>1386</v>
      </c>
      <c r="C565" s="53" t="s">
        <v>913</v>
      </c>
      <c r="D565" s="53">
        <v>1</v>
      </c>
      <c r="E565" s="53" t="s">
        <v>1387</v>
      </c>
      <c r="F565" s="53" t="s">
        <v>1026</v>
      </c>
      <c r="G565" s="53" t="s">
        <v>901</v>
      </c>
      <c r="H565" s="53" t="s">
        <v>902</v>
      </c>
      <c r="I565" s="53" t="s">
        <v>656</v>
      </c>
      <c r="J565" s="53" t="s">
        <v>1388</v>
      </c>
    </row>
    <row r="566" spans="1:10" ht="15" customHeight="1" x14ac:dyDescent="0.35">
      <c r="A566" s="53" t="s">
        <v>896</v>
      </c>
      <c r="B566" s="53" t="s">
        <v>1389</v>
      </c>
      <c r="C566" s="53" t="s">
        <v>1299</v>
      </c>
      <c r="D566" s="53">
        <v>1</v>
      </c>
      <c r="E566" s="53" t="s">
        <v>1390</v>
      </c>
      <c r="F566" s="53" t="s">
        <v>1026</v>
      </c>
      <c r="G566" s="53" t="s">
        <v>901</v>
      </c>
      <c r="H566" s="53" t="s">
        <v>902</v>
      </c>
      <c r="I566" s="53" t="s">
        <v>656</v>
      </c>
      <c r="J566" s="53" t="s">
        <v>1391</v>
      </c>
    </row>
    <row r="567" spans="1:10" ht="15" customHeight="1" x14ac:dyDescent="0.35">
      <c r="A567" s="53" t="s">
        <v>896</v>
      </c>
      <c r="B567" s="53" t="s">
        <v>1392</v>
      </c>
      <c r="C567" s="53" t="s">
        <v>1240</v>
      </c>
      <c r="D567" s="53">
        <v>1</v>
      </c>
      <c r="E567" s="53" t="s">
        <v>1393</v>
      </c>
      <c r="F567" s="53" t="s">
        <v>1026</v>
      </c>
      <c r="G567" s="53" t="s">
        <v>901</v>
      </c>
      <c r="H567" s="53" t="s">
        <v>902</v>
      </c>
      <c r="I567" s="53" t="s">
        <v>656</v>
      </c>
      <c r="J567" s="53" t="s">
        <v>1394</v>
      </c>
    </row>
    <row r="568" spans="1:10" ht="15" customHeight="1" x14ac:dyDescent="0.35">
      <c r="A568" s="53" t="s">
        <v>896</v>
      </c>
      <c r="B568" s="53" t="s">
        <v>1395</v>
      </c>
      <c r="C568" s="53" t="s">
        <v>905</v>
      </c>
      <c r="D568" s="53">
        <v>1</v>
      </c>
      <c r="E568" s="53" t="s">
        <v>1396</v>
      </c>
      <c r="F568" s="53" t="s">
        <v>1026</v>
      </c>
      <c r="G568" s="53" t="s">
        <v>901</v>
      </c>
      <c r="H568" s="53" t="s">
        <v>902</v>
      </c>
      <c r="I568" s="53" t="s">
        <v>656</v>
      </c>
      <c r="J568" s="53" t="s">
        <v>1397</v>
      </c>
    </row>
    <row r="569" spans="1:10" ht="15" customHeight="1" x14ac:dyDescent="0.35">
      <c r="A569" s="53" t="s">
        <v>896</v>
      </c>
      <c r="B569" s="53" t="s">
        <v>1398</v>
      </c>
      <c r="C569" s="53" t="s">
        <v>925</v>
      </c>
      <c r="D569" s="53">
        <v>1</v>
      </c>
      <c r="E569" s="53" t="s">
        <v>1399</v>
      </c>
      <c r="F569" s="53" t="s">
        <v>1026</v>
      </c>
      <c r="G569" s="53" t="s">
        <v>901</v>
      </c>
      <c r="H569" s="53" t="s">
        <v>902</v>
      </c>
      <c r="I569" s="53" t="s">
        <v>656</v>
      </c>
      <c r="J569" s="53" t="s">
        <v>1400</v>
      </c>
    </row>
    <row r="570" spans="1:10" ht="15" customHeight="1" x14ac:dyDescent="0.35">
      <c r="A570" s="53" t="s">
        <v>896</v>
      </c>
      <c r="B570" s="53" t="s">
        <v>1401</v>
      </c>
      <c r="C570" s="53" t="s">
        <v>1084</v>
      </c>
      <c r="D570" s="53">
        <v>1</v>
      </c>
      <c r="E570" s="53" t="s">
        <v>1402</v>
      </c>
      <c r="F570" s="53" t="s">
        <v>1026</v>
      </c>
      <c r="G570" s="53" t="s">
        <v>901</v>
      </c>
      <c r="H570" s="53" t="s">
        <v>902</v>
      </c>
      <c r="I570" s="53" t="s">
        <v>656</v>
      </c>
      <c r="J570" s="53" t="s">
        <v>1403</v>
      </c>
    </row>
    <row r="571" spans="1:10" ht="15" customHeight="1" x14ac:dyDescent="0.35">
      <c r="A571" s="53" t="s">
        <v>896</v>
      </c>
      <c r="B571" s="53" t="s">
        <v>1404</v>
      </c>
      <c r="C571" s="53" t="s">
        <v>963</v>
      </c>
      <c r="D571" s="53">
        <v>1</v>
      </c>
      <c r="E571" s="53" t="s">
        <v>1405</v>
      </c>
      <c r="F571" s="53" t="s">
        <v>1026</v>
      </c>
      <c r="G571" s="53" t="s">
        <v>901</v>
      </c>
      <c r="H571" s="53" t="s">
        <v>902</v>
      </c>
      <c r="I571" s="53" t="s">
        <v>656</v>
      </c>
      <c r="J571" s="53" t="s">
        <v>1406</v>
      </c>
    </row>
    <row r="572" spans="1:10" ht="15" customHeight="1" x14ac:dyDescent="0.35">
      <c r="A572" s="53" t="s">
        <v>896</v>
      </c>
      <c r="B572" s="53" t="s">
        <v>1407</v>
      </c>
      <c r="C572" s="53" t="s">
        <v>913</v>
      </c>
      <c r="D572" s="53">
        <v>1</v>
      </c>
      <c r="E572" s="53" t="s">
        <v>1408</v>
      </c>
      <c r="F572" s="53" t="s">
        <v>1026</v>
      </c>
      <c r="G572" s="53" t="s">
        <v>901</v>
      </c>
      <c r="H572" s="53" t="s">
        <v>902</v>
      </c>
      <c r="I572" s="53" t="s">
        <v>656</v>
      </c>
      <c r="J572" s="53" t="s">
        <v>1409</v>
      </c>
    </row>
    <row r="573" spans="1:10" ht="15" customHeight="1" x14ac:dyDescent="0.35">
      <c r="A573" s="53" t="s">
        <v>896</v>
      </c>
      <c r="B573" s="53" t="s">
        <v>1410</v>
      </c>
      <c r="C573" s="53" t="s">
        <v>1240</v>
      </c>
      <c r="D573" s="53">
        <v>1</v>
      </c>
      <c r="E573" s="53" t="s">
        <v>1411</v>
      </c>
      <c r="F573" s="53" t="s">
        <v>1026</v>
      </c>
      <c r="G573" s="53" t="s">
        <v>901</v>
      </c>
      <c r="H573" s="53" t="s">
        <v>902</v>
      </c>
      <c r="I573" s="53" t="s">
        <v>656</v>
      </c>
      <c r="J573" s="53" t="s">
        <v>1412</v>
      </c>
    </row>
    <row r="574" spans="1:10" ht="15" customHeight="1" x14ac:dyDescent="0.35">
      <c r="A574" s="53" t="s">
        <v>896</v>
      </c>
      <c r="B574" s="53" t="s">
        <v>1413</v>
      </c>
      <c r="C574" s="53" t="s">
        <v>917</v>
      </c>
      <c r="D574" s="53">
        <v>1</v>
      </c>
      <c r="E574" s="53" t="s">
        <v>1414</v>
      </c>
      <c r="F574" s="53" t="s">
        <v>1026</v>
      </c>
      <c r="G574" s="53" t="s">
        <v>901</v>
      </c>
      <c r="H574" s="53" t="s">
        <v>902</v>
      </c>
      <c r="I574" s="53" t="s">
        <v>656</v>
      </c>
      <c r="J574" s="53" t="s">
        <v>1415</v>
      </c>
    </row>
    <row r="575" spans="1:10" ht="15" customHeight="1" x14ac:dyDescent="0.35">
      <c r="A575" s="53" t="s">
        <v>896</v>
      </c>
      <c r="B575" s="53" t="s">
        <v>1416</v>
      </c>
      <c r="C575" s="53" t="s">
        <v>959</v>
      </c>
      <c r="D575" s="53">
        <v>1</v>
      </c>
      <c r="E575" s="53" t="s">
        <v>1417</v>
      </c>
      <c r="F575" s="53" t="s">
        <v>1026</v>
      </c>
      <c r="G575" s="53" t="s">
        <v>901</v>
      </c>
      <c r="H575" s="53" t="s">
        <v>902</v>
      </c>
      <c r="I575" s="53" t="s">
        <v>656</v>
      </c>
      <c r="J575" s="53" t="s">
        <v>1418</v>
      </c>
    </row>
    <row r="576" spans="1:10" ht="15" customHeight="1" x14ac:dyDescent="0.35">
      <c r="A576" s="53" t="s">
        <v>896</v>
      </c>
      <c r="B576" s="53" t="s">
        <v>1419</v>
      </c>
      <c r="C576" s="53" t="s">
        <v>898</v>
      </c>
      <c r="D576" s="53">
        <v>1</v>
      </c>
      <c r="E576" s="53" t="s">
        <v>1420</v>
      </c>
      <c r="F576" s="53" t="s">
        <v>1026</v>
      </c>
      <c r="G576" s="53" t="s">
        <v>901</v>
      </c>
      <c r="H576" s="53" t="s">
        <v>902</v>
      </c>
      <c r="I576" s="53" t="s">
        <v>656</v>
      </c>
      <c r="J576" s="53" t="s">
        <v>1421</v>
      </c>
    </row>
    <row r="577" spans="1:10" ht="15" customHeight="1" x14ac:dyDescent="0.35">
      <c r="A577" s="53" t="s">
        <v>896</v>
      </c>
      <c r="B577" s="53" t="s">
        <v>1422</v>
      </c>
      <c r="C577" s="53" t="s">
        <v>929</v>
      </c>
      <c r="D577" s="53">
        <v>1</v>
      </c>
      <c r="E577" s="53" t="s">
        <v>1423</v>
      </c>
      <c r="F577" s="53" t="s">
        <v>1026</v>
      </c>
      <c r="G577" s="53" t="s">
        <v>901</v>
      </c>
      <c r="H577" s="53" t="s">
        <v>902</v>
      </c>
      <c r="I577" s="53" t="s">
        <v>656</v>
      </c>
      <c r="J577" s="53" t="s">
        <v>1424</v>
      </c>
    </row>
    <row r="578" spans="1:10" ht="15" customHeight="1" x14ac:dyDescent="0.35">
      <c r="A578" s="53" t="s">
        <v>896</v>
      </c>
      <c r="B578" s="53" t="s">
        <v>1425</v>
      </c>
      <c r="C578" s="53" t="s">
        <v>963</v>
      </c>
      <c r="D578" s="53">
        <v>1</v>
      </c>
      <c r="E578" s="53" t="s">
        <v>1426</v>
      </c>
      <c r="F578" s="53" t="s">
        <v>1026</v>
      </c>
      <c r="G578" s="53" t="s">
        <v>901</v>
      </c>
      <c r="H578" s="53" t="s">
        <v>902</v>
      </c>
      <c r="I578" s="53" t="s">
        <v>656</v>
      </c>
      <c r="J578" s="53" t="s">
        <v>1427</v>
      </c>
    </row>
    <row r="579" spans="1:10" ht="15" customHeight="1" x14ac:dyDescent="0.35">
      <c r="A579" s="53" t="s">
        <v>896</v>
      </c>
      <c r="B579" s="53" t="s">
        <v>1428</v>
      </c>
      <c r="C579" s="53" t="s">
        <v>963</v>
      </c>
      <c r="D579" s="53">
        <v>1</v>
      </c>
      <c r="E579" s="53" t="s">
        <v>1429</v>
      </c>
      <c r="F579" s="53" t="s">
        <v>1026</v>
      </c>
      <c r="G579" s="53" t="s">
        <v>901</v>
      </c>
      <c r="H579" s="53" t="s">
        <v>902</v>
      </c>
      <c r="I579" s="53" t="s">
        <v>656</v>
      </c>
      <c r="J579" s="53" t="s">
        <v>1430</v>
      </c>
    </row>
    <row r="580" spans="1:10" ht="15" customHeight="1" x14ac:dyDescent="0.35">
      <c r="A580" s="53" t="s">
        <v>896</v>
      </c>
      <c r="B580" s="53" t="s">
        <v>1431</v>
      </c>
      <c r="C580" s="53" t="s">
        <v>1136</v>
      </c>
      <c r="D580" s="53">
        <v>1</v>
      </c>
      <c r="E580" s="53" t="s">
        <v>1432</v>
      </c>
      <c r="F580" s="53" t="s">
        <v>1026</v>
      </c>
      <c r="G580" s="53" t="s">
        <v>901</v>
      </c>
      <c r="H580" s="53" t="s">
        <v>902</v>
      </c>
      <c r="I580" s="53" t="s">
        <v>656</v>
      </c>
      <c r="J580" s="53" t="s">
        <v>1433</v>
      </c>
    </row>
    <row r="581" spans="1:10" ht="15" customHeight="1" x14ac:dyDescent="0.35">
      <c r="A581" s="53" t="s">
        <v>896</v>
      </c>
      <c r="B581" s="53" t="s">
        <v>1434</v>
      </c>
      <c r="C581" s="53" t="s">
        <v>905</v>
      </c>
      <c r="D581" s="53">
        <v>1</v>
      </c>
      <c r="E581" s="53" t="s">
        <v>1435</v>
      </c>
      <c r="F581" s="53" t="s">
        <v>1026</v>
      </c>
      <c r="G581" s="53" t="s">
        <v>901</v>
      </c>
      <c r="H581" s="53" t="s">
        <v>902</v>
      </c>
      <c r="I581" s="53" t="s">
        <v>656</v>
      </c>
      <c r="J581" s="53" t="s">
        <v>1436</v>
      </c>
    </row>
    <row r="582" spans="1:10" ht="15" customHeight="1" x14ac:dyDescent="0.35">
      <c r="A582" s="53" t="s">
        <v>896</v>
      </c>
      <c r="B582" s="53" t="s">
        <v>1437</v>
      </c>
      <c r="C582" s="53" t="s">
        <v>1084</v>
      </c>
      <c r="D582" s="53">
        <v>1</v>
      </c>
      <c r="E582" s="53" t="s">
        <v>1438</v>
      </c>
      <c r="F582" s="53" t="s">
        <v>1026</v>
      </c>
      <c r="G582" s="53" t="s">
        <v>901</v>
      </c>
      <c r="H582" s="53" t="s">
        <v>902</v>
      </c>
      <c r="I582" s="53" t="s">
        <v>656</v>
      </c>
      <c r="J582" s="53" t="s">
        <v>1439</v>
      </c>
    </row>
    <row r="583" spans="1:10" ht="15" customHeight="1" x14ac:dyDescent="0.35">
      <c r="A583" s="53" t="s">
        <v>896</v>
      </c>
      <c r="B583" s="53" t="s">
        <v>1440</v>
      </c>
      <c r="C583" s="53" t="s">
        <v>963</v>
      </c>
      <c r="D583" s="53">
        <v>1</v>
      </c>
      <c r="E583" s="53" t="s">
        <v>1441</v>
      </c>
      <c r="F583" s="53" t="s">
        <v>1442</v>
      </c>
      <c r="G583" s="53" t="s">
        <v>901</v>
      </c>
      <c r="H583" s="53" t="s">
        <v>902</v>
      </c>
      <c r="I583" s="53" t="s">
        <v>656</v>
      </c>
      <c r="J583" s="53" t="s">
        <v>1443</v>
      </c>
    </row>
    <row r="584" spans="1:10" ht="15" customHeight="1" x14ac:dyDescent="0.35">
      <c r="A584" s="53" t="s">
        <v>896</v>
      </c>
      <c r="B584" s="53" t="s">
        <v>1444</v>
      </c>
      <c r="C584" s="53" t="s">
        <v>1143</v>
      </c>
      <c r="D584" s="53">
        <v>1</v>
      </c>
      <c r="E584" s="53" t="s">
        <v>1445</v>
      </c>
      <c r="F584" s="53" t="s">
        <v>1442</v>
      </c>
      <c r="G584" s="53" t="s">
        <v>901</v>
      </c>
      <c r="H584" s="53" t="s">
        <v>902</v>
      </c>
      <c r="I584" s="53" t="s">
        <v>656</v>
      </c>
      <c r="J584" s="53" t="s">
        <v>1446</v>
      </c>
    </row>
    <row r="585" spans="1:10" ht="15" customHeight="1" x14ac:dyDescent="0.35">
      <c r="A585" s="53" t="s">
        <v>896</v>
      </c>
      <c r="B585" s="53" t="s">
        <v>1447</v>
      </c>
      <c r="C585" s="53" t="s">
        <v>959</v>
      </c>
      <c r="D585" s="53">
        <v>1</v>
      </c>
      <c r="E585" s="53" t="s">
        <v>1448</v>
      </c>
      <c r="F585" s="53" t="s">
        <v>1442</v>
      </c>
      <c r="G585" s="53" t="s">
        <v>901</v>
      </c>
      <c r="H585" s="53" t="s">
        <v>902</v>
      </c>
      <c r="I585" s="53" t="s">
        <v>656</v>
      </c>
      <c r="J585" s="53" t="s">
        <v>1449</v>
      </c>
    </row>
    <row r="586" spans="1:10" ht="15" customHeight="1" x14ac:dyDescent="0.35">
      <c r="A586" s="53" t="s">
        <v>896</v>
      </c>
      <c r="B586" s="53" t="s">
        <v>1450</v>
      </c>
      <c r="C586" s="53" t="s">
        <v>989</v>
      </c>
      <c r="D586" s="53">
        <v>1</v>
      </c>
      <c r="E586" s="53" t="s">
        <v>1451</v>
      </c>
      <c r="F586" s="53" t="s">
        <v>1442</v>
      </c>
      <c r="G586" s="53" t="s">
        <v>901</v>
      </c>
      <c r="H586" s="53" t="s">
        <v>902</v>
      </c>
      <c r="I586" s="53" t="s">
        <v>656</v>
      </c>
      <c r="J586" s="53" t="s">
        <v>1452</v>
      </c>
    </row>
    <row r="587" spans="1:10" ht="15" customHeight="1" x14ac:dyDescent="0.35">
      <c r="A587" s="53" t="s">
        <v>896</v>
      </c>
      <c r="B587" s="53" t="s">
        <v>1453</v>
      </c>
      <c r="C587" s="53" t="s">
        <v>1136</v>
      </c>
      <c r="D587" s="53">
        <v>1</v>
      </c>
      <c r="E587" s="53" t="s">
        <v>1454</v>
      </c>
      <c r="F587" s="53" t="s">
        <v>1442</v>
      </c>
      <c r="G587" s="53" t="s">
        <v>901</v>
      </c>
      <c r="H587" s="53" t="s">
        <v>902</v>
      </c>
      <c r="I587" s="53" t="s">
        <v>656</v>
      </c>
      <c r="J587" s="53" t="s">
        <v>1455</v>
      </c>
    </row>
    <row r="588" spans="1:10" ht="15" customHeight="1" x14ac:dyDescent="0.35">
      <c r="A588" s="53" t="s">
        <v>896</v>
      </c>
      <c r="B588" s="53" t="s">
        <v>1456</v>
      </c>
      <c r="C588" s="53" t="s">
        <v>1050</v>
      </c>
      <c r="D588" s="53">
        <v>1</v>
      </c>
      <c r="E588" s="53" t="s">
        <v>1457</v>
      </c>
      <c r="F588" s="53" t="s">
        <v>1442</v>
      </c>
      <c r="G588" s="53" t="s">
        <v>901</v>
      </c>
      <c r="H588" s="53" t="s">
        <v>902</v>
      </c>
      <c r="I588" s="53" t="s">
        <v>656</v>
      </c>
      <c r="J588" s="53" t="s">
        <v>1458</v>
      </c>
    </row>
    <row r="589" spans="1:10" ht="15" customHeight="1" x14ac:dyDescent="0.35">
      <c r="A589" s="53" t="s">
        <v>896</v>
      </c>
      <c r="B589" s="53" t="s">
        <v>1459</v>
      </c>
      <c r="C589" s="53" t="s">
        <v>1077</v>
      </c>
      <c r="D589" s="53">
        <v>1</v>
      </c>
      <c r="E589" s="53" t="s">
        <v>1460</v>
      </c>
      <c r="F589" s="53" t="s">
        <v>1026</v>
      </c>
      <c r="G589" s="53" t="s">
        <v>901</v>
      </c>
      <c r="H589" s="53" t="s">
        <v>902</v>
      </c>
      <c r="I589" s="53" t="s">
        <v>656</v>
      </c>
      <c r="J589" s="53" t="s">
        <v>1461</v>
      </c>
    </row>
    <row r="590" spans="1:10" ht="15" customHeight="1" x14ac:dyDescent="0.35">
      <c r="A590" s="53" t="s">
        <v>896</v>
      </c>
      <c r="B590" s="53" t="s">
        <v>1462</v>
      </c>
      <c r="C590" s="53" t="s">
        <v>1122</v>
      </c>
      <c r="D590" s="53">
        <v>1</v>
      </c>
      <c r="E590" s="53" t="s">
        <v>1463</v>
      </c>
      <c r="F590" s="53" t="s">
        <v>1442</v>
      </c>
      <c r="G590" s="53" t="s">
        <v>901</v>
      </c>
      <c r="H590" s="53" t="s">
        <v>902</v>
      </c>
      <c r="I590" s="53" t="s">
        <v>656</v>
      </c>
      <c r="J590" s="53" t="s">
        <v>1464</v>
      </c>
    </row>
    <row r="591" spans="1:10" ht="15" customHeight="1" x14ac:dyDescent="0.35">
      <c r="A591" s="53" t="s">
        <v>896</v>
      </c>
      <c r="B591" s="53" t="s">
        <v>1465</v>
      </c>
      <c r="C591" s="53" t="s">
        <v>1136</v>
      </c>
      <c r="D591" s="53">
        <v>1</v>
      </c>
      <c r="E591" s="53" t="s">
        <v>1466</v>
      </c>
      <c r="F591" s="53" t="s">
        <v>1442</v>
      </c>
      <c r="G591" s="53" t="s">
        <v>901</v>
      </c>
      <c r="H591" s="53" t="s">
        <v>902</v>
      </c>
      <c r="I591" s="53" t="s">
        <v>656</v>
      </c>
      <c r="J591" s="53" t="s">
        <v>1467</v>
      </c>
    </row>
    <row r="592" spans="1:10" ht="15" customHeight="1" x14ac:dyDescent="0.35">
      <c r="A592" s="53" t="s">
        <v>896</v>
      </c>
      <c r="B592" s="53" t="s">
        <v>1468</v>
      </c>
      <c r="C592" s="53" t="s">
        <v>1077</v>
      </c>
      <c r="D592" s="53">
        <v>1</v>
      </c>
      <c r="E592" s="53" t="s">
        <v>1469</v>
      </c>
      <c r="F592" s="53" t="s">
        <v>1026</v>
      </c>
      <c r="G592" s="53" t="s">
        <v>901</v>
      </c>
      <c r="H592" s="53" t="s">
        <v>902</v>
      </c>
      <c r="I592" s="53" t="s">
        <v>656</v>
      </c>
      <c r="J592" s="53" t="s">
        <v>1470</v>
      </c>
    </row>
    <row r="593" spans="1:10" ht="15" customHeight="1" x14ac:dyDescent="0.35">
      <c r="A593" s="53" t="s">
        <v>896</v>
      </c>
      <c r="B593" s="53" t="s">
        <v>1471</v>
      </c>
      <c r="C593" s="53" t="s">
        <v>921</v>
      </c>
      <c r="D593" s="53">
        <v>1</v>
      </c>
      <c r="E593" s="53" t="s">
        <v>1472</v>
      </c>
      <c r="F593" s="53" t="s">
        <v>1442</v>
      </c>
      <c r="G593" s="53" t="s">
        <v>901</v>
      </c>
      <c r="H593" s="53" t="s">
        <v>902</v>
      </c>
      <c r="I593" s="53" t="s">
        <v>656</v>
      </c>
      <c r="J593" s="53" t="s">
        <v>1473</v>
      </c>
    </row>
    <row r="594" spans="1:10" ht="15" customHeight="1" x14ac:dyDescent="0.35">
      <c r="A594" s="53" t="s">
        <v>896</v>
      </c>
      <c r="B594" s="53" t="s">
        <v>1474</v>
      </c>
      <c r="C594" s="53" t="s">
        <v>905</v>
      </c>
      <c r="D594" s="53">
        <v>1</v>
      </c>
      <c r="E594" s="53" t="s">
        <v>1475</v>
      </c>
      <c r="F594" s="53" t="s">
        <v>1442</v>
      </c>
      <c r="G594" s="53" t="s">
        <v>901</v>
      </c>
      <c r="H594" s="53" t="s">
        <v>902</v>
      </c>
      <c r="I594" s="53" t="s">
        <v>656</v>
      </c>
      <c r="J594" s="53" t="s">
        <v>1476</v>
      </c>
    </row>
    <row r="595" spans="1:10" ht="15" customHeight="1" x14ac:dyDescent="0.35">
      <c r="A595" s="53" t="s">
        <v>896</v>
      </c>
      <c r="B595" s="53" t="s">
        <v>1477</v>
      </c>
      <c r="C595" s="53" t="s">
        <v>913</v>
      </c>
      <c r="D595" s="53">
        <v>1</v>
      </c>
      <c r="E595" s="53" t="s">
        <v>1478</v>
      </c>
      <c r="F595" s="53" t="s">
        <v>1442</v>
      </c>
      <c r="G595" s="53" t="s">
        <v>901</v>
      </c>
      <c r="H595" s="53" t="s">
        <v>902</v>
      </c>
      <c r="I595" s="53" t="s">
        <v>656</v>
      </c>
      <c r="J595" s="53" t="s">
        <v>1479</v>
      </c>
    </row>
    <row r="596" spans="1:10" ht="15" customHeight="1" x14ac:dyDescent="0.35">
      <c r="A596" s="53" t="s">
        <v>896</v>
      </c>
      <c r="B596" s="53" t="s">
        <v>1480</v>
      </c>
      <c r="C596" s="53" t="s">
        <v>1122</v>
      </c>
      <c r="D596" s="53">
        <v>1</v>
      </c>
      <c r="E596" s="53" t="s">
        <v>1481</v>
      </c>
      <c r="F596" s="53" t="s">
        <v>1442</v>
      </c>
      <c r="G596" s="53" t="s">
        <v>901</v>
      </c>
      <c r="H596" s="53" t="s">
        <v>902</v>
      </c>
      <c r="I596" s="53" t="s">
        <v>656</v>
      </c>
      <c r="J596" s="53" t="s">
        <v>1482</v>
      </c>
    </row>
    <row r="597" spans="1:10" ht="15" customHeight="1" x14ac:dyDescent="0.35">
      <c r="A597" s="53" t="s">
        <v>896</v>
      </c>
      <c r="B597" s="53" t="s">
        <v>1483</v>
      </c>
      <c r="C597" s="53" t="s">
        <v>1122</v>
      </c>
      <c r="D597" s="53">
        <v>1</v>
      </c>
      <c r="E597" s="53" t="s">
        <v>1484</v>
      </c>
      <c r="F597" s="53" t="s">
        <v>1442</v>
      </c>
      <c r="G597" s="53" t="s">
        <v>901</v>
      </c>
      <c r="H597" s="53" t="s">
        <v>902</v>
      </c>
      <c r="I597" s="53" t="s">
        <v>656</v>
      </c>
      <c r="J597" s="53" t="s">
        <v>1485</v>
      </c>
    </row>
    <row r="598" spans="1:10" ht="15" customHeight="1" x14ac:dyDescent="0.35">
      <c r="A598" s="53" t="s">
        <v>896</v>
      </c>
      <c r="B598" s="53" t="s">
        <v>1486</v>
      </c>
      <c r="C598" s="53" t="s">
        <v>905</v>
      </c>
      <c r="D598" s="53">
        <v>1</v>
      </c>
      <c r="E598" s="53" t="s">
        <v>1487</v>
      </c>
      <c r="F598" s="53" t="s">
        <v>1442</v>
      </c>
      <c r="G598" s="53" t="s">
        <v>901</v>
      </c>
      <c r="H598" s="53" t="s">
        <v>902</v>
      </c>
      <c r="I598" s="53" t="s">
        <v>656</v>
      </c>
      <c r="J598" s="53" t="s">
        <v>1488</v>
      </c>
    </row>
    <row r="599" spans="1:10" ht="15" customHeight="1" x14ac:dyDescent="0.35">
      <c r="A599" s="53" t="s">
        <v>896</v>
      </c>
      <c r="B599" s="53" t="s">
        <v>1489</v>
      </c>
      <c r="C599" s="53" t="s">
        <v>1490</v>
      </c>
      <c r="D599" s="53">
        <v>1</v>
      </c>
      <c r="E599" s="53" t="s">
        <v>1491</v>
      </c>
      <c r="F599" s="53" t="s">
        <v>1442</v>
      </c>
      <c r="G599" s="53" t="s">
        <v>901</v>
      </c>
      <c r="H599" s="53" t="s">
        <v>902</v>
      </c>
      <c r="I599" s="53" t="s">
        <v>656</v>
      </c>
      <c r="J599" s="53" t="s">
        <v>1492</v>
      </c>
    </row>
    <row r="600" spans="1:10" ht="15" customHeight="1" x14ac:dyDescent="0.35">
      <c r="A600" s="53" t="s">
        <v>896</v>
      </c>
      <c r="B600" s="53" t="s">
        <v>1493</v>
      </c>
      <c r="C600" s="53" t="s">
        <v>1494</v>
      </c>
      <c r="D600" s="53">
        <v>1</v>
      </c>
      <c r="E600" s="53" t="s">
        <v>1495</v>
      </c>
      <c r="F600" s="53" t="s">
        <v>1442</v>
      </c>
      <c r="G600" s="53" t="s">
        <v>901</v>
      </c>
      <c r="H600" s="53" t="s">
        <v>902</v>
      </c>
      <c r="I600" s="53" t="s">
        <v>656</v>
      </c>
      <c r="J600" s="53" t="s">
        <v>1496</v>
      </c>
    </row>
    <row r="601" spans="1:10" ht="15" customHeight="1" x14ac:dyDescent="0.35">
      <c r="A601" s="53" t="s">
        <v>896</v>
      </c>
      <c r="B601" s="53" t="s">
        <v>1497</v>
      </c>
      <c r="C601" s="53" t="s">
        <v>989</v>
      </c>
      <c r="D601" s="53">
        <v>1</v>
      </c>
      <c r="E601" s="53" t="s">
        <v>1498</v>
      </c>
      <c r="F601" s="53" t="s">
        <v>1442</v>
      </c>
      <c r="G601" s="53" t="s">
        <v>901</v>
      </c>
      <c r="H601" s="53" t="s">
        <v>902</v>
      </c>
      <c r="I601" s="53" t="s">
        <v>656</v>
      </c>
      <c r="J601" s="53" t="s">
        <v>1499</v>
      </c>
    </row>
    <row r="602" spans="1:10" ht="15" customHeight="1" x14ac:dyDescent="0.35">
      <c r="A602" s="53" t="s">
        <v>896</v>
      </c>
      <c r="B602" s="53" t="s">
        <v>1500</v>
      </c>
      <c r="C602" s="53" t="s">
        <v>1077</v>
      </c>
      <c r="D602" s="53">
        <v>1</v>
      </c>
      <c r="E602" s="53" t="s">
        <v>1501</v>
      </c>
      <c r="F602" s="53" t="s">
        <v>1442</v>
      </c>
      <c r="G602" s="53" t="s">
        <v>901</v>
      </c>
      <c r="H602" s="53" t="s">
        <v>902</v>
      </c>
      <c r="I602" s="53" t="s">
        <v>656</v>
      </c>
      <c r="J602" s="53" t="s">
        <v>1502</v>
      </c>
    </row>
    <row r="603" spans="1:10" ht="15" customHeight="1" x14ac:dyDescent="0.35">
      <c r="A603" s="53" t="s">
        <v>896</v>
      </c>
      <c r="B603" s="53" t="s">
        <v>1503</v>
      </c>
      <c r="C603" s="53" t="s">
        <v>1295</v>
      </c>
      <c r="D603" s="53">
        <v>1</v>
      </c>
      <c r="E603" s="53" t="s">
        <v>1504</v>
      </c>
      <c r="F603" s="53" t="s">
        <v>1442</v>
      </c>
      <c r="G603" s="53" t="s">
        <v>901</v>
      </c>
      <c r="H603" s="53" t="s">
        <v>902</v>
      </c>
      <c r="I603" s="53" t="s">
        <v>656</v>
      </c>
      <c r="J603" s="53" t="s">
        <v>1505</v>
      </c>
    </row>
    <row r="604" spans="1:10" ht="15" customHeight="1" x14ac:dyDescent="0.35">
      <c r="A604" s="53" t="s">
        <v>896</v>
      </c>
      <c r="B604" s="53" t="s">
        <v>1506</v>
      </c>
      <c r="C604" s="53" t="s">
        <v>1118</v>
      </c>
      <c r="D604" s="53">
        <v>1</v>
      </c>
      <c r="E604" s="53" t="s">
        <v>1507</v>
      </c>
      <c r="F604" s="53" t="s">
        <v>1442</v>
      </c>
      <c r="G604" s="53" t="s">
        <v>901</v>
      </c>
      <c r="H604" s="53" t="s">
        <v>902</v>
      </c>
      <c r="I604" s="53" t="s">
        <v>656</v>
      </c>
      <c r="J604" s="53" t="s">
        <v>1508</v>
      </c>
    </row>
    <row r="605" spans="1:10" ht="15" customHeight="1" x14ac:dyDescent="0.35">
      <c r="A605" s="53" t="s">
        <v>896</v>
      </c>
      <c r="B605" s="53" t="s">
        <v>1509</v>
      </c>
      <c r="C605" s="53" t="s">
        <v>963</v>
      </c>
      <c r="D605" s="53">
        <v>1</v>
      </c>
      <c r="E605" s="53" t="s">
        <v>1510</v>
      </c>
      <c r="F605" s="53" t="s">
        <v>1442</v>
      </c>
      <c r="G605" s="53" t="s">
        <v>901</v>
      </c>
      <c r="H605" s="53" t="s">
        <v>902</v>
      </c>
      <c r="I605" s="53" t="s">
        <v>656</v>
      </c>
      <c r="J605" s="53" t="s">
        <v>1511</v>
      </c>
    </row>
    <row r="606" spans="1:10" ht="15" customHeight="1" x14ac:dyDescent="0.35">
      <c r="A606" s="53" t="s">
        <v>896</v>
      </c>
      <c r="B606" s="53" t="s">
        <v>1512</v>
      </c>
      <c r="C606" s="53" t="s">
        <v>1136</v>
      </c>
      <c r="D606" s="53">
        <v>1</v>
      </c>
      <c r="E606" s="53" t="s">
        <v>1513</v>
      </c>
      <c r="F606" s="53" t="s">
        <v>1442</v>
      </c>
      <c r="G606" s="53" t="s">
        <v>901</v>
      </c>
      <c r="H606" s="53" t="s">
        <v>902</v>
      </c>
      <c r="I606" s="53" t="s">
        <v>656</v>
      </c>
      <c r="J606" s="53" t="s">
        <v>1514</v>
      </c>
    </row>
    <row r="607" spans="1:10" ht="15" customHeight="1" x14ac:dyDescent="0.35">
      <c r="A607" s="53" t="s">
        <v>896</v>
      </c>
      <c r="B607" s="53" t="s">
        <v>1515</v>
      </c>
      <c r="C607" s="53" t="s">
        <v>1136</v>
      </c>
      <c r="D607" s="53">
        <v>1</v>
      </c>
      <c r="E607" s="53" t="s">
        <v>1516</v>
      </c>
      <c r="F607" s="53" t="s">
        <v>1442</v>
      </c>
      <c r="G607" s="53" t="s">
        <v>901</v>
      </c>
      <c r="H607" s="53" t="s">
        <v>902</v>
      </c>
      <c r="I607" s="53" t="s">
        <v>656</v>
      </c>
      <c r="J607" s="53" t="s">
        <v>1517</v>
      </c>
    </row>
    <row r="608" spans="1:10" ht="15" customHeight="1" x14ac:dyDescent="0.35">
      <c r="A608" s="53" t="s">
        <v>896</v>
      </c>
      <c r="B608" s="53" t="s">
        <v>1518</v>
      </c>
      <c r="C608" s="53" t="s">
        <v>905</v>
      </c>
      <c r="D608" s="53">
        <v>1</v>
      </c>
      <c r="E608" s="53" t="s">
        <v>1519</v>
      </c>
      <c r="F608" s="53" t="s">
        <v>1442</v>
      </c>
      <c r="G608" s="53" t="s">
        <v>901</v>
      </c>
      <c r="H608" s="53" t="s">
        <v>902</v>
      </c>
      <c r="I608" s="53" t="s">
        <v>656</v>
      </c>
      <c r="J608" s="53" t="s">
        <v>1520</v>
      </c>
    </row>
    <row r="609" spans="1:10" ht="15" customHeight="1" x14ac:dyDescent="0.35">
      <c r="A609" s="53" t="s">
        <v>896</v>
      </c>
      <c r="B609" s="53" t="s">
        <v>1521</v>
      </c>
      <c r="C609" s="53" t="s">
        <v>963</v>
      </c>
      <c r="D609" s="53">
        <v>1</v>
      </c>
      <c r="E609" s="53" t="s">
        <v>1522</v>
      </c>
      <c r="F609" s="53" t="s">
        <v>1442</v>
      </c>
      <c r="G609" s="53" t="s">
        <v>901</v>
      </c>
      <c r="H609" s="53" t="s">
        <v>902</v>
      </c>
      <c r="I609" s="53" t="s">
        <v>656</v>
      </c>
      <c r="J609" s="53" t="s">
        <v>1523</v>
      </c>
    </row>
    <row r="610" spans="1:10" ht="15" customHeight="1" x14ac:dyDescent="0.35">
      <c r="A610" s="53" t="s">
        <v>896</v>
      </c>
      <c r="B610" s="53" t="s">
        <v>1524</v>
      </c>
      <c r="C610" s="53" t="s">
        <v>1122</v>
      </c>
      <c r="D610" s="53">
        <v>1</v>
      </c>
      <c r="E610" s="53" t="s">
        <v>1525</v>
      </c>
      <c r="F610" s="53" t="s">
        <v>1442</v>
      </c>
      <c r="G610" s="53" t="s">
        <v>901</v>
      </c>
      <c r="H610" s="53" t="s">
        <v>902</v>
      </c>
      <c r="I610" s="53" t="s">
        <v>656</v>
      </c>
      <c r="J610" s="53" t="s">
        <v>1526</v>
      </c>
    </row>
    <row r="611" spans="1:10" ht="15" customHeight="1" x14ac:dyDescent="0.35">
      <c r="A611" s="53" t="s">
        <v>896</v>
      </c>
      <c r="B611" s="53" t="s">
        <v>1527</v>
      </c>
      <c r="C611" s="53" t="s">
        <v>905</v>
      </c>
      <c r="D611" s="53">
        <v>1</v>
      </c>
      <c r="E611" s="53" t="s">
        <v>1528</v>
      </c>
      <c r="F611" s="53" t="s">
        <v>1442</v>
      </c>
      <c r="G611" s="53" t="s">
        <v>901</v>
      </c>
      <c r="H611" s="53" t="s">
        <v>902</v>
      </c>
      <c r="I611" s="53" t="s">
        <v>656</v>
      </c>
      <c r="J611" s="53" t="s">
        <v>1529</v>
      </c>
    </row>
    <row r="612" spans="1:10" ht="15" customHeight="1" x14ac:dyDescent="0.35">
      <c r="A612" s="53" t="s">
        <v>896</v>
      </c>
      <c r="B612" s="53" t="s">
        <v>1530</v>
      </c>
      <c r="C612" s="53" t="s">
        <v>996</v>
      </c>
      <c r="D612" s="53">
        <v>1</v>
      </c>
      <c r="E612" s="53" t="s">
        <v>1531</v>
      </c>
      <c r="F612" s="53" t="s">
        <v>1442</v>
      </c>
      <c r="G612" s="53" t="s">
        <v>901</v>
      </c>
      <c r="H612" s="53" t="s">
        <v>902</v>
      </c>
      <c r="I612" s="53" t="s">
        <v>656</v>
      </c>
      <c r="J612" s="53" t="s">
        <v>1532</v>
      </c>
    </row>
    <row r="613" spans="1:10" ht="15" customHeight="1" x14ac:dyDescent="0.35">
      <c r="A613" s="53" t="s">
        <v>896</v>
      </c>
      <c r="B613" s="53" t="s">
        <v>1533</v>
      </c>
      <c r="C613" s="53" t="s">
        <v>1299</v>
      </c>
      <c r="D613" s="53">
        <v>1</v>
      </c>
      <c r="E613" s="53" t="s">
        <v>1534</v>
      </c>
      <c r="F613" s="53" t="s">
        <v>1442</v>
      </c>
      <c r="G613" s="53" t="s">
        <v>901</v>
      </c>
      <c r="H613" s="53" t="s">
        <v>902</v>
      </c>
      <c r="I613" s="53" t="s">
        <v>656</v>
      </c>
      <c r="J613" s="53" t="s">
        <v>1535</v>
      </c>
    </row>
    <row r="614" spans="1:10" ht="15" customHeight="1" x14ac:dyDescent="0.35">
      <c r="A614" s="53" t="s">
        <v>896</v>
      </c>
      <c r="B614" s="53" t="s">
        <v>1536</v>
      </c>
      <c r="C614" s="53" t="s">
        <v>1009</v>
      </c>
      <c r="D614" s="53">
        <v>1</v>
      </c>
      <c r="E614" s="53" t="s">
        <v>1537</v>
      </c>
      <c r="F614" s="53" t="s">
        <v>1026</v>
      </c>
      <c r="G614" s="53" t="s">
        <v>901</v>
      </c>
      <c r="H614" s="53" t="s">
        <v>902</v>
      </c>
      <c r="I614" s="53" t="s">
        <v>656</v>
      </c>
      <c r="J614" s="53" t="s">
        <v>1538</v>
      </c>
    </row>
    <row r="615" spans="1:10" ht="15" customHeight="1" x14ac:dyDescent="0.35">
      <c r="A615" s="53" t="s">
        <v>896</v>
      </c>
      <c r="B615" s="53" t="s">
        <v>1539</v>
      </c>
      <c r="C615" s="53" t="s">
        <v>973</v>
      </c>
      <c r="D615" s="53">
        <v>1</v>
      </c>
      <c r="E615" s="53" t="s">
        <v>1540</v>
      </c>
      <c r="F615" s="53" t="s">
        <v>1442</v>
      </c>
      <c r="G615" s="53" t="s">
        <v>901</v>
      </c>
      <c r="H615" s="53" t="s">
        <v>902</v>
      </c>
      <c r="I615" s="53" t="s">
        <v>656</v>
      </c>
      <c r="J615" s="53" t="s">
        <v>1541</v>
      </c>
    </row>
    <row r="616" spans="1:10" ht="15" customHeight="1" x14ac:dyDescent="0.35">
      <c r="A616" s="53" t="s">
        <v>896</v>
      </c>
      <c r="B616" s="53" t="s">
        <v>1542</v>
      </c>
      <c r="C616" s="53" t="s">
        <v>1136</v>
      </c>
      <c r="D616" s="53">
        <v>1</v>
      </c>
      <c r="E616" s="53" t="s">
        <v>1543</v>
      </c>
      <c r="F616" s="53" t="s">
        <v>1442</v>
      </c>
      <c r="G616" s="53" t="s">
        <v>901</v>
      </c>
      <c r="H616" s="53" t="s">
        <v>902</v>
      </c>
      <c r="I616" s="53" t="s">
        <v>656</v>
      </c>
      <c r="J616" s="53" t="s">
        <v>1544</v>
      </c>
    </row>
    <row r="617" spans="1:10" ht="15" customHeight="1" x14ac:dyDescent="0.35">
      <c r="A617" s="53" t="s">
        <v>896</v>
      </c>
      <c r="B617" s="53" t="s">
        <v>1545</v>
      </c>
      <c r="C617" s="53" t="s">
        <v>1084</v>
      </c>
      <c r="D617" s="53">
        <v>1</v>
      </c>
      <c r="E617" s="53" t="s">
        <v>1546</v>
      </c>
      <c r="F617" s="53" t="s">
        <v>1442</v>
      </c>
      <c r="G617" s="53" t="s">
        <v>901</v>
      </c>
      <c r="H617" s="53" t="s">
        <v>902</v>
      </c>
      <c r="I617" s="53" t="s">
        <v>656</v>
      </c>
      <c r="J617" s="53" t="s">
        <v>1547</v>
      </c>
    </row>
    <row r="618" spans="1:10" ht="15" customHeight="1" x14ac:dyDescent="0.35">
      <c r="A618" s="53" t="s">
        <v>896</v>
      </c>
      <c r="B618" s="53" t="s">
        <v>1548</v>
      </c>
      <c r="C618" s="53" t="s">
        <v>1122</v>
      </c>
      <c r="D618" s="53">
        <v>1</v>
      </c>
      <c r="E618" s="53" t="s">
        <v>1549</v>
      </c>
      <c r="F618" s="53" t="s">
        <v>1442</v>
      </c>
      <c r="G618" s="53" t="s">
        <v>901</v>
      </c>
      <c r="H618" s="53" t="s">
        <v>902</v>
      </c>
      <c r="I618" s="53" t="s">
        <v>656</v>
      </c>
      <c r="J618" s="53" t="s">
        <v>1550</v>
      </c>
    </row>
    <row r="619" spans="1:10" ht="15" customHeight="1" x14ac:dyDescent="0.35">
      <c r="A619" s="53" t="s">
        <v>896</v>
      </c>
      <c r="B619" s="53" t="s">
        <v>1551</v>
      </c>
      <c r="C619" s="53" t="s">
        <v>1084</v>
      </c>
      <c r="D619" s="53">
        <v>1</v>
      </c>
      <c r="E619" s="53" t="s">
        <v>1552</v>
      </c>
      <c r="F619" s="53" t="s">
        <v>1442</v>
      </c>
      <c r="G619" s="53" t="s">
        <v>901</v>
      </c>
      <c r="H619" s="53" t="s">
        <v>902</v>
      </c>
      <c r="I619" s="53" t="s">
        <v>656</v>
      </c>
      <c r="J619" s="53" t="s">
        <v>1553</v>
      </c>
    </row>
    <row r="620" spans="1:10" ht="15" customHeight="1" x14ac:dyDescent="0.35">
      <c r="A620" s="53" t="s">
        <v>896</v>
      </c>
      <c r="B620" s="53" t="s">
        <v>1554</v>
      </c>
      <c r="C620" s="53" t="s">
        <v>1077</v>
      </c>
      <c r="D620" s="53">
        <v>1</v>
      </c>
      <c r="E620" s="53" t="s">
        <v>1555</v>
      </c>
      <c r="F620" s="53" t="s">
        <v>1026</v>
      </c>
      <c r="G620" s="53" t="s">
        <v>901</v>
      </c>
      <c r="H620" s="53" t="s">
        <v>902</v>
      </c>
      <c r="I620" s="53" t="s">
        <v>656</v>
      </c>
      <c r="J620" s="53" t="s">
        <v>1556</v>
      </c>
    </row>
    <row r="621" spans="1:10" ht="15" customHeight="1" x14ac:dyDescent="0.35">
      <c r="A621" s="53" t="s">
        <v>896</v>
      </c>
      <c r="B621" s="53" t="s">
        <v>1557</v>
      </c>
      <c r="C621" s="53" t="s">
        <v>1240</v>
      </c>
      <c r="D621" s="53">
        <v>1</v>
      </c>
      <c r="E621" s="53" t="s">
        <v>1558</v>
      </c>
      <c r="F621" s="53" t="s">
        <v>1442</v>
      </c>
      <c r="G621" s="53" t="s">
        <v>901</v>
      </c>
      <c r="H621" s="53" t="s">
        <v>902</v>
      </c>
      <c r="I621" s="53" t="s">
        <v>656</v>
      </c>
      <c r="J621" s="53" t="s">
        <v>1559</v>
      </c>
    </row>
    <row r="622" spans="1:10" ht="15" customHeight="1" x14ac:dyDescent="0.35">
      <c r="A622" s="53" t="s">
        <v>896</v>
      </c>
      <c r="B622" s="53" t="s">
        <v>1560</v>
      </c>
      <c r="C622" s="53" t="s">
        <v>921</v>
      </c>
      <c r="D622" s="53">
        <v>1</v>
      </c>
      <c r="E622" s="53" t="s">
        <v>1561</v>
      </c>
      <c r="F622" s="53" t="s">
        <v>1442</v>
      </c>
      <c r="G622" s="53" t="s">
        <v>901</v>
      </c>
      <c r="H622" s="53" t="s">
        <v>902</v>
      </c>
      <c r="I622" s="53" t="s">
        <v>656</v>
      </c>
      <c r="J622" s="53" t="s">
        <v>1562</v>
      </c>
    </row>
    <row r="623" spans="1:10" ht="15" customHeight="1" x14ac:dyDescent="0.35">
      <c r="A623" s="53" t="s">
        <v>896</v>
      </c>
      <c r="B623" s="53" t="s">
        <v>1563</v>
      </c>
      <c r="C623" s="53" t="s">
        <v>921</v>
      </c>
      <c r="D623" s="53">
        <v>1</v>
      </c>
      <c r="E623" s="53" t="s">
        <v>1564</v>
      </c>
      <c r="F623" s="53" t="s">
        <v>1442</v>
      </c>
      <c r="G623" s="53" t="s">
        <v>901</v>
      </c>
      <c r="H623" s="53" t="s">
        <v>902</v>
      </c>
      <c r="I623" s="53" t="s">
        <v>656</v>
      </c>
      <c r="J623" s="53" t="s">
        <v>1565</v>
      </c>
    </row>
    <row r="624" spans="1:10" ht="15" customHeight="1" x14ac:dyDescent="0.35">
      <c r="A624" s="53" t="s">
        <v>896</v>
      </c>
      <c r="B624" s="53" t="s">
        <v>1566</v>
      </c>
      <c r="C624" s="53" t="s">
        <v>946</v>
      </c>
      <c r="D624" s="53">
        <v>1</v>
      </c>
      <c r="E624" s="53" t="s">
        <v>1567</v>
      </c>
      <c r="F624" s="53" t="s">
        <v>1442</v>
      </c>
      <c r="G624" s="53" t="s">
        <v>901</v>
      </c>
      <c r="H624" s="53" t="s">
        <v>902</v>
      </c>
      <c r="I624" s="53" t="s">
        <v>656</v>
      </c>
      <c r="J624" s="53" t="s">
        <v>1568</v>
      </c>
    </row>
    <row r="625" spans="1:10" ht="15" customHeight="1" x14ac:dyDescent="0.35">
      <c r="A625" s="53" t="s">
        <v>896</v>
      </c>
      <c r="B625" s="53" t="s">
        <v>1569</v>
      </c>
      <c r="C625" s="53" t="s">
        <v>973</v>
      </c>
      <c r="D625" s="53">
        <v>1</v>
      </c>
      <c r="E625" s="53" t="s">
        <v>1570</v>
      </c>
      <c r="F625" s="53" t="s">
        <v>1442</v>
      </c>
      <c r="G625" s="53" t="s">
        <v>901</v>
      </c>
      <c r="H625" s="53" t="s">
        <v>902</v>
      </c>
      <c r="I625" s="53" t="s">
        <v>656</v>
      </c>
      <c r="J625" s="53" t="s">
        <v>1571</v>
      </c>
    </row>
    <row r="626" spans="1:10" ht="15" customHeight="1" x14ac:dyDescent="0.35">
      <c r="A626" s="53" t="s">
        <v>896</v>
      </c>
      <c r="B626" s="53" t="s">
        <v>1572</v>
      </c>
      <c r="C626" s="53" t="s">
        <v>1122</v>
      </c>
      <c r="D626" s="53">
        <v>1</v>
      </c>
      <c r="E626" s="53" t="s">
        <v>1573</v>
      </c>
      <c r="F626" s="53" t="s">
        <v>1442</v>
      </c>
      <c r="G626" s="53" t="s">
        <v>901</v>
      </c>
      <c r="H626" s="53" t="s">
        <v>902</v>
      </c>
      <c r="I626" s="53" t="s">
        <v>656</v>
      </c>
      <c r="J626" s="53" t="s">
        <v>1574</v>
      </c>
    </row>
    <row r="627" spans="1:10" ht="15" customHeight="1" x14ac:dyDescent="0.35">
      <c r="A627" s="53" t="s">
        <v>896</v>
      </c>
      <c r="B627" s="53" t="s">
        <v>1575</v>
      </c>
      <c r="C627" s="53" t="s">
        <v>1077</v>
      </c>
      <c r="D627" s="53">
        <v>1</v>
      </c>
      <c r="E627" s="53" t="s">
        <v>1576</v>
      </c>
      <c r="F627" s="53" t="s">
        <v>1026</v>
      </c>
      <c r="G627" s="53" t="s">
        <v>901</v>
      </c>
      <c r="H627" s="53" t="s">
        <v>902</v>
      </c>
      <c r="I627" s="53" t="s">
        <v>656</v>
      </c>
      <c r="J627" s="53" t="s">
        <v>1577</v>
      </c>
    </row>
    <row r="628" spans="1:10" ht="15" customHeight="1" x14ac:dyDescent="0.35">
      <c r="A628" s="53" t="s">
        <v>896</v>
      </c>
      <c r="B628" s="53" t="s">
        <v>1578</v>
      </c>
      <c r="C628" s="53" t="s">
        <v>898</v>
      </c>
      <c r="D628" s="53">
        <v>1</v>
      </c>
      <c r="E628" s="53" t="s">
        <v>1579</v>
      </c>
      <c r="F628" s="53" t="s">
        <v>1442</v>
      </c>
      <c r="G628" s="53" t="s">
        <v>901</v>
      </c>
      <c r="H628" s="53" t="s">
        <v>902</v>
      </c>
      <c r="I628" s="53" t="s">
        <v>656</v>
      </c>
      <c r="J628" s="53" t="s">
        <v>1580</v>
      </c>
    </row>
    <row r="629" spans="1:10" ht="15" customHeight="1" x14ac:dyDescent="0.35">
      <c r="A629" s="53" t="s">
        <v>896</v>
      </c>
      <c r="B629" s="53" t="s">
        <v>1581</v>
      </c>
      <c r="C629" s="53" t="s">
        <v>1582</v>
      </c>
      <c r="D629" s="53">
        <v>1</v>
      </c>
      <c r="E629" s="53" t="s">
        <v>1583</v>
      </c>
      <c r="F629" s="53" t="s">
        <v>1442</v>
      </c>
      <c r="G629" s="53" t="s">
        <v>901</v>
      </c>
      <c r="H629" s="53" t="s">
        <v>902</v>
      </c>
      <c r="I629" s="53" t="s">
        <v>656</v>
      </c>
      <c r="J629" s="53" t="s">
        <v>1584</v>
      </c>
    </row>
    <row r="630" spans="1:10" ht="15" customHeight="1" x14ac:dyDescent="0.35">
      <c r="A630" s="53" t="s">
        <v>896</v>
      </c>
      <c r="B630" s="53" t="s">
        <v>1585</v>
      </c>
      <c r="C630" s="53" t="s">
        <v>1070</v>
      </c>
      <c r="D630" s="53">
        <v>1</v>
      </c>
      <c r="E630" s="53" t="s">
        <v>1586</v>
      </c>
      <c r="F630" s="53" t="s">
        <v>1442</v>
      </c>
      <c r="G630" s="53" t="s">
        <v>901</v>
      </c>
      <c r="H630" s="53" t="s">
        <v>902</v>
      </c>
      <c r="I630" s="53" t="s">
        <v>656</v>
      </c>
      <c r="J630" s="53" t="s">
        <v>1587</v>
      </c>
    </row>
    <row r="631" spans="1:10" ht="15" customHeight="1" x14ac:dyDescent="0.35">
      <c r="A631" s="53" t="s">
        <v>896</v>
      </c>
      <c r="B631" s="53" t="s">
        <v>1588</v>
      </c>
      <c r="C631" s="53" t="s">
        <v>1136</v>
      </c>
      <c r="D631" s="53">
        <v>1</v>
      </c>
      <c r="E631" s="53" t="s">
        <v>1589</v>
      </c>
      <c r="F631" s="53" t="s">
        <v>1442</v>
      </c>
      <c r="G631" s="53" t="s">
        <v>901</v>
      </c>
      <c r="H631" s="53" t="s">
        <v>902</v>
      </c>
      <c r="I631" s="53" t="s">
        <v>656</v>
      </c>
      <c r="J631" s="53" t="s">
        <v>1590</v>
      </c>
    </row>
    <row r="632" spans="1:10" ht="15" customHeight="1" x14ac:dyDescent="0.35">
      <c r="A632" s="53" t="s">
        <v>896</v>
      </c>
      <c r="B632" s="53" t="s">
        <v>1591</v>
      </c>
      <c r="C632" s="53" t="s">
        <v>929</v>
      </c>
      <c r="D632" s="53">
        <v>1</v>
      </c>
      <c r="E632" s="53" t="s">
        <v>1592</v>
      </c>
      <c r="F632" s="53" t="s">
        <v>1442</v>
      </c>
      <c r="G632" s="53" t="s">
        <v>901</v>
      </c>
      <c r="H632" s="53" t="s">
        <v>902</v>
      </c>
      <c r="I632" s="53" t="s">
        <v>656</v>
      </c>
      <c r="J632" s="53" t="s">
        <v>1593</v>
      </c>
    </row>
    <row r="633" spans="1:10" ht="15" customHeight="1" x14ac:dyDescent="0.35">
      <c r="A633" s="53" t="s">
        <v>896</v>
      </c>
      <c r="B633" s="53" t="s">
        <v>1594</v>
      </c>
      <c r="C633" s="53" t="s">
        <v>909</v>
      </c>
      <c r="D633" s="53">
        <v>1</v>
      </c>
      <c r="E633" s="53" t="s">
        <v>1595</v>
      </c>
      <c r="F633" s="53" t="s">
        <v>1442</v>
      </c>
      <c r="G633" s="53" t="s">
        <v>901</v>
      </c>
      <c r="H633" s="53" t="s">
        <v>902</v>
      </c>
      <c r="I633" s="53" t="s">
        <v>656</v>
      </c>
      <c r="J633" s="53" t="s">
        <v>1596</v>
      </c>
    </row>
    <row r="634" spans="1:10" ht="15" customHeight="1" x14ac:dyDescent="0.35">
      <c r="A634" s="53" t="s">
        <v>896</v>
      </c>
      <c r="B634" s="53" t="s">
        <v>1597</v>
      </c>
      <c r="C634" s="53" t="s">
        <v>1101</v>
      </c>
      <c r="D634" s="53">
        <v>1</v>
      </c>
      <c r="E634" s="53" t="s">
        <v>1598</v>
      </c>
      <c r="F634" s="53" t="s">
        <v>1442</v>
      </c>
      <c r="G634" s="53" t="s">
        <v>901</v>
      </c>
      <c r="H634" s="53" t="s">
        <v>902</v>
      </c>
      <c r="I634" s="53" t="s">
        <v>656</v>
      </c>
      <c r="J634" s="53" t="s">
        <v>1599</v>
      </c>
    </row>
    <row r="635" spans="1:10" ht="15" customHeight="1" x14ac:dyDescent="0.35">
      <c r="A635" s="53" t="s">
        <v>896</v>
      </c>
      <c r="B635" s="53" t="s">
        <v>1600</v>
      </c>
      <c r="C635" s="53" t="s">
        <v>1122</v>
      </c>
      <c r="D635" s="53">
        <v>1</v>
      </c>
      <c r="E635" s="53" t="s">
        <v>1601</v>
      </c>
      <c r="F635" s="53" t="s">
        <v>1442</v>
      </c>
      <c r="G635" s="53" t="s">
        <v>901</v>
      </c>
      <c r="H635" s="53" t="s">
        <v>902</v>
      </c>
      <c r="I635" s="53" t="s">
        <v>656</v>
      </c>
      <c r="J635" s="53" t="s">
        <v>1602</v>
      </c>
    </row>
    <row r="636" spans="1:10" ht="15" customHeight="1" x14ac:dyDescent="0.35">
      <c r="A636" s="53" t="s">
        <v>896</v>
      </c>
      <c r="B636" s="53" t="s">
        <v>1603</v>
      </c>
      <c r="C636" s="53" t="s">
        <v>913</v>
      </c>
      <c r="D636" s="53">
        <v>1</v>
      </c>
      <c r="E636" s="53" t="s">
        <v>1604</v>
      </c>
      <c r="F636" s="53" t="s">
        <v>1442</v>
      </c>
      <c r="G636" s="53" t="s">
        <v>901</v>
      </c>
      <c r="H636" s="53" t="s">
        <v>902</v>
      </c>
      <c r="I636" s="53" t="s">
        <v>656</v>
      </c>
      <c r="J636" s="53" t="s">
        <v>1605</v>
      </c>
    </row>
    <row r="637" spans="1:10" ht="15" customHeight="1" x14ac:dyDescent="0.35">
      <c r="A637" s="53" t="s">
        <v>896</v>
      </c>
      <c r="B637" s="53" t="s">
        <v>1606</v>
      </c>
      <c r="C637" s="53" t="s">
        <v>1077</v>
      </c>
      <c r="D637" s="53">
        <v>1</v>
      </c>
      <c r="E637" s="53" t="s">
        <v>1607</v>
      </c>
      <c r="F637" s="53" t="s">
        <v>1442</v>
      </c>
      <c r="G637" s="53" t="s">
        <v>901</v>
      </c>
      <c r="H637" s="53" t="s">
        <v>902</v>
      </c>
      <c r="I637" s="53" t="s">
        <v>656</v>
      </c>
      <c r="J637" s="53" t="s">
        <v>1608</v>
      </c>
    </row>
    <row r="638" spans="1:10" ht="15" customHeight="1" x14ac:dyDescent="0.35">
      <c r="A638" s="53" t="s">
        <v>896</v>
      </c>
      <c r="B638" s="53" t="s">
        <v>1609</v>
      </c>
      <c r="C638" s="53" t="s">
        <v>1240</v>
      </c>
      <c r="D638" s="53">
        <v>1</v>
      </c>
      <c r="E638" s="53" t="s">
        <v>1610</v>
      </c>
      <c r="F638" s="53" t="s">
        <v>1442</v>
      </c>
      <c r="G638" s="53" t="s">
        <v>901</v>
      </c>
      <c r="H638" s="53" t="s">
        <v>902</v>
      </c>
      <c r="I638" s="53" t="s">
        <v>656</v>
      </c>
      <c r="J638" s="53" t="s">
        <v>1611</v>
      </c>
    </row>
    <row r="639" spans="1:10" ht="15" customHeight="1" x14ac:dyDescent="0.35">
      <c r="A639" s="53" t="s">
        <v>896</v>
      </c>
      <c r="B639" s="53" t="s">
        <v>1612</v>
      </c>
      <c r="C639" s="53" t="s">
        <v>1240</v>
      </c>
      <c r="D639" s="53">
        <v>1</v>
      </c>
      <c r="E639" s="53" t="s">
        <v>1613</v>
      </c>
      <c r="F639" s="53" t="s">
        <v>1442</v>
      </c>
      <c r="G639" s="53" t="s">
        <v>901</v>
      </c>
      <c r="H639" s="53" t="s">
        <v>902</v>
      </c>
      <c r="I639" s="53" t="s">
        <v>656</v>
      </c>
      <c r="J639" s="53" t="s">
        <v>1614</v>
      </c>
    </row>
    <row r="640" spans="1:10" ht="15" customHeight="1" x14ac:dyDescent="0.35">
      <c r="A640" s="53" t="s">
        <v>896</v>
      </c>
      <c r="B640" s="53" t="s">
        <v>1615</v>
      </c>
      <c r="C640" s="53" t="s">
        <v>1157</v>
      </c>
      <c r="D640" s="53">
        <v>1</v>
      </c>
      <c r="E640" s="53" t="s">
        <v>1616</v>
      </c>
      <c r="F640" s="53" t="s">
        <v>1442</v>
      </c>
      <c r="G640" s="53" t="s">
        <v>901</v>
      </c>
      <c r="H640" s="53" t="s">
        <v>902</v>
      </c>
      <c r="I640" s="53" t="s">
        <v>656</v>
      </c>
      <c r="J640" s="53" t="s">
        <v>1617</v>
      </c>
    </row>
    <row r="641" spans="1:10" ht="15" customHeight="1" x14ac:dyDescent="0.35">
      <c r="A641" s="53" t="s">
        <v>896</v>
      </c>
      <c r="B641" s="53" t="s">
        <v>1618</v>
      </c>
      <c r="C641" s="53" t="s">
        <v>1299</v>
      </c>
      <c r="D641" s="53">
        <v>1</v>
      </c>
      <c r="E641" s="53" t="s">
        <v>1619</v>
      </c>
      <c r="F641" s="53" t="s">
        <v>1442</v>
      </c>
      <c r="G641" s="53" t="s">
        <v>901</v>
      </c>
      <c r="H641" s="53" t="s">
        <v>902</v>
      </c>
      <c r="I641" s="53" t="s">
        <v>656</v>
      </c>
      <c r="J641" s="53" t="s">
        <v>1620</v>
      </c>
    </row>
    <row r="642" spans="1:10" ht="15" customHeight="1" x14ac:dyDescent="0.35">
      <c r="A642" s="53" t="s">
        <v>896</v>
      </c>
      <c r="B642" s="53" t="s">
        <v>1621</v>
      </c>
      <c r="C642" s="53" t="s">
        <v>946</v>
      </c>
      <c r="D642" s="53">
        <v>1</v>
      </c>
      <c r="E642" s="53" t="s">
        <v>1622</v>
      </c>
      <c r="F642" s="53" t="s">
        <v>1442</v>
      </c>
      <c r="G642" s="53" t="s">
        <v>901</v>
      </c>
      <c r="H642" s="53" t="s">
        <v>902</v>
      </c>
      <c r="I642" s="53" t="s">
        <v>656</v>
      </c>
      <c r="J642" s="53" t="s">
        <v>1623</v>
      </c>
    </row>
    <row r="643" spans="1:10" ht="15" customHeight="1" x14ac:dyDescent="0.35">
      <c r="A643" s="53" t="s">
        <v>896</v>
      </c>
      <c r="B643" s="53" t="s">
        <v>1624</v>
      </c>
      <c r="C643" s="53" t="s">
        <v>905</v>
      </c>
      <c r="D643" s="53">
        <v>1</v>
      </c>
      <c r="E643" s="53" t="s">
        <v>1625</v>
      </c>
      <c r="F643" s="53" t="s">
        <v>1442</v>
      </c>
      <c r="G643" s="53" t="s">
        <v>901</v>
      </c>
      <c r="H643" s="53" t="s">
        <v>902</v>
      </c>
      <c r="I643" s="53" t="s">
        <v>656</v>
      </c>
      <c r="J643" s="53" t="s">
        <v>1626</v>
      </c>
    </row>
    <row r="644" spans="1:10" ht="15" customHeight="1" x14ac:dyDescent="0.35">
      <c r="A644" s="53" t="s">
        <v>896</v>
      </c>
      <c r="B644" s="53" t="s">
        <v>1627</v>
      </c>
      <c r="C644" s="53" t="s">
        <v>946</v>
      </c>
      <c r="D644" s="53">
        <v>1</v>
      </c>
      <c r="E644" s="53" t="s">
        <v>1628</v>
      </c>
      <c r="F644" s="53" t="s">
        <v>1442</v>
      </c>
      <c r="G644" s="53" t="s">
        <v>901</v>
      </c>
      <c r="H644" s="53" t="s">
        <v>902</v>
      </c>
      <c r="I644" s="53" t="s">
        <v>656</v>
      </c>
      <c r="J644" s="53" t="s">
        <v>1629</v>
      </c>
    </row>
    <row r="645" spans="1:10" ht="15" customHeight="1" x14ac:dyDescent="0.35">
      <c r="A645" s="53" t="s">
        <v>896</v>
      </c>
      <c r="B645" s="53" t="s">
        <v>1630</v>
      </c>
      <c r="C645" s="53" t="s">
        <v>1077</v>
      </c>
      <c r="D645" s="53">
        <v>1</v>
      </c>
      <c r="E645" s="53" t="s">
        <v>1631</v>
      </c>
      <c r="F645" s="53" t="s">
        <v>1442</v>
      </c>
      <c r="G645" s="53" t="s">
        <v>901</v>
      </c>
      <c r="H645" s="53" t="s">
        <v>902</v>
      </c>
      <c r="I645" s="53" t="s">
        <v>656</v>
      </c>
      <c r="J645" s="53" t="s">
        <v>1632</v>
      </c>
    </row>
    <row r="646" spans="1:10" ht="15" customHeight="1" x14ac:dyDescent="0.35">
      <c r="A646" s="53" t="s">
        <v>896</v>
      </c>
      <c r="B646" s="53" t="s">
        <v>1633</v>
      </c>
      <c r="C646" s="53" t="s">
        <v>1240</v>
      </c>
      <c r="D646" s="53">
        <v>1</v>
      </c>
      <c r="E646" s="53" t="s">
        <v>1634</v>
      </c>
      <c r="F646" s="53" t="s">
        <v>1442</v>
      </c>
      <c r="G646" s="53" t="s">
        <v>901</v>
      </c>
      <c r="H646" s="53" t="s">
        <v>902</v>
      </c>
      <c r="I646" s="53" t="s">
        <v>656</v>
      </c>
      <c r="J646" s="53" t="s">
        <v>1635</v>
      </c>
    </row>
    <row r="647" spans="1:10" ht="15" customHeight="1" x14ac:dyDescent="0.35">
      <c r="A647" s="53" t="s">
        <v>896</v>
      </c>
      <c r="B647" s="53" t="s">
        <v>1636</v>
      </c>
      <c r="C647" s="53" t="s">
        <v>1136</v>
      </c>
      <c r="D647" s="53">
        <v>1</v>
      </c>
      <c r="E647" s="53" t="s">
        <v>1637</v>
      </c>
      <c r="F647" s="53" t="s">
        <v>1442</v>
      </c>
      <c r="G647" s="53" t="s">
        <v>901</v>
      </c>
      <c r="H647" s="53" t="s">
        <v>902</v>
      </c>
      <c r="I647" s="53" t="s">
        <v>656</v>
      </c>
      <c r="J647" s="53" t="s">
        <v>1638</v>
      </c>
    </row>
    <row r="648" spans="1:10" ht="15" customHeight="1" x14ac:dyDescent="0.35">
      <c r="A648" s="53" t="s">
        <v>896</v>
      </c>
      <c r="B648" s="53" t="s">
        <v>1639</v>
      </c>
      <c r="C648" s="53" t="s">
        <v>921</v>
      </c>
      <c r="D648" s="53">
        <v>1</v>
      </c>
      <c r="E648" s="53" t="s">
        <v>1640</v>
      </c>
      <c r="F648" s="53" t="s">
        <v>1442</v>
      </c>
      <c r="G648" s="53" t="s">
        <v>901</v>
      </c>
      <c r="H648" s="53" t="s">
        <v>902</v>
      </c>
      <c r="I648" s="53" t="s">
        <v>656</v>
      </c>
      <c r="J648" s="53" t="s">
        <v>1641</v>
      </c>
    </row>
    <row r="649" spans="1:10" ht="15" customHeight="1" x14ac:dyDescent="0.35">
      <c r="A649" s="53" t="s">
        <v>896</v>
      </c>
      <c r="B649" s="53" t="s">
        <v>1642</v>
      </c>
      <c r="C649" s="53" t="s">
        <v>1240</v>
      </c>
      <c r="D649" s="53">
        <v>1</v>
      </c>
      <c r="E649" s="53" t="s">
        <v>1643</v>
      </c>
      <c r="F649" s="53" t="s">
        <v>1442</v>
      </c>
      <c r="G649" s="53" t="s">
        <v>901</v>
      </c>
      <c r="H649" s="53" t="s">
        <v>902</v>
      </c>
      <c r="I649" s="53" t="s">
        <v>656</v>
      </c>
      <c r="J649" s="53" t="s">
        <v>1644</v>
      </c>
    </row>
    <row r="650" spans="1:10" ht="15" customHeight="1" x14ac:dyDescent="0.35">
      <c r="A650" s="53" t="s">
        <v>896</v>
      </c>
      <c r="B650" s="53" t="s">
        <v>1645</v>
      </c>
      <c r="C650" s="53" t="s">
        <v>1646</v>
      </c>
      <c r="D650" s="53">
        <v>1</v>
      </c>
      <c r="E650" s="53" t="s">
        <v>1647</v>
      </c>
      <c r="F650" s="53" t="s">
        <v>1442</v>
      </c>
      <c r="G650" s="53" t="s">
        <v>901</v>
      </c>
      <c r="H650" s="53" t="s">
        <v>902</v>
      </c>
      <c r="I650" s="53" t="s">
        <v>656</v>
      </c>
      <c r="J650" s="53" t="s">
        <v>1648</v>
      </c>
    </row>
    <row r="651" spans="1:10" ht="15" customHeight="1" x14ac:dyDescent="0.35">
      <c r="A651" s="53" t="s">
        <v>896</v>
      </c>
      <c r="B651" s="53" t="s">
        <v>1649</v>
      </c>
      <c r="C651" s="53" t="s">
        <v>1070</v>
      </c>
      <c r="D651" s="53">
        <v>1</v>
      </c>
      <c r="E651" s="53" t="s">
        <v>1650</v>
      </c>
      <c r="F651" s="53" t="s">
        <v>1442</v>
      </c>
      <c r="G651" s="53" t="s">
        <v>901</v>
      </c>
      <c r="H651" s="53" t="s">
        <v>902</v>
      </c>
      <c r="I651" s="53" t="s">
        <v>656</v>
      </c>
      <c r="J651" s="53" t="s">
        <v>1651</v>
      </c>
    </row>
    <row r="652" spans="1:10" ht="15" customHeight="1" x14ac:dyDescent="0.35">
      <c r="A652" s="53" t="s">
        <v>896</v>
      </c>
      <c r="B652" s="53" t="s">
        <v>1652</v>
      </c>
      <c r="C652" s="53" t="s">
        <v>946</v>
      </c>
      <c r="D652" s="53">
        <v>1</v>
      </c>
      <c r="E652" s="53" t="s">
        <v>1653</v>
      </c>
      <c r="F652" s="53" t="s">
        <v>1442</v>
      </c>
      <c r="G652" s="53" t="s">
        <v>901</v>
      </c>
      <c r="H652" s="53" t="s">
        <v>902</v>
      </c>
      <c r="I652" s="53" t="s">
        <v>656</v>
      </c>
      <c r="J652" s="53" t="s">
        <v>1654</v>
      </c>
    </row>
    <row r="653" spans="1:10" ht="15" customHeight="1" x14ac:dyDescent="0.35">
      <c r="A653" s="53" t="s">
        <v>896</v>
      </c>
      <c r="B653" s="53" t="s">
        <v>1655</v>
      </c>
      <c r="C653" s="53" t="s">
        <v>1077</v>
      </c>
      <c r="D653" s="53">
        <v>1</v>
      </c>
      <c r="E653" s="53" t="s">
        <v>1656</v>
      </c>
      <c r="F653" s="53" t="s">
        <v>1442</v>
      </c>
      <c r="G653" s="53" t="s">
        <v>901</v>
      </c>
      <c r="H653" s="53" t="s">
        <v>902</v>
      </c>
      <c r="I653" s="53" t="s">
        <v>656</v>
      </c>
      <c r="J653" s="53" t="s">
        <v>1657</v>
      </c>
    </row>
    <row r="654" spans="1:10" ht="15" customHeight="1" x14ac:dyDescent="0.35">
      <c r="A654" s="53" t="s">
        <v>896</v>
      </c>
      <c r="B654" s="53" t="s">
        <v>1658</v>
      </c>
      <c r="C654" s="53" t="s">
        <v>1659</v>
      </c>
      <c r="D654" s="53">
        <v>1</v>
      </c>
      <c r="E654" s="53" t="s">
        <v>1660</v>
      </c>
      <c r="F654" s="53" t="s">
        <v>1442</v>
      </c>
      <c r="G654" s="53" t="s">
        <v>901</v>
      </c>
      <c r="H654" s="53" t="s">
        <v>902</v>
      </c>
      <c r="I654" s="53" t="s">
        <v>656</v>
      </c>
      <c r="J654" s="53" t="s">
        <v>1661</v>
      </c>
    </row>
    <row r="655" spans="1:10" ht="15" customHeight="1" x14ac:dyDescent="0.35">
      <c r="A655" s="53" t="s">
        <v>896</v>
      </c>
      <c r="B655" s="53" t="s">
        <v>1662</v>
      </c>
      <c r="C655" s="53" t="s">
        <v>1157</v>
      </c>
      <c r="D655" s="53">
        <v>1</v>
      </c>
      <c r="E655" s="53" t="s">
        <v>1663</v>
      </c>
      <c r="F655" s="53" t="s">
        <v>1442</v>
      </c>
      <c r="G655" s="53" t="s">
        <v>901</v>
      </c>
      <c r="H655" s="53" t="s">
        <v>902</v>
      </c>
      <c r="I655" s="53" t="s">
        <v>656</v>
      </c>
      <c r="J655" s="53" t="s">
        <v>1664</v>
      </c>
    </row>
    <row r="656" spans="1:10" ht="15" customHeight="1" x14ac:dyDescent="0.35">
      <c r="A656" s="53" t="s">
        <v>896</v>
      </c>
      <c r="B656" s="53" t="s">
        <v>1665</v>
      </c>
      <c r="C656" s="53" t="s">
        <v>1240</v>
      </c>
      <c r="D656" s="53">
        <v>1</v>
      </c>
      <c r="E656" s="53" t="s">
        <v>1666</v>
      </c>
      <c r="F656" s="53" t="s">
        <v>1442</v>
      </c>
      <c r="G656" s="53" t="s">
        <v>901</v>
      </c>
      <c r="H656" s="53" t="s">
        <v>902</v>
      </c>
      <c r="I656" s="53" t="s">
        <v>656</v>
      </c>
      <c r="J656" s="53" t="s">
        <v>1667</v>
      </c>
    </row>
    <row r="657" spans="1:10" ht="15" customHeight="1" x14ac:dyDescent="0.35">
      <c r="A657" s="53" t="s">
        <v>896</v>
      </c>
      <c r="B657" s="53" t="s">
        <v>1668</v>
      </c>
      <c r="C657" s="53" t="s">
        <v>959</v>
      </c>
      <c r="D657" s="53">
        <v>1</v>
      </c>
      <c r="E657" s="53" t="s">
        <v>1669</v>
      </c>
      <c r="F657" s="53" t="s">
        <v>1442</v>
      </c>
      <c r="G657" s="53" t="s">
        <v>901</v>
      </c>
      <c r="H657" s="53" t="s">
        <v>902</v>
      </c>
      <c r="I657" s="53" t="s">
        <v>656</v>
      </c>
      <c r="J657" s="53" t="s">
        <v>1670</v>
      </c>
    </row>
    <row r="658" spans="1:10" ht="15" customHeight="1" x14ac:dyDescent="0.35">
      <c r="A658" s="53" t="s">
        <v>896</v>
      </c>
      <c r="B658" s="53" t="s">
        <v>1671</v>
      </c>
      <c r="C658" s="53" t="s">
        <v>1136</v>
      </c>
      <c r="D658" s="53">
        <v>1</v>
      </c>
      <c r="E658" s="53" t="s">
        <v>1672</v>
      </c>
      <c r="F658" s="53" t="s">
        <v>1442</v>
      </c>
      <c r="G658" s="53" t="s">
        <v>901</v>
      </c>
      <c r="H658" s="53" t="s">
        <v>902</v>
      </c>
      <c r="I658" s="53" t="s">
        <v>656</v>
      </c>
      <c r="J658" s="53" t="s">
        <v>1673</v>
      </c>
    </row>
    <row r="659" spans="1:10" ht="15" customHeight="1" x14ac:dyDescent="0.35">
      <c r="A659" s="53" t="s">
        <v>896</v>
      </c>
      <c r="B659" s="53" t="s">
        <v>1674</v>
      </c>
      <c r="C659" s="53" t="s">
        <v>1009</v>
      </c>
      <c r="D659" s="53">
        <v>1</v>
      </c>
      <c r="E659" s="53" t="s">
        <v>1675</v>
      </c>
      <c r="F659" s="53" t="s">
        <v>1442</v>
      </c>
      <c r="G659" s="53" t="s">
        <v>901</v>
      </c>
      <c r="H659" s="53" t="s">
        <v>902</v>
      </c>
      <c r="I659" s="53" t="s">
        <v>656</v>
      </c>
      <c r="J659" s="53" t="s">
        <v>1676</v>
      </c>
    </row>
    <row r="660" spans="1:10" ht="15" customHeight="1" x14ac:dyDescent="0.35">
      <c r="A660" s="53" t="s">
        <v>896</v>
      </c>
      <c r="B660" s="53" t="s">
        <v>1677</v>
      </c>
      <c r="C660" s="53" t="s">
        <v>1077</v>
      </c>
      <c r="D660" s="53">
        <v>1</v>
      </c>
      <c r="E660" s="53" t="s">
        <v>1678</v>
      </c>
      <c r="F660" s="53" t="s">
        <v>1442</v>
      </c>
      <c r="G660" s="53" t="s">
        <v>901</v>
      </c>
      <c r="H660" s="53" t="s">
        <v>902</v>
      </c>
      <c r="I660" s="53" t="s">
        <v>656</v>
      </c>
      <c r="J660" s="53" t="s">
        <v>1679</v>
      </c>
    </row>
    <row r="661" spans="1:10" ht="15" customHeight="1" x14ac:dyDescent="0.35">
      <c r="A661" s="53" t="s">
        <v>896</v>
      </c>
      <c r="B661" s="53" t="s">
        <v>1680</v>
      </c>
      <c r="C661" s="53" t="s">
        <v>1122</v>
      </c>
      <c r="D661" s="53">
        <v>1</v>
      </c>
      <c r="E661" s="53" t="s">
        <v>1681</v>
      </c>
      <c r="F661" s="53" t="s">
        <v>1442</v>
      </c>
      <c r="G661" s="53" t="s">
        <v>901</v>
      </c>
      <c r="H661" s="53" t="s">
        <v>902</v>
      </c>
      <c r="I661" s="53" t="s">
        <v>656</v>
      </c>
      <c r="J661" s="53" t="s">
        <v>1682</v>
      </c>
    </row>
    <row r="662" spans="1:10" ht="15" customHeight="1" x14ac:dyDescent="0.35">
      <c r="A662" s="53" t="s">
        <v>896</v>
      </c>
      <c r="B662" s="53" t="s">
        <v>1683</v>
      </c>
      <c r="C662" s="53" t="s">
        <v>1009</v>
      </c>
      <c r="D662" s="53">
        <v>1</v>
      </c>
      <c r="E662" s="53" t="s">
        <v>1684</v>
      </c>
      <c r="F662" s="53" t="s">
        <v>1442</v>
      </c>
      <c r="G662" s="53" t="s">
        <v>901</v>
      </c>
      <c r="H662" s="53" t="s">
        <v>902</v>
      </c>
      <c r="I662" s="53" t="s">
        <v>656</v>
      </c>
      <c r="J662" s="53" t="s">
        <v>1685</v>
      </c>
    </row>
    <row r="663" spans="1:10" ht="15" customHeight="1" x14ac:dyDescent="0.35">
      <c r="A663" s="53" t="s">
        <v>896</v>
      </c>
      <c r="B663" s="53" t="s">
        <v>1686</v>
      </c>
      <c r="C663" s="53" t="s">
        <v>905</v>
      </c>
      <c r="D663" s="53">
        <v>1</v>
      </c>
      <c r="E663" s="53" t="s">
        <v>1687</v>
      </c>
      <c r="F663" s="53" t="s">
        <v>1442</v>
      </c>
      <c r="G663" s="53" t="s">
        <v>901</v>
      </c>
      <c r="H663" s="53" t="s">
        <v>902</v>
      </c>
      <c r="I663" s="53" t="s">
        <v>656</v>
      </c>
      <c r="J663" s="53" t="s">
        <v>1688</v>
      </c>
    </row>
    <row r="664" spans="1:10" ht="15" customHeight="1" x14ac:dyDescent="0.35">
      <c r="A664" s="53" t="s">
        <v>896</v>
      </c>
      <c r="B664" s="53" t="s">
        <v>1689</v>
      </c>
      <c r="C664" s="53" t="s">
        <v>1690</v>
      </c>
      <c r="D664" s="53">
        <v>1</v>
      </c>
      <c r="E664" s="53" t="s">
        <v>1691</v>
      </c>
      <c r="F664" s="53" t="s">
        <v>1442</v>
      </c>
      <c r="G664" s="53" t="s">
        <v>901</v>
      </c>
      <c r="H664" s="53" t="s">
        <v>902</v>
      </c>
      <c r="I664" s="53" t="s">
        <v>656</v>
      </c>
      <c r="J664" s="53" t="s">
        <v>1692</v>
      </c>
    </row>
    <row r="665" spans="1:10" ht="15" customHeight="1" x14ac:dyDescent="0.35">
      <c r="A665" s="53" t="s">
        <v>896</v>
      </c>
      <c r="B665" s="53" t="s">
        <v>1693</v>
      </c>
      <c r="C665" s="53" t="s">
        <v>1084</v>
      </c>
      <c r="D665" s="53">
        <v>1</v>
      </c>
      <c r="E665" s="53" t="s">
        <v>1694</v>
      </c>
      <c r="F665" s="53" t="s">
        <v>1442</v>
      </c>
      <c r="G665" s="53" t="s">
        <v>901</v>
      </c>
      <c r="H665" s="53" t="s">
        <v>902</v>
      </c>
      <c r="I665" s="53" t="s">
        <v>656</v>
      </c>
      <c r="J665" s="53" t="s">
        <v>1695</v>
      </c>
    </row>
    <row r="666" spans="1:10" ht="15" customHeight="1" x14ac:dyDescent="0.35">
      <c r="A666" s="53" t="s">
        <v>896</v>
      </c>
      <c r="B666" s="53" t="s">
        <v>1696</v>
      </c>
      <c r="C666" s="53" t="s">
        <v>1697</v>
      </c>
      <c r="D666" s="53">
        <v>1</v>
      </c>
      <c r="E666" s="53" t="s">
        <v>1698</v>
      </c>
      <c r="F666" s="53" t="s">
        <v>1442</v>
      </c>
      <c r="G666" s="53" t="s">
        <v>901</v>
      </c>
      <c r="H666" s="53" t="s">
        <v>902</v>
      </c>
      <c r="I666" s="53" t="s">
        <v>656</v>
      </c>
      <c r="J666" s="53" t="s">
        <v>1699</v>
      </c>
    </row>
    <row r="667" spans="1:10" ht="15" customHeight="1" x14ac:dyDescent="0.35">
      <c r="A667" s="53" t="s">
        <v>896</v>
      </c>
      <c r="B667" s="53" t="s">
        <v>1700</v>
      </c>
      <c r="C667" s="53" t="s">
        <v>1299</v>
      </c>
      <c r="D667" s="53">
        <v>1</v>
      </c>
      <c r="E667" s="53" t="s">
        <v>1701</v>
      </c>
      <c r="F667" s="53" t="s">
        <v>1442</v>
      </c>
      <c r="G667" s="53" t="s">
        <v>901</v>
      </c>
      <c r="H667" s="53" t="s">
        <v>902</v>
      </c>
      <c r="I667" s="53" t="s">
        <v>656</v>
      </c>
      <c r="J667" s="53" t="s">
        <v>1702</v>
      </c>
    </row>
    <row r="668" spans="1:10" ht="15" customHeight="1" x14ac:dyDescent="0.35">
      <c r="A668" s="53" t="s">
        <v>896</v>
      </c>
      <c r="B668" s="53" t="s">
        <v>1703</v>
      </c>
      <c r="C668" s="53" t="s">
        <v>1122</v>
      </c>
      <c r="D668" s="53">
        <v>1</v>
      </c>
      <c r="E668" s="53" t="s">
        <v>1704</v>
      </c>
      <c r="F668" s="53" t="s">
        <v>1442</v>
      </c>
      <c r="G668" s="53" t="s">
        <v>901</v>
      </c>
      <c r="H668" s="53" t="s">
        <v>902</v>
      </c>
      <c r="I668" s="53" t="s">
        <v>656</v>
      </c>
      <c r="J668" s="53" t="s">
        <v>1705</v>
      </c>
    </row>
    <row r="669" spans="1:10" ht="15" customHeight="1" x14ac:dyDescent="0.35">
      <c r="A669" s="53" t="s">
        <v>896</v>
      </c>
      <c r="B669" s="53" t="s">
        <v>1706</v>
      </c>
      <c r="C669" s="53" t="s">
        <v>1136</v>
      </c>
      <c r="D669" s="53">
        <v>1</v>
      </c>
      <c r="E669" s="53" t="s">
        <v>1707</v>
      </c>
      <c r="F669" s="53" t="s">
        <v>1442</v>
      </c>
      <c r="G669" s="53" t="s">
        <v>901</v>
      </c>
      <c r="H669" s="53" t="s">
        <v>902</v>
      </c>
      <c r="I669" s="53" t="s">
        <v>656</v>
      </c>
      <c r="J669" s="53" t="s">
        <v>1708</v>
      </c>
    </row>
    <row r="670" spans="1:10" ht="15" customHeight="1" x14ac:dyDescent="0.35">
      <c r="A670" s="53" t="s">
        <v>896</v>
      </c>
      <c r="B670" s="53" t="s">
        <v>1709</v>
      </c>
      <c r="C670" s="53" t="s">
        <v>1122</v>
      </c>
      <c r="D670" s="53">
        <v>1</v>
      </c>
      <c r="E670" s="53" t="s">
        <v>1710</v>
      </c>
      <c r="F670" s="53" t="s">
        <v>1442</v>
      </c>
      <c r="G670" s="53" t="s">
        <v>901</v>
      </c>
      <c r="H670" s="53" t="s">
        <v>902</v>
      </c>
      <c r="I670" s="53" t="s">
        <v>656</v>
      </c>
      <c r="J670" s="53" t="s">
        <v>1711</v>
      </c>
    </row>
    <row r="671" spans="1:10" ht="15" customHeight="1" x14ac:dyDescent="0.35">
      <c r="A671" s="53" t="s">
        <v>896</v>
      </c>
      <c r="B671" s="53" t="s">
        <v>1712</v>
      </c>
      <c r="C671" s="53" t="s">
        <v>1659</v>
      </c>
      <c r="D671" s="53">
        <v>1</v>
      </c>
      <c r="E671" s="53" t="s">
        <v>1713</v>
      </c>
      <c r="F671" s="53" t="s">
        <v>1442</v>
      </c>
      <c r="G671" s="53" t="s">
        <v>901</v>
      </c>
      <c r="H671" s="53" t="s">
        <v>902</v>
      </c>
      <c r="I671" s="53" t="s">
        <v>656</v>
      </c>
      <c r="J671" s="53" t="s">
        <v>1714</v>
      </c>
    </row>
    <row r="672" spans="1:10" ht="15" customHeight="1" x14ac:dyDescent="0.35">
      <c r="A672" s="53" t="s">
        <v>896</v>
      </c>
      <c r="B672" s="53" t="s">
        <v>1715</v>
      </c>
      <c r="C672" s="53" t="s">
        <v>959</v>
      </c>
      <c r="D672" s="53">
        <v>1</v>
      </c>
      <c r="E672" s="53" t="s">
        <v>1716</v>
      </c>
      <c r="F672" s="53" t="s">
        <v>1442</v>
      </c>
      <c r="G672" s="53" t="s">
        <v>901</v>
      </c>
      <c r="H672" s="53" t="s">
        <v>902</v>
      </c>
      <c r="I672" s="53" t="s">
        <v>656</v>
      </c>
      <c r="J672" s="53" t="s">
        <v>1717</v>
      </c>
    </row>
    <row r="673" spans="1:10" ht="15" customHeight="1" x14ac:dyDescent="0.35">
      <c r="A673" s="53" t="s">
        <v>896</v>
      </c>
      <c r="B673" s="53" t="s">
        <v>1718</v>
      </c>
      <c r="C673" s="53" t="s">
        <v>1122</v>
      </c>
      <c r="D673" s="53">
        <v>1</v>
      </c>
      <c r="E673" s="53" t="s">
        <v>1719</v>
      </c>
      <c r="F673" s="53" t="s">
        <v>1442</v>
      </c>
      <c r="G673" s="53" t="s">
        <v>901</v>
      </c>
      <c r="H673" s="53" t="s">
        <v>902</v>
      </c>
      <c r="I673" s="53" t="s">
        <v>656</v>
      </c>
      <c r="J673" s="53" t="s">
        <v>1720</v>
      </c>
    </row>
    <row r="674" spans="1:10" ht="15" customHeight="1" x14ac:dyDescent="0.35">
      <c r="A674" s="53" t="s">
        <v>896</v>
      </c>
      <c r="B674" s="53" t="s">
        <v>1721</v>
      </c>
      <c r="C674" s="53" t="s">
        <v>963</v>
      </c>
      <c r="D674" s="53">
        <v>1</v>
      </c>
      <c r="E674" s="53" t="s">
        <v>1722</v>
      </c>
      <c r="F674" s="53" t="s">
        <v>1442</v>
      </c>
      <c r="G674" s="53" t="s">
        <v>901</v>
      </c>
      <c r="H674" s="53" t="s">
        <v>902</v>
      </c>
      <c r="I674" s="53" t="s">
        <v>656</v>
      </c>
      <c r="J674" s="53" t="s">
        <v>1723</v>
      </c>
    </row>
    <row r="675" spans="1:10" ht="15" customHeight="1" x14ac:dyDescent="0.35">
      <c r="A675" s="53" t="s">
        <v>896</v>
      </c>
      <c r="B675" s="53" t="s">
        <v>1724</v>
      </c>
      <c r="C675" s="53" t="s">
        <v>1077</v>
      </c>
      <c r="D675" s="53">
        <v>1</v>
      </c>
      <c r="E675" s="53" t="s">
        <v>1725</v>
      </c>
      <c r="F675" s="53" t="s">
        <v>1442</v>
      </c>
      <c r="G675" s="53" t="s">
        <v>901</v>
      </c>
      <c r="H675" s="53" t="s">
        <v>902</v>
      </c>
      <c r="I675" s="53" t="s">
        <v>656</v>
      </c>
      <c r="J675" s="53" t="s">
        <v>1726</v>
      </c>
    </row>
    <row r="676" spans="1:10" ht="15" customHeight="1" x14ac:dyDescent="0.35">
      <c r="A676" s="53" t="s">
        <v>896</v>
      </c>
      <c r="B676" s="53" t="s">
        <v>1727</v>
      </c>
      <c r="C676" s="53" t="s">
        <v>946</v>
      </c>
      <c r="D676" s="53">
        <v>1</v>
      </c>
      <c r="E676" s="53" t="s">
        <v>1728</v>
      </c>
      <c r="F676" s="53" t="s">
        <v>1442</v>
      </c>
      <c r="G676" s="53" t="s">
        <v>901</v>
      </c>
      <c r="H676" s="53" t="s">
        <v>902</v>
      </c>
      <c r="I676" s="53" t="s">
        <v>656</v>
      </c>
      <c r="J676" s="53" t="s">
        <v>1729</v>
      </c>
    </row>
    <row r="677" spans="1:10" ht="15" customHeight="1" x14ac:dyDescent="0.35">
      <c r="A677" s="53" t="s">
        <v>896</v>
      </c>
      <c r="B677" s="53" t="s">
        <v>1730</v>
      </c>
      <c r="C677" s="53" t="s">
        <v>1731</v>
      </c>
      <c r="D677" s="53">
        <v>1</v>
      </c>
      <c r="E677" s="53" t="s">
        <v>1732</v>
      </c>
      <c r="F677" s="53" t="s">
        <v>1442</v>
      </c>
      <c r="G677" s="53" t="s">
        <v>901</v>
      </c>
      <c r="H677" s="53" t="s">
        <v>902</v>
      </c>
      <c r="I677" s="53" t="s">
        <v>656</v>
      </c>
      <c r="J677" s="53" t="s">
        <v>1733</v>
      </c>
    </row>
    <row r="678" spans="1:10" ht="15" customHeight="1" x14ac:dyDescent="0.35">
      <c r="A678" s="53" t="s">
        <v>896</v>
      </c>
      <c r="B678" s="53" t="s">
        <v>1734</v>
      </c>
      <c r="C678" s="53" t="s">
        <v>946</v>
      </c>
      <c r="D678" s="53">
        <v>1</v>
      </c>
      <c r="E678" s="53" t="s">
        <v>1735</v>
      </c>
      <c r="F678" s="53" t="s">
        <v>1442</v>
      </c>
      <c r="G678" s="53" t="s">
        <v>901</v>
      </c>
      <c r="H678" s="53" t="s">
        <v>902</v>
      </c>
      <c r="I678" s="53" t="s">
        <v>656</v>
      </c>
      <c r="J678" s="53" t="s">
        <v>1736</v>
      </c>
    </row>
    <row r="679" spans="1:10" ht="15" customHeight="1" x14ac:dyDescent="0.35">
      <c r="A679" s="53" t="s">
        <v>896</v>
      </c>
      <c r="B679" s="53" t="s">
        <v>1737</v>
      </c>
      <c r="C679" s="53" t="s">
        <v>1122</v>
      </c>
      <c r="D679" s="53">
        <v>1</v>
      </c>
      <c r="E679" s="53" t="s">
        <v>1738</v>
      </c>
      <c r="F679" s="53" t="s">
        <v>1442</v>
      </c>
      <c r="G679" s="53" t="s">
        <v>901</v>
      </c>
      <c r="H679" s="53" t="s">
        <v>902</v>
      </c>
      <c r="I679" s="53" t="s">
        <v>656</v>
      </c>
      <c r="J679" s="53" t="s">
        <v>1739</v>
      </c>
    </row>
    <row r="680" spans="1:10" ht="15" customHeight="1" x14ac:dyDescent="0.35">
      <c r="A680" s="53" t="s">
        <v>896</v>
      </c>
      <c r="B680" s="53" t="s">
        <v>1740</v>
      </c>
      <c r="C680" s="53" t="s">
        <v>1009</v>
      </c>
      <c r="D680" s="53">
        <v>1</v>
      </c>
      <c r="E680" s="53" t="s">
        <v>1741</v>
      </c>
      <c r="F680" s="53" t="s">
        <v>1442</v>
      </c>
      <c r="G680" s="53" t="s">
        <v>901</v>
      </c>
      <c r="H680" s="53" t="s">
        <v>902</v>
      </c>
      <c r="I680" s="53" t="s">
        <v>656</v>
      </c>
      <c r="J680" s="53" t="s">
        <v>1742</v>
      </c>
    </row>
    <row r="681" spans="1:10" ht="15" customHeight="1" x14ac:dyDescent="0.35">
      <c r="A681" s="53" t="s">
        <v>896</v>
      </c>
      <c r="B681" s="53" t="s">
        <v>1743</v>
      </c>
      <c r="C681" s="53" t="s">
        <v>1697</v>
      </c>
      <c r="D681" s="53">
        <v>1</v>
      </c>
      <c r="E681" s="53" t="s">
        <v>1744</v>
      </c>
      <c r="F681" s="53" t="s">
        <v>1442</v>
      </c>
      <c r="G681" s="53" t="s">
        <v>901</v>
      </c>
      <c r="H681" s="53" t="s">
        <v>902</v>
      </c>
      <c r="I681" s="53" t="s">
        <v>656</v>
      </c>
      <c r="J681" s="53" t="s">
        <v>1745</v>
      </c>
    </row>
    <row r="682" spans="1:10" ht="15" customHeight="1" x14ac:dyDescent="0.35">
      <c r="A682" s="53" t="s">
        <v>896</v>
      </c>
      <c r="B682" s="53" t="s">
        <v>1746</v>
      </c>
      <c r="C682" s="53" t="s">
        <v>1122</v>
      </c>
      <c r="D682" s="53">
        <v>1</v>
      </c>
      <c r="E682" s="53" t="s">
        <v>1747</v>
      </c>
      <c r="F682" s="53" t="s">
        <v>1442</v>
      </c>
      <c r="G682" s="53" t="s">
        <v>901</v>
      </c>
      <c r="H682" s="53" t="s">
        <v>902</v>
      </c>
      <c r="I682" s="53" t="s">
        <v>656</v>
      </c>
      <c r="J682" s="53" t="s">
        <v>1748</v>
      </c>
    </row>
    <row r="683" spans="1:10" ht="15" customHeight="1" x14ac:dyDescent="0.35">
      <c r="A683" s="53" t="s">
        <v>896</v>
      </c>
      <c r="B683" s="53" t="s">
        <v>1749</v>
      </c>
      <c r="C683" s="53" t="s">
        <v>946</v>
      </c>
      <c r="D683" s="53">
        <v>1</v>
      </c>
      <c r="E683" s="53" t="s">
        <v>1750</v>
      </c>
      <c r="F683" s="53" t="s">
        <v>1442</v>
      </c>
      <c r="G683" s="53" t="s">
        <v>901</v>
      </c>
      <c r="H683" s="53" t="s">
        <v>902</v>
      </c>
      <c r="I683" s="53" t="s">
        <v>656</v>
      </c>
      <c r="J683" s="53" t="s">
        <v>1751</v>
      </c>
    </row>
    <row r="684" spans="1:10" ht="15" customHeight="1" x14ac:dyDescent="0.35">
      <c r="A684" s="53" t="s">
        <v>896</v>
      </c>
      <c r="B684" s="53" t="s">
        <v>1752</v>
      </c>
      <c r="C684" s="53" t="s">
        <v>1129</v>
      </c>
      <c r="D684" s="53">
        <v>1</v>
      </c>
      <c r="E684" s="53" t="s">
        <v>1753</v>
      </c>
      <c r="F684" s="53" t="s">
        <v>1442</v>
      </c>
      <c r="G684" s="53" t="s">
        <v>901</v>
      </c>
      <c r="H684" s="53" t="s">
        <v>902</v>
      </c>
      <c r="I684" s="53" t="s">
        <v>656</v>
      </c>
      <c r="J684" s="53" t="s">
        <v>1754</v>
      </c>
    </row>
    <row r="685" spans="1:10" ht="15" customHeight="1" x14ac:dyDescent="0.35">
      <c r="A685" s="53" t="s">
        <v>896</v>
      </c>
      <c r="B685" s="53" t="s">
        <v>1755</v>
      </c>
      <c r="C685" s="53" t="s">
        <v>1136</v>
      </c>
      <c r="D685" s="53">
        <v>1</v>
      </c>
      <c r="E685" s="53" t="s">
        <v>1756</v>
      </c>
      <c r="F685" s="53" t="s">
        <v>1442</v>
      </c>
      <c r="G685" s="53" t="s">
        <v>901</v>
      </c>
      <c r="H685" s="53" t="s">
        <v>902</v>
      </c>
      <c r="I685" s="53" t="s">
        <v>656</v>
      </c>
      <c r="J685" s="53" t="s">
        <v>1757</v>
      </c>
    </row>
    <row r="686" spans="1:10" ht="15" customHeight="1" x14ac:dyDescent="0.35">
      <c r="A686" s="53" t="s">
        <v>896</v>
      </c>
      <c r="B686" s="53" t="s">
        <v>1758</v>
      </c>
      <c r="C686" s="53" t="s">
        <v>1101</v>
      </c>
      <c r="D686" s="53">
        <v>1</v>
      </c>
      <c r="E686" s="53" t="s">
        <v>1759</v>
      </c>
      <c r="F686" s="53" t="s">
        <v>1442</v>
      </c>
      <c r="G686" s="53" t="s">
        <v>901</v>
      </c>
      <c r="H686" s="53" t="s">
        <v>902</v>
      </c>
      <c r="I686" s="53" t="s">
        <v>656</v>
      </c>
      <c r="J686" s="53" t="s">
        <v>1760</v>
      </c>
    </row>
    <row r="687" spans="1:10" ht="15" customHeight="1" x14ac:dyDescent="0.35">
      <c r="A687" s="53" t="s">
        <v>896</v>
      </c>
      <c r="B687" s="53" t="s">
        <v>1761</v>
      </c>
      <c r="C687" s="53" t="s">
        <v>898</v>
      </c>
      <c r="D687" s="53">
        <v>1</v>
      </c>
      <c r="E687" s="53" t="s">
        <v>1762</v>
      </c>
      <c r="F687" s="53" t="s">
        <v>1442</v>
      </c>
      <c r="G687" s="53" t="s">
        <v>901</v>
      </c>
      <c r="H687" s="53" t="s">
        <v>902</v>
      </c>
      <c r="I687" s="53" t="s">
        <v>656</v>
      </c>
      <c r="J687" s="53" t="s">
        <v>1763</v>
      </c>
    </row>
    <row r="688" spans="1:10" ht="15" customHeight="1" x14ac:dyDescent="0.35">
      <c r="A688" s="53" t="s">
        <v>896</v>
      </c>
      <c r="B688" s="53" t="s">
        <v>1764</v>
      </c>
      <c r="C688" s="53" t="s">
        <v>905</v>
      </c>
      <c r="D688" s="53">
        <v>1</v>
      </c>
      <c r="E688" s="53" t="s">
        <v>1765</v>
      </c>
      <c r="F688" s="53" t="s">
        <v>1442</v>
      </c>
      <c r="G688" s="53" t="s">
        <v>901</v>
      </c>
      <c r="H688" s="53" t="s">
        <v>902</v>
      </c>
      <c r="I688" s="53" t="s">
        <v>656</v>
      </c>
      <c r="J688" s="53" t="s">
        <v>1766</v>
      </c>
    </row>
    <row r="689" spans="1:10" ht="15" customHeight="1" x14ac:dyDescent="0.35">
      <c r="A689" s="53" t="s">
        <v>896</v>
      </c>
      <c r="B689" s="53" t="s">
        <v>1767</v>
      </c>
      <c r="C689" s="53" t="s">
        <v>1768</v>
      </c>
      <c r="D689" s="53">
        <v>1</v>
      </c>
      <c r="E689" s="53" t="s">
        <v>1769</v>
      </c>
      <c r="F689" s="53" t="s">
        <v>1442</v>
      </c>
      <c r="G689" s="53" t="s">
        <v>901</v>
      </c>
      <c r="H689" s="53" t="s">
        <v>902</v>
      </c>
      <c r="I689" s="53" t="s">
        <v>656</v>
      </c>
      <c r="J689" s="53" t="s">
        <v>1770</v>
      </c>
    </row>
    <row r="690" spans="1:10" ht="15" customHeight="1" x14ac:dyDescent="0.35">
      <c r="A690" s="53" t="s">
        <v>896</v>
      </c>
      <c r="B690" s="53" t="s">
        <v>1771</v>
      </c>
      <c r="C690" s="53" t="s">
        <v>905</v>
      </c>
      <c r="D690" s="53">
        <v>1</v>
      </c>
      <c r="E690" s="53" t="s">
        <v>1772</v>
      </c>
      <c r="F690" s="53" t="s">
        <v>1442</v>
      </c>
      <c r="G690" s="53" t="s">
        <v>901</v>
      </c>
      <c r="H690" s="53" t="s">
        <v>902</v>
      </c>
      <c r="I690" s="53" t="s">
        <v>656</v>
      </c>
      <c r="J690" s="53" t="s">
        <v>1773</v>
      </c>
    </row>
    <row r="691" spans="1:10" ht="15" customHeight="1" x14ac:dyDescent="0.35">
      <c r="A691" s="53" t="s">
        <v>896</v>
      </c>
      <c r="B691" s="53" t="s">
        <v>1774</v>
      </c>
      <c r="C691" s="53" t="s">
        <v>1646</v>
      </c>
      <c r="D691" s="53">
        <v>1</v>
      </c>
      <c r="E691" s="53" t="s">
        <v>1775</v>
      </c>
      <c r="F691" s="53" t="s">
        <v>1442</v>
      </c>
      <c r="G691" s="53" t="s">
        <v>901</v>
      </c>
      <c r="H691" s="53" t="s">
        <v>902</v>
      </c>
      <c r="I691" s="53" t="s">
        <v>656</v>
      </c>
      <c r="J691" s="53" t="s">
        <v>1776</v>
      </c>
    </row>
    <row r="692" spans="1:10" ht="15" customHeight="1" x14ac:dyDescent="0.35">
      <c r="A692" s="53" t="s">
        <v>896</v>
      </c>
      <c r="B692" s="53" t="s">
        <v>1777</v>
      </c>
      <c r="C692" s="53" t="s">
        <v>1136</v>
      </c>
      <c r="D692" s="53">
        <v>1</v>
      </c>
      <c r="E692" s="53" t="s">
        <v>1778</v>
      </c>
      <c r="F692" s="53" t="s">
        <v>1442</v>
      </c>
      <c r="G692" s="53" t="s">
        <v>901</v>
      </c>
      <c r="H692" s="53" t="s">
        <v>902</v>
      </c>
      <c r="I692" s="53" t="s">
        <v>656</v>
      </c>
      <c r="J692" s="53" t="s">
        <v>1779</v>
      </c>
    </row>
    <row r="693" spans="1:10" ht="15" customHeight="1" x14ac:dyDescent="0.35">
      <c r="A693" s="53" t="s">
        <v>896</v>
      </c>
      <c r="B693" s="53" t="s">
        <v>1780</v>
      </c>
      <c r="C693" s="53" t="s">
        <v>963</v>
      </c>
      <c r="D693" s="53">
        <v>1</v>
      </c>
      <c r="E693" s="53" t="s">
        <v>1781</v>
      </c>
      <c r="F693" s="53" t="s">
        <v>1442</v>
      </c>
      <c r="G693" s="53" t="s">
        <v>901</v>
      </c>
      <c r="H693" s="53" t="s">
        <v>902</v>
      </c>
      <c r="I693" s="53" t="s">
        <v>656</v>
      </c>
      <c r="J693" s="53" t="s">
        <v>1782</v>
      </c>
    </row>
    <row r="694" spans="1:10" ht="15" customHeight="1" x14ac:dyDescent="0.35">
      <c r="A694" s="53" t="s">
        <v>896</v>
      </c>
      <c r="B694" s="53" t="s">
        <v>1783</v>
      </c>
      <c r="C694" s="53" t="s">
        <v>1490</v>
      </c>
      <c r="D694" s="53">
        <v>1</v>
      </c>
      <c r="E694" s="53" t="s">
        <v>1784</v>
      </c>
      <c r="F694" s="53" t="s">
        <v>1442</v>
      </c>
      <c r="G694" s="53" t="s">
        <v>901</v>
      </c>
      <c r="H694" s="53" t="s">
        <v>902</v>
      </c>
      <c r="I694" s="53" t="s">
        <v>656</v>
      </c>
      <c r="J694" s="53" t="s">
        <v>1785</v>
      </c>
    </row>
    <row r="695" spans="1:10" ht="15" customHeight="1" x14ac:dyDescent="0.35">
      <c r="A695" s="53" t="s">
        <v>896</v>
      </c>
      <c r="B695" s="53" t="s">
        <v>1786</v>
      </c>
      <c r="C695" s="53" t="s">
        <v>1077</v>
      </c>
      <c r="D695" s="53">
        <v>1</v>
      </c>
      <c r="E695" s="53" t="s">
        <v>1787</v>
      </c>
      <c r="F695" s="53" t="s">
        <v>1026</v>
      </c>
      <c r="G695" s="53" t="s">
        <v>901</v>
      </c>
      <c r="H695" s="53" t="s">
        <v>902</v>
      </c>
      <c r="I695" s="53" t="s">
        <v>656</v>
      </c>
      <c r="J695" s="53" t="s">
        <v>1788</v>
      </c>
    </row>
    <row r="696" spans="1:10" ht="15" customHeight="1" x14ac:dyDescent="0.35">
      <c r="A696" s="53" t="s">
        <v>896</v>
      </c>
      <c r="B696" s="53" t="s">
        <v>1789</v>
      </c>
      <c r="C696" s="53" t="s">
        <v>909</v>
      </c>
      <c r="D696" s="53">
        <v>1</v>
      </c>
      <c r="E696" s="53" t="s">
        <v>1790</v>
      </c>
      <c r="F696" s="53" t="s">
        <v>1442</v>
      </c>
      <c r="G696" s="53" t="s">
        <v>901</v>
      </c>
      <c r="H696" s="53" t="s">
        <v>902</v>
      </c>
      <c r="I696" s="53" t="s">
        <v>656</v>
      </c>
      <c r="J696" s="53" t="s">
        <v>1791</v>
      </c>
    </row>
    <row r="697" spans="1:10" ht="15" customHeight="1" x14ac:dyDescent="0.35">
      <c r="A697" s="53" t="s">
        <v>896</v>
      </c>
      <c r="B697" s="53" t="s">
        <v>1792</v>
      </c>
      <c r="C697" s="53" t="s">
        <v>1101</v>
      </c>
      <c r="D697" s="53">
        <v>1</v>
      </c>
      <c r="E697" s="53" t="s">
        <v>1793</v>
      </c>
      <c r="F697" s="53" t="s">
        <v>1442</v>
      </c>
      <c r="G697" s="53" t="s">
        <v>901</v>
      </c>
      <c r="H697" s="53" t="s">
        <v>902</v>
      </c>
      <c r="I697" s="53" t="s">
        <v>656</v>
      </c>
      <c r="J697" s="53" t="s">
        <v>1794</v>
      </c>
    </row>
    <row r="698" spans="1:10" ht="15" customHeight="1" x14ac:dyDescent="0.35">
      <c r="A698" s="53" t="s">
        <v>896</v>
      </c>
      <c r="B698" s="53" t="s">
        <v>1795</v>
      </c>
      <c r="C698" s="53" t="s">
        <v>925</v>
      </c>
      <c r="D698" s="53">
        <v>1</v>
      </c>
      <c r="E698" s="53" t="s">
        <v>1796</v>
      </c>
      <c r="F698" s="53" t="s">
        <v>1442</v>
      </c>
      <c r="G698" s="53" t="s">
        <v>901</v>
      </c>
      <c r="H698" s="53" t="s">
        <v>902</v>
      </c>
      <c r="I698" s="53" t="s">
        <v>656</v>
      </c>
      <c r="J698" s="53" t="s">
        <v>1797</v>
      </c>
    </row>
    <row r="699" spans="1:10" ht="15" customHeight="1" x14ac:dyDescent="0.35">
      <c r="A699" s="53" t="s">
        <v>896</v>
      </c>
      <c r="B699" s="53" t="s">
        <v>1798</v>
      </c>
      <c r="C699" s="53" t="s">
        <v>905</v>
      </c>
      <c r="D699" s="53">
        <v>1</v>
      </c>
      <c r="E699" s="53" t="s">
        <v>1799</v>
      </c>
      <c r="F699" s="53" t="s">
        <v>1442</v>
      </c>
      <c r="G699" s="53" t="s">
        <v>901</v>
      </c>
      <c r="H699" s="53" t="s">
        <v>902</v>
      </c>
      <c r="I699" s="53" t="s">
        <v>656</v>
      </c>
      <c r="J699" s="53" t="s">
        <v>1800</v>
      </c>
    </row>
    <row r="700" spans="1:10" ht="15" customHeight="1" x14ac:dyDescent="0.35">
      <c r="A700" s="53" t="s">
        <v>896</v>
      </c>
      <c r="B700" s="53" t="s">
        <v>1801</v>
      </c>
      <c r="C700" s="53" t="s">
        <v>1009</v>
      </c>
      <c r="D700" s="53">
        <v>1</v>
      </c>
      <c r="E700" s="53" t="s">
        <v>1802</v>
      </c>
      <c r="F700" s="53" t="s">
        <v>1442</v>
      </c>
      <c r="G700" s="53" t="s">
        <v>901</v>
      </c>
      <c r="H700" s="53" t="s">
        <v>902</v>
      </c>
      <c r="I700" s="53" t="s">
        <v>656</v>
      </c>
      <c r="J700" s="53" t="s">
        <v>1803</v>
      </c>
    </row>
    <row r="701" spans="1:10" ht="15" customHeight="1" x14ac:dyDescent="0.35">
      <c r="A701" s="53" t="s">
        <v>896</v>
      </c>
      <c r="B701" s="53" t="s">
        <v>1804</v>
      </c>
      <c r="C701" s="53" t="s">
        <v>925</v>
      </c>
      <c r="D701" s="53">
        <v>1</v>
      </c>
      <c r="E701" s="53" t="s">
        <v>1805</v>
      </c>
      <c r="F701" s="53" t="s">
        <v>1442</v>
      </c>
      <c r="G701" s="53" t="s">
        <v>901</v>
      </c>
      <c r="H701" s="53" t="s">
        <v>902</v>
      </c>
      <c r="I701" s="53" t="s">
        <v>656</v>
      </c>
      <c r="J701" s="53" t="s">
        <v>1806</v>
      </c>
    </row>
    <row r="702" spans="1:10" ht="15" customHeight="1" x14ac:dyDescent="0.35">
      <c r="A702" s="53" t="s">
        <v>896</v>
      </c>
      <c r="B702" s="53" t="s">
        <v>1807</v>
      </c>
      <c r="C702" s="53" t="s">
        <v>1212</v>
      </c>
      <c r="D702" s="53">
        <v>1</v>
      </c>
      <c r="E702" s="53" t="s">
        <v>1808</v>
      </c>
      <c r="F702" s="53" t="s">
        <v>1442</v>
      </c>
      <c r="G702" s="53" t="s">
        <v>901</v>
      </c>
      <c r="H702" s="53" t="s">
        <v>902</v>
      </c>
      <c r="I702" s="53" t="s">
        <v>656</v>
      </c>
      <c r="J702" s="53" t="s">
        <v>1809</v>
      </c>
    </row>
    <row r="703" spans="1:10" ht="15" customHeight="1" x14ac:dyDescent="0.35">
      <c r="A703" s="53" t="s">
        <v>896</v>
      </c>
      <c r="B703" s="53" t="s">
        <v>1810</v>
      </c>
      <c r="C703" s="53" t="s">
        <v>1084</v>
      </c>
      <c r="D703" s="53">
        <v>1</v>
      </c>
      <c r="E703" s="53" t="s">
        <v>1811</v>
      </c>
      <c r="F703" s="53" t="s">
        <v>1442</v>
      </c>
      <c r="G703" s="53" t="s">
        <v>901</v>
      </c>
      <c r="H703" s="53" t="s">
        <v>902</v>
      </c>
      <c r="I703" s="53" t="s">
        <v>656</v>
      </c>
      <c r="J703" s="53" t="s">
        <v>1812</v>
      </c>
    </row>
    <row r="704" spans="1:10" ht="15" customHeight="1" x14ac:dyDescent="0.35">
      <c r="A704" s="53" t="s">
        <v>896</v>
      </c>
      <c r="B704" s="53" t="s">
        <v>1813</v>
      </c>
      <c r="C704" s="53" t="s">
        <v>898</v>
      </c>
      <c r="D704" s="53">
        <v>1</v>
      </c>
      <c r="E704" s="53" t="s">
        <v>1814</v>
      </c>
      <c r="F704" s="53" t="s">
        <v>1442</v>
      </c>
      <c r="G704" s="53" t="s">
        <v>901</v>
      </c>
      <c r="H704" s="53" t="s">
        <v>902</v>
      </c>
      <c r="I704" s="53" t="s">
        <v>656</v>
      </c>
      <c r="J704" s="53" t="s">
        <v>1815</v>
      </c>
    </row>
    <row r="705" spans="1:10" ht="15" customHeight="1" x14ac:dyDescent="0.35">
      <c r="A705" s="53" t="s">
        <v>896</v>
      </c>
      <c r="B705" s="53" t="s">
        <v>1816</v>
      </c>
      <c r="C705" s="53" t="s">
        <v>1817</v>
      </c>
      <c r="D705" s="53">
        <v>1</v>
      </c>
      <c r="E705" s="53" t="s">
        <v>1818</v>
      </c>
      <c r="F705" s="53" t="s">
        <v>1442</v>
      </c>
      <c r="G705" s="53" t="s">
        <v>901</v>
      </c>
      <c r="H705" s="53" t="s">
        <v>902</v>
      </c>
      <c r="I705" s="53" t="s">
        <v>656</v>
      </c>
      <c r="J705" s="53" t="s">
        <v>1819</v>
      </c>
    </row>
    <row r="706" spans="1:10" ht="15" customHeight="1" x14ac:dyDescent="0.35">
      <c r="A706" s="53" t="s">
        <v>896</v>
      </c>
      <c r="B706" s="53" t="s">
        <v>1820</v>
      </c>
      <c r="C706" s="53" t="s">
        <v>959</v>
      </c>
      <c r="D706" s="53">
        <v>1</v>
      </c>
      <c r="E706" s="53" t="s">
        <v>1821</v>
      </c>
      <c r="F706" s="53" t="s">
        <v>1442</v>
      </c>
      <c r="G706" s="53" t="s">
        <v>901</v>
      </c>
      <c r="H706" s="53" t="s">
        <v>902</v>
      </c>
      <c r="I706" s="53" t="s">
        <v>656</v>
      </c>
      <c r="J706" s="53" t="s">
        <v>1822</v>
      </c>
    </row>
    <row r="707" spans="1:10" ht="15" customHeight="1" x14ac:dyDescent="0.35">
      <c r="A707" s="53" t="s">
        <v>896</v>
      </c>
      <c r="B707" s="53" t="s">
        <v>1823</v>
      </c>
      <c r="C707" s="53" t="s">
        <v>905</v>
      </c>
      <c r="D707" s="53">
        <v>1</v>
      </c>
      <c r="E707" s="53" t="s">
        <v>1824</v>
      </c>
      <c r="F707" s="53" t="s">
        <v>1442</v>
      </c>
      <c r="G707" s="53" t="s">
        <v>901</v>
      </c>
      <c r="H707" s="53" t="s">
        <v>902</v>
      </c>
      <c r="I707" s="53" t="s">
        <v>656</v>
      </c>
      <c r="J707" s="53" t="s">
        <v>1825</v>
      </c>
    </row>
    <row r="708" spans="1:10" ht="15" customHeight="1" x14ac:dyDescent="0.35">
      <c r="A708" s="53" t="s">
        <v>896</v>
      </c>
      <c r="B708" s="53" t="s">
        <v>1826</v>
      </c>
      <c r="C708" s="53" t="s">
        <v>913</v>
      </c>
      <c r="D708" s="53">
        <v>1</v>
      </c>
      <c r="E708" s="53" t="s">
        <v>1827</v>
      </c>
      <c r="F708" s="53" t="s">
        <v>1442</v>
      </c>
      <c r="G708" s="53" t="s">
        <v>901</v>
      </c>
      <c r="H708" s="53" t="s">
        <v>902</v>
      </c>
      <c r="I708" s="53" t="s">
        <v>656</v>
      </c>
      <c r="J708" s="53" t="s">
        <v>1828</v>
      </c>
    </row>
    <row r="709" spans="1:10" ht="15" customHeight="1" x14ac:dyDescent="0.35">
      <c r="A709" s="53" t="s">
        <v>896</v>
      </c>
      <c r="B709" s="53" t="s">
        <v>1829</v>
      </c>
      <c r="C709" s="53" t="s">
        <v>996</v>
      </c>
      <c r="D709" s="53">
        <v>1</v>
      </c>
      <c r="E709" s="53" t="s">
        <v>1830</v>
      </c>
      <c r="F709" s="53" t="s">
        <v>1442</v>
      </c>
      <c r="G709" s="53" t="s">
        <v>901</v>
      </c>
      <c r="H709" s="53" t="s">
        <v>902</v>
      </c>
      <c r="I709" s="53" t="s">
        <v>656</v>
      </c>
      <c r="J709" s="53" t="s">
        <v>1831</v>
      </c>
    </row>
    <row r="710" spans="1:10" ht="15" customHeight="1" x14ac:dyDescent="0.35">
      <c r="A710" s="53" t="s">
        <v>896</v>
      </c>
      <c r="B710" s="53" t="s">
        <v>1832</v>
      </c>
      <c r="C710" s="53" t="s">
        <v>963</v>
      </c>
      <c r="D710" s="53">
        <v>1</v>
      </c>
      <c r="E710" s="53" t="s">
        <v>1833</v>
      </c>
      <c r="F710" s="53" t="s">
        <v>1442</v>
      </c>
      <c r="G710" s="53" t="s">
        <v>901</v>
      </c>
      <c r="H710" s="53" t="s">
        <v>902</v>
      </c>
      <c r="I710" s="53" t="s">
        <v>656</v>
      </c>
      <c r="J710" s="53" t="s">
        <v>1834</v>
      </c>
    </row>
    <row r="711" spans="1:10" ht="15" customHeight="1" x14ac:dyDescent="0.35">
      <c r="A711" s="53" t="s">
        <v>896</v>
      </c>
      <c r="B711" s="53" t="s">
        <v>1835</v>
      </c>
      <c r="C711" s="53" t="s">
        <v>1101</v>
      </c>
      <c r="D711" s="53">
        <v>1</v>
      </c>
      <c r="E711" s="53" t="s">
        <v>1836</v>
      </c>
      <c r="F711" s="53" t="s">
        <v>1442</v>
      </c>
      <c r="G711" s="53" t="s">
        <v>901</v>
      </c>
      <c r="H711" s="53" t="s">
        <v>902</v>
      </c>
      <c r="I711" s="53" t="s">
        <v>656</v>
      </c>
      <c r="J711" s="53" t="s">
        <v>1837</v>
      </c>
    </row>
    <row r="712" spans="1:10" ht="15" customHeight="1" x14ac:dyDescent="0.35">
      <c r="A712" s="53" t="s">
        <v>896</v>
      </c>
      <c r="B712" s="53" t="s">
        <v>1838</v>
      </c>
      <c r="C712" s="53" t="s">
        <v>963</v>
      </c>
      <c r="D712" s="53">
        <v>1</v>
      </c>
      <c r="E712" s="53" t="s">
        <v>1839</v>
      </c>
      <c r="F712" s="53" t="s">
        <v>1442</v>
      </c>
      <c r="G712" s="53" t="s">
        <v>901</v>
      </c>
      <c r="H712" s="53" t="s">
        <v>902</v>
      </c>
      <c r="I712" s="53" t="s">
        <v>656</v>
      </c>
      <c r="J712" s="53" t="s">
        <v>1840</v>
      </c>
    </row>
    <row r="713" spans="1:10" ht="15" customHeight="1" x14ac:dyDescent="0.35">
      <c r="A713" s="53" t="s">
        <v>896</v>
      </c>
      <c r="B713" s="53" t="s">
        <v>1841</v>
      </c>
      <c r="C713" s="53" t="s">
        <v>1118</v>
      </c>
      <c r="D713" s="53">
        <v>1</v>
      </c>
      <c r="E713" s="53" t="s">
        <v>1842</v>
      </c>
      <c r="F713" s="53" t="s">
        <v>1442</v>
      </c>
      <c r="G713" s="53" t="s">
        <v>901</v>
      </c>
      <c r="H713" s="53" t="s">
        <v>902</v>
      </c>
      <c r="I713" s="53" t="s">
        <v>656</v>
      </c>
      <c r="J713" s="53" t="s">
        <v>1843</v>
      </c>
    </row>
    <row r="714" spans="1:10" ht="15" customHeight="1" x14ac:dyDescent="0.35">
      <c r="A714" s="53" t="s">
        <v>896</v>
      </c>
      <c r="B714" s="53" t="s">
        <v>1844</v>
      </c>
      <c r="C714" s="53" t="s">
        <v>1136</v>
      </c>
      <c r="D714" s="53">
        <v>1</v>
      </c>
      <c r="E714" s="53" t="s">
        <v>1845</v>
      </c>
      <c r="F714" s="53" t="s">
        <v>1442</v>
      </c>
      <c r="G714" s="53" t="s">
        <v>901</v>
      </c>
      <c r="H714" s="53" t="s">
        <v>902</v>
      </c>
      <c r="I714" s="53" t="s">
        <v>656</v>
      </c>
      <c r="J714" s="53" t="s">
        <v>1846</v>
      </c>
    </row>
    <row r="715" spans="1:10" ht="15" customHeight="1" x14ac:dyDescent="0.35">
      <c r="A715" s="53" t="s">
        <v>896</v>
      </c>
      <c r="B715" s="53" t="s">
        <v>1847</v>
      </c>
      <c r="C715" s="53" t="s">
        <v>1143</v>
      </c>
      <c r="D715" s="53">
        <v>1</v>
      </c>
      <c r="E715" s="53" t="s">
        <v>1848</v>
      </c>
      <c r="F715" s="53" t="s">
        <v>1442</v>
      </c>
      <c r="G715" s="53" t="s">
        <v>901</v>
      </c>
      <c r="H715" s="53" t="s">
        <v>902</v>
      </c>
      <c r="I715" s="53" t="s">
        <v>656</v>
      </c>
      <c r="J715" s="53" t="s">
        <v>1849</v>
      </c>
    </row>
    <row r="716" spans="1:10" ht="15" customHeight="1" x14ac:dyDescent="0.35">
      <c r="A716" s="53" t="s">
        <v>896</v>
      </c>
      <c r="B716" s="53" t="s">
        <v>1850</v>
      </c>
      <c r="C716" s="53" t="s">
        <v>1490</v>
      </c>
      <c r="D716" s="53">
        <v>1</v>
      </c>
      <c r="E716" s="53" t="s">
        <v>1851</v>
      </c>
      <c r="F716" s="53" t="s">
        <v>1442</v>
      </c>
      <c r="G716" s="53" t="s">
        <v>901</v>
      </c>
      <c r="H716" s="53" t="s">
        <v>902</v>
      </c>
      <c r="I716" s="53" t="s">
        <v>656</v>
      </c>
      <c r="J716" s="53" t="s">
        <v>1852</v>
      </c>
    </row>
    <row r="717" spans="1:10" ht="15" customHeight="1" x14ac:dyDescent="0.35">
      <c r="A717" s="53" t="s">
        <v>896</v>
      </c>
      <c r="B717" s="53" t="s">
        <v>1853</v>
      </c>
      <c r="C717" s="53" t="s">
        <v>1136</v>
      </c>
      <c r="D717" s="53">
        <v>1</v>
      </c>
      <c r="E717" s="53" t="s">
        <v>1854</v>
      </c>
      <c r="F717" s="53" t="s">
        <v>1442</v>
      </c>
      <c r="G717" s="53" t="s">
        <v>901</v>
      </c>
      <c r="H717" s="53" t="s">
        <v>902</v>
      </c>
      <c r="I717" s="53" t="s">
        <v>656</v>
      </c>
      <c r="J717" s="53" t="s">
        <v>1855</v>
      </c>
    </row>
    <row r="718" spans="1:10" ht="15" customHeight="1" x14ac:dyDescent="0.35">
      <c r="A718" s="53" t="s">
        <v>896</v>
      </c>
      <c r="B718" s="53" t="s">
        <v>1856</v>
      </c>
      <c r="C718" s="53" t="s">
        <v>929</v>
      </c>
      <c r="D718" s="53">
        <v>1</v>
      </c>
      <c r="E718" s="53" t="s">
        <v>1857</v>
      </c>
      <c r="F718" s="53" t="s">
        <v>1442</v>
      </c>
      <c r="G718" s="53" t="s">
        <v>901</v>
      </c>
      <c r="H718" s="53" t="s">
        <v>902</v>
      </c>
      <c r="I718" s="53" t="s">
        <v>656</v>
      </c>
      <c r="J718" s="53" t="s">
        <v>1858</v>
      </c>
    </row>
    <row r="719" spans="1:10" ht="15" customHeight="1" x14ac:dyDescent="0.35">
      <c r="A719" s="53" t="s">
        <v>896</v>
      </c>
      <c r="B719" s="53" t="s">
        <v>1859</v>
      </c>
      <c r="C719" s="53" t="s">
        <v>1077</v>
      </c>
      <c r="D719" s="53">
        <v>1</v>
      </c>
      <c r="E719" s="53" t="s">
        <v>1860</v>
      </c>
      <c r="F719" s="53" t="s">
        <v>1442</v>
      </c>
      <c r="G719" s="53" t="s">
        <v>901</v>
      </c>
      <c r="H719" s="53" t="s">
        <v>902</v>
      </c>
      <c r="I719" s="53" t="s">
        <v>656</v>
      </c>
      <c r="J719" s="53" t="s">
        <v>1861</v>
      </c>
    </row>
    <row r="720" spans="1:10" ht="15" customHeight="1" x14ac:dyDescent="0.35">
      <c r="A720" s="53" t="s">
        <v>896</v>
      </c>
      <c r="B720" s="53" t="s">
        <v>1862</v>
      </c>
      <c r="C720" s="53" t="s">
        <v>946</v>
      </c>
      <c r="D720" s="53">
        <v>1</v>
      </c>
      <c r="E720" s="53" t="s">
        <v>1863</v>
      </c>
      <c r="F720" s="53" t="s">
        <v>1442</v>
      </c>
      <c r="G720" s="53" t="s">
        <v>901</v>
      </c>
      <c r="H720" s="53" t="s">
        <v>902</v>
      </c>
      <c r="I720" s="53" t="s">
        <v>656</v>
      </c>
      <c r="J720" s="53" t="s">
        <v>1864</v>
      </c>
    </row>
    <row r="721" spans="1:10" ht="15" customHeight="1" x14ac:dyDescent="0.35">
      <c r="A721" s="53" t="s">
        <v>896</v>
      </c>
      <c r="B721" s="53" t="s">
        <v>1865</v>
      </c>
      <c r="C721" s="53" t="s">
        <v>921</v>
      </c>
      <c r="D721" s="53">
        <v>1</v>
      </c>
      <c r="E721" s="53" t="s">
        <v>1866</v>
      </c>
      <c r="F721" s="53" t="s">
        <v>1442</v>
      </c>
      <c r="G721" s="53" t="s">
        <v>901</v>
      </c>
      <c r="H721" s="53" t="s">
        <v>902</v>
      </c>
      <c r="I721" s="53" t="s">
        <v>656</v>
      </c>
      <c r="J721" s="53" t="s">
        <v>1867</v>
      </c>
    </row>
    <row r="722" spans="1:10" ht="15" customHeight="1" x14ac:dyDescent="0.35">
      <c r="A722" s="53" t="s">
        <v>896</v>
      </c>
      <c r="B722" s="53" t="s">
        <v>1868</v>
      </c>
      <c r="C722" s="53" t="s">
        <v>1136</v>
      </c>
      <c r="D722" s="53">
        <v>1</v>
      </c>
      <c r="E722" s="53" t="s">
        <v>1869</v>
      </c>
      <c r="F722" s="53" t="s">
        <v>1442</v>
      </c>
      <c r="G722" s="53" t="s">
        <v>901</v>
      </c>
      <c r="H722" s="53" t="s">
        <v>902</v>
      </c>
      <c r="I722" s="53" t="s">
        <v>656</v>
      </c>
      <c r="J722" s="53" t="s">
        <v>1870</v>
      </c>
    </row>
    <row r="723" spans="1:10" ht="15" customHeight="1" x14ac:dyDescent="0.35">
      <c r="A723" s="53" t="s">
        <v>896</v>
      </c>
      <c r="B723" s="53" t="s">
        <v>1871</v>
      </c>
      <c r="C723" s="53" t="s">
        <v>1697</v>
      </c>
      <c r="D723" s="53">
        <v>1</v>
      </c>
      <c r="E723" s="53" t="s">
        <v>1872</v>
      </c>
      <c r="F723" s="53" t="s">
        <v>1442</v>
      </c>
      <c r="G723" s="53" t="s">
        <v>901</v>
      </c>
      <c r="H723" s="53" t="s">
        <v>902</v>
      </c>
      <c r="I723" s="53" t="s">
        <v>656</v>
      </c>
      <c r="J723" s="53" t="s">
        <v>1873</v>
      </c>
    </row>
    <row r="724" spans="1:10" ht="15" customHeight="1" x14ac:dyDescent="0.35">
      <c r="A724" s="53" t="s">
        <v>896</v>
      </c>
      <c r="B724" s="53" t="s">
        <v>1874</v>
      </c>
      <c r="C724" s="53" t="s">
        <v>1697</v>
      </c>
      <c r="D724" s="53">
        <v>1</v>
      </c>
      <c r="E724" s="53" t="s">
        <v>1875</v>
      </c>
      <c r="F724" s="53" t="s">
        <v>1442</v>
      </c>
      <c r="G724" s="53" t="s">
        <v>901</v>
      </c>
      <c r="H724" s="53" t="s">
        <v>902</v>
      </c>
      <c r="I724" s="53" t="s">
        <v>656</v>
      </c>
      <c r="J724" s="53" t="s">
        <v>1876</v>
      </c>
    </row>
    <row r="725" spans="1:10" ht="15" customHeight="1" x14ac:dyDescent="0.35">
      <c r="A725" s="53" t="s">
        <v>896</v>
      </c>
      <c r="B725" s="53" t="s">
        <v>1877</v>
      </c>
      <c r="C725" s="53" t="s">
        <v>1009</v>
      </c>
      <c r="D725" s="53">
        <v>1</v>
      </c>
      <c r="E725" s="53" t="s">
        <v>1878</v>
      </c>
      <c r="F725" s="53" t="s">
        <v>1442</v>
      </c>
      <c r="G725" s="53" t="s">
        <v>901</v>
      </c>
      <c r="H725" s="53" t="s">
        <v>902</v>
      </c>
      <c r="I725" s="53" t="s">
        <v>656</v>
      </c>
      <c r="J725" s="53" t="s">
        <v>1879</v>
      </c>
    </row>
    <row r="726" spans="1:10" ht="15" customHeight="1" x14ac:dyDescent="0.35">
      <c r="A726" s="53" t="s">
        <v>896</v>
      </c>
      <c r="B726" s="53" t="s">
        <v>1880</v>
      </c>
      <c r="C726" s="53" t="s">
        <v>898</v>
      </c>
      <c r="D726" s="53">
        <v>1</v>
      </c>
      <c r="E726" s="53" t="s">
        <v>1881</v>
      </c>
      <c r="F726" s="53" t="s">
        <v>1442</v>
      </c>
      <c r="G726" s="53" t="s">
        <v>901</v>
      </c>
      <c r="H726" s="53" t="s">
        <v>902</v>
      </c>
      <c r="I726" s="53" t="s">
        <v>656</v>
      </c>
      <c r="J726" s="53" t="s">
        <v>1882</v>
      </c>
    </row>
    <row r="727" spans="1:10" ht="15" customHeight="1" x14ac:dyDescent="0.35">
      <c r="A727" s="53" t="s">
        <v>896</v>
      </c>
      <c r="B727" s="53" t="s">
        <v>1883</v>
      </c>
      <c r="C727" s="53" t="s">
        <v>909</v>
      </c>
      <c r="D727" s="53">
        <v>1</v>
      </c>
      <c r="E727" s="53" t="s">
        <v>1884</v>
      </c>
      <c r="F727" s="53" t="s">
        <v>1885</v>
      </c>
      <c r="G727" s="53" t="s">
        <v>901</v>
      </c>
      <c r="H727" s="53" t="s">
        <v>902</v>
      </c>
      <c r="I727" s="53" t="s">
        <v>656</v>
      </c>
      <c r="J727" s="53" t="s">
        <v>1886</v>
      </c>
    </row>
    <row r="728" spans="1:10" ht="15" customHeight="1" x14ac:dyDescent="0.35">
      <c r="A728" s="53" t="s">
        <v>896</v>
      </c>
      <c r="B728" s="53" t="s">
        <v>1887</v>
      </c>
      <c r="C728" s="53" t="s">
        <v>1077</v>
      </c>
      <c r="D728" s="53">
        <v>1</v>
      </c>
      <c r="E728" s="53" t="s">
        <v>1888</v>
      </c>
      <c r="F728" s="53" t="s">
        <v>1442</v>
      </c>
      <c r="G728" s="53" t="s">
        <v>901</v>
      </c>
      <c r="H728" s="53" t="s">
        <v>902</v>
      </c>
      <c r="I728" s="53" t="s">
        <v>656</v>
      </c>
      <c r="J728" s="53" t="s">
        <v>1889</v>
      </c>
    </row>
    <row r="729" spans="1:10" ht="15" customHeight="1" x14ac:dyDescent="0.35">
      <c r="A729" s="53" t="s">
        <v>896</v>
      </c>
      <c r="B729" s="53" t="s">
        <v>1890</v>
      </c>
      <c r="C729" s="53" t="s">
        <v>1118</v>
      </c>
      <c r="D729" s="53">
        <v>1</v>
      </c>
      <c r="E729" s="53" t="s">
        <v>1891</v>
      </c>
      <c r="F729" s="53" t="s">
        <v>1885</v>
      </c>
      <c r="G729" s="53" t="s">
        <v>901</v>
      </c>
      <c r="H729" s="53" t="s">
        <v>902</v>
      </c>
      <c r="I729" s="53" t="s">
        <v>656</v>
      </c>
      <c r="J729" s="53" t="s">
        <v>1892</v>
      </c>
    </row>
    <row r="730" spans="1:10" ht="15" customHeight="1" x14ac:dyDescent="0.35">
      <c r="A730" s="53" t="s">
        <v>896</v>
      </c>
      <c r="B730" s="53" t="s">
        <v>1893</v>
      </c>
      <c r="C730" s="53" t="s">
        <v>1009</v>
      </c>
      <c r="D730" s="53">
        <v>1</v>
      </c>
      <c r="E730" s="53" t="s">
        <v>1894</v>
      </c>
      <c r="F730" s="53" t="s">
        <v>1885</v>
      </c>
      <c r="G730" s="53" t="s">
        <v>901</v>
      </c>
      <c r="H730" s="53" t="s">
        <v>902</v>
      </c>
      <c r="I730" s="53" t="s">
        <v>656</v>
      </c>
      <c r="J730" s="53" t="s">
        <v>1895</v>
      </c>
    </row>
    <row r="731" spans="1:10" ht="15" customHeight="1" x14ac:dyDescent="0.35">
      <c r="A731" s="53" t="s">
        <v>896</v>
      </c>
      <c r="B731" s="53" t="s">
        <v>1896</v>
      </c>
      <c r="C731" s="53" t="s">
        <v>917</v>
      </c>
      <c r="D731" s="53">
        <v>1</v>
      </c>
      <c r="E731" s="53" t="s">
        <v>1897</v>
      </c>
      <c r="F731" s="53" t="s">
        <v>1885</v>
      </c>
      <c r="G731" s="53" t="s">
        <v>901</v>
      </c>
      <c r="H731" s="53" t="s">
        <v>902</v>
      </c>
      <c r="I731" s="53" t="s">
        <v>656</v>
      </c>
      <c r="J731" s="53" t="s">
        <v>1898</v>
      </c>
    </row>
    <row r="732" spans="1:10" ht="15" customHeight="1" x14ac:dyDescent="0.35">
      <c r="A732" s="53" t="s">
        <v>896</v>
      </c>
      <c r="B732" s="53" t="s">
        <v>1899</v>
      </c>
      <c r="C732" s="53" t="s">
        <v>921</v>
      </c>
      <c r="D732" s="53">
        <v>1</v>
      </c>
      <c r="E732" s="53" t="s">
        <v>1900</v>
      </c>
      <c r="F732" s="53" t="s">
        <v>1885</v>
      </c>
      <c r="G732" s="53" t="s">
        <v>901</v>
      </c>
      <c r="H732" s="53" t="s">
        <v>902</v>
      </c>
      <c r="I732" s="53" t="s">
        <v>656</v>
      </c>
      <c r="J732" s="53" t="s">
        <v>1901</v>
      </c>
    </row>
    <row r="733" spans="1:10" ht="15" customHeight="1" x14ac:dyDescent="0.35">
      <c r="A733" s="53" t="s">
        <v>896</v>
      </c>
      <c r="B733" s="53" t="s">
        <v>1902</v>
      </c>
      <c r="C733" s="53" t="s">
        <v>1817</v>
      </c>
      <c r="D733" s="53">
        <v>1</v>
      </c>
      <c r="E733" s="53" t="s">
        <v>1903</v>
      </c>
      <c r="F733" s="53" t="s">
        <v>1885</v>
      </c>
      <c r="G733" s="53" t="s">
        <v>901</v>
      </c>
      <c r="H733" s="53" t="s">
        <v>902</v>
      </c>
      <c r="I733" s="53" t="s">
        <v>656</v>
      </c>
      <c r="J733" s="53" t="s">
        <v>1904</v>
      </c>
    </row>
    <row r="734" spans="1:10" ht="15" customHeight="1" x14ac:dyDescent="0.35">
      <c r="A734" s="53" t="s">
        <v>896</v>
      </c>
      <c r="B734" s="53" t="s">
        <v>1905</v>
      </c>
      <c r="C734" s="53" t="s">
        <v>1240</v>
      </c>
      <c r="D734" s="53">
        <v>1</v>
      </c>
      <c r="E734" s="53" t="s">
        <v>1906</v>
      </c>
      <c r="F734" s="53" t="s">
        <v>1885</v>
      </c>
      <c r="G734" s="53" t="s">
        <v>901</v>
      </c>
      <c r="H734" s="53" t="s">
        <v>902</v>
      </c>
      <c r="I734" s="53" t="s">
        <v>656</v>
      </c>
      <c r="J734" s="53" t="s">
        <v>1907</v>
      </c>
    </row>
    <row r="735" spans="1:10" ht="15" customHeight="1" x14ac:dyDescent="0.35">
      <c r="A735" s="53" t="s">
        <v>896</v>
      </c>
      <c r="B735" s="53" t="s">
        <v>1908</v>
      </c>
      <c r="C735" s="53" t="s">
        <v>1077</v>
      </c>
      <c r="D735" s="53">
        <v>1</v>
      </c>
      <c r="E735" s="53" t="s">
        <v>1909</v>
      </c>
      <c r="F735" s="53" t="s">
        <v>1885</v>
      </c>
      <c r="G735" s="53" t="s">
        <v>901</v>
      </c>
      <c r="H735" s="53" t="s">
        <v>902</v>
      </c>
      <c r="I735" s="53" t="s">
        <v>656</v>
      </c>
      <c r="J735" s="53" t="s">
        <v>1910</v>
      </c>
    </row>
    <row r="736" spans="1:10" ht="15" customHeight="1" x14ac:dyDescent="0.35">
      <c r="A736" s="53" t="s">
        <v>896</v>
      </c>
      <c r="B736" s="53" t="s">
        <v>1911</v>
      </c>
      <c r="C736" s="53" t="s">
        <v>1240</v>
      </c>
      <c r="D736" s="53">
        <v>1</v>
      </c>
      <c r="E736" s="53" t="s">
        <v>1912</v>
      </c>
      <c r="F736" s="53" t="s">
        <v>1442</v>
      </c>
      <c r="G736" s="53" t="s">
        <v>901</v>
      </c>
      <c r="H736" s="53" t="s">
        <v>902</v>
      </c>
      <c r="I736" s="53" t="s">
        <v>656</v>
      </c>
      <c r="J736" s="53" t="s">
        <v>1913</v>
      </c>
    </row>
    <row r="737" spans="1:10" ht="15" customHeight="1" x14ac:dyDescent="0.35">
      <c r="A737" s="53" t="s">
        <v>896</v>
      </c>
      <c r="B737" s="53" t="s">
        <v>1914</v>
      </c>
      <c r="C737" s="53" t="s">
        <v>1659</v>
      </c>
      <c r="D737" s="53">
        <v>1</v>
      </c>
      <c r="E737" s="53" t="s">
        <v>1915</v>
      </c>
      <c r="F737" s="53" t="s">
        <v>1885</v>
      </c>
      <c r="G737" s="53" t="s">
        <v>901</v>
      </c>
      <c r="H737" s="53" t="s">
        <v>902</v>
      </c>
      <c r="I737" s="53" t="s">
        <v>656</v>
      </c>
      <c r="J737" s="53" t="s">
        <v>1916</v>
      </c>
    </row>
    <row r="738" spans="1:10" ht="15" customHeight="1" x14ac:dyDescent="0.35">
      <c r="A738" s="53" t="s">
        <v>896</v>
      </c>
      <c r="B738" s="53" t="s">
        <v>1917</v>
      </c>
      <c r="C738" s="53" t="s">
        <v>905</v>
      </c>
      <c r="D738" s="53">
        <v>1</v>
      </c>
      <c r="E738" s="53" t="s">
        <v>1918</v>
      </c>
      <c r="F738" s="53" t="s">
        <v>1885</v>
      </c>
      <c r="G738" s="53" t="s">
        <v>901</v>
      </c>
      <c r="H738" s="53" t="s">
        <v>902</v>
      </c>
      <c r="I738" s="53" t="s">
        <v>656</v>
      </c>
      <c r="J738" s="53" t="s">
        <v>1919</v>
      </c>
    </row>
    <row r="739" spans="1:10" ht="15" customHeight="1" x14ac:dyDescent="0.35">
      <c r="A739" s="53" t="s">
        <v>896</v>
      </c>
      <c r="B739" s="53" t="s">
        <v>1920</v>
      </c>
      <c r="C739" s="53" t="s">
        <v>1084</v>
      </c>
      <c r="D739" s="53">
        <v>1</v>
      </c>
      <c r="E739" s="53" t="s">
        <v>1921</v>
      </c>
      <c r="F739" s="53" t="s">
        <v>1885</v>
      </c>
      <c r="G739" s="53" t="s">
        <v>901</v>
      </c>
      <c r="H739" s="53" t="s">
        <v>902</v>
      </c>
      <c r="I739" s="53" t="s">
        <v>656</v>
      </c>
      <c r="J739" s="53" t="s">
        <v>1922</v>
      </c>
    </row>
    <row r="740" spans="1:10" ht="15" customHeight="1" x14ac:dyDescent="0.35">
      <c r="A740" s="53" t="s">
        <v>896</v>
      </c>
      <c r="B740" s="53" t="s">
        <v>1923</v>
      </c>
      <c r="C740" s="53" t="s">
        <v>1122</v>
      </c>
      <c r="D740" s="53">
        <v>1</v>
      </c>
      <c r="E740" s="53" t="s">
        <v>1924</v>
      </c>
      <c r="F740" s="53" t="s">
        <v>1442</v>
      </c>
      <c r="G740" s="53" t="s">
        <v>901</v>
      </c>
      <c r="H740" s="53" t="s">
        <v>902</v>
      </c>
      <c r="I740" s="53" t="s">
        <v>656</v>
      </c>
      <c r="J740" s="53" t="s">
        <v>1925</v>
      </c>
    </row>
    <row r="741" spans="1:10" ht="15" customHeight="1" x14ac:dyDescent="0.35">
      <c r="A741" s="53" t="s">
        <v>896</v>
      </c>
      <c r="B741" s="53" t="s">
        <v>1926</v>
      </c>
      <c r="C741" s="53" t="s">
        <v>942</v>
      </c>
      <c r="D741" s="53">
        <v>1</v>
      </c>
      <c r="E741" s="53" t="s">
        <v>1927</v>
      </c>
      <c r="F741" s="53" t="s">
        <v>1885</v>
      </c>
      <c r="G741" s="53" t="s">
        <v>901</v>
      </c>
      <c r="H741" s="53" t="s">
        <v>902</v>
      </c>
      <c r="I741" s="53" t="s">
        <v>656</v>
      </c>
      <c r="J741" s="53" t="s">
        <v>1928</v>
      </c>
    </row>
    <row r="742" spans="1:10" ht="15" customHeight="1" x14ac:dyDescent="0.35">
      <c r="A742" s="53" t="s">
        <v>896</v>
      </c>
      <c r="B742" s="53" t="s">
        <v>1929</v>
      </c>
      <c r="C742" s="53" t="s">
        <v>1136</v>
      </c>
      <c r="D742" s="53">
        <v>1</v>
      </c>
      <c r="E742" s="53" t="s">
        <v>1930</v>
      </c>
      <c r="F742" s="53" t="s">
        <v>1885</v>
      </c>
      <c r="G742" s="53" t="s">
        <v>901</v>
      </c>
      <c r="H742" s="53" t="s">
        <v>902</v>
      </c>
      <c r="I742" s="53" t="s">
        <v>656</v>
      </c>
      <c r="J742" s="53" t="s">
        <v>1931</v>
      </c>
    </row>
    <row r="743" spans="1:10" ht="15" customHeight="1" x14ac:dyDescent="0.35">
      <c r="A743" s="53" t="s">
        <v>896</v>
      </c>
      <c r="B743" s="53" t="s">
        <v>1932</v>
      </c>
      <c r="C743" s="53" t="s">
        <v>913</v>
      </c>
      <c r="D743" s="53">
        <v>1</v>
      </c>
      <c r="E743" s="53" t="s">
        <v>1933</v>
      </c>
      <c r="F743" s="53" t="s">
        <v>1885</v>
      </c>
      <c r="G743" s="53" t="s">
        <v>901</v>
      </c>
      <c r="H743" s="53" t="s">
        <v>902</v>
      </c>
      <c r="I743" s="53" t="s">
        <v>656</v>
      </c>
      <c r="J743" s="53" t="s">
        <v>1934</v>
      </c>
    </row>
    <row r="744" spans="1:10" ht="15" customHeight="1" x14ac:dyDescent="0.35">
      <c r="A744" s="53" t="s">
        <v>896</v>
      </c>
      <c r="B744" s="53" t="s">
        <v>1935</v>
      </c>
      <c r="C744" s="53" t="s">
        <v>1646</v>
      </c>
      <c r="D744" s="53">
        <v>1</v>
      </c>
      <c r="E744" s="53" t="s">
        <v>1936</v>
      </c>
      <c r="F744" s="53" t="s">
        <v>1885</v>
      </c>
      <c r="G744" s="53" t="s">
        <v>901</v>
      </c>
      <c r="H744" s="53" t="s">
        <v>902</v>
      </c>
      <c r="I744" s="53" t="s">
        <v>656</v>
      </c>
      <c r="J744" s="53" t="s">
        <v>1937</v>
      </c>
    </row>
    <row r="745" spans="1:10" ht="15" customHeight="1" x14ac:dyDescent="0.35">
      <c r="A745" s="53" t="s">
        <v>896</v>
      </c>
      <c r="B745" s="53" t="s">
        <v>1938</v>
      </c>
      <c r="C745" s="53" t="s">
        <v>973</v>
      </c>
      <c r="D745" s="53">
        <v>1</v>
      </c>
      <c r="E745" s="53" t="s">
        <v>1939</v>
      </c>
      <c r="F745" s="53" t="s">
        <v>1885</v>
      </c>
      <c r="G745" s="53" t="s">
        <v>901</v>
      </c>
      <c r="H745" s="53" t="s">
        <v>902</v>
      </c>
      <c r="I745" s="53" t="s">
        <v>656</v>
      </c>
      <c r="J745" s="53" t="s">
        <v>1940</v>
      </c>
    </row>
    <row r="746" spans="1:10" ht="15" customHeight="1" x14ac:dyDescent="0.35">
      <c r="A746" s="53" t="s">
        <v>896</v>
      </c>
      <c r="B746" s="53" t="s">
        <v>1941</v>
      </c>
      <c r="C746" s="53" t="s">
        <v>1009</v>
      </c>
      <c r="D746" s="53">
        <v>1</v>
      </c>
      <c r="E746" s="53" t="s">
        <v>1942</v>
      </c>
      <c r="F746" s="53" t="s">
        <v>1885</v>
      </c>
      <c r="G746" s="53" t="s">
        <v>901</v>
      </c>
      <c r="H746" s="53" t="s">
        <v>902</v>
      </c>
      <c r="I746" s="53" t="s">
        <v>656</v>
      </c>
      <c r="J746" s="53" t="s">
        <v>1943</v>
      </c>
    </row>
    <row r="747" spans="1:10" ht="15" customHeight="1" x14ac:dyDescent="0.35">
      <c r="A747" s="53" t="s">
        <v>896</v>
      </c>
      <c r="B747" s="53" t="s">
        <v>1944</v>
      </c>
      <c r="C747" s="53" t="s">
        <v>1494</v>
      </c>
      <c r="D747" s="53">
        <v>1</v>
      </c>
      <c r="E747" s="53" t="s">
        <v>1945</v>
      </c>
      <c r="F747" s="53" t="s">
        <v>1885</v>
      </c>
      <c r="G747" s="53" t="s">
        <v>901</v>
      </c>
      <c r="H747" s="53" t="s">
        <v>902</v>
      </c>
      <c r="I747" s="53" t="s">
        <v>656</v>
      </c>
      <c r="J747" s="53" t="s">
        <v>1946</v>
      </c>
    </row>
    <row r="748" spans="1:10" ht="15" customHeight="1" x14ac:dyDescent="0.35">
      <c r="A748" s="53" t="s">
        <v>896</v>
      </c>
      <c r="B748" s="53" t="s">
        <v>1947</v>
      </c>
      <c r="C748" s="53" t="s">
        <v>1111</v>
      </c>
      <c r="D748" s="53">
        <v>1</v>
      </c>
      <c r="E748" s="53" t="s">
        <v>1948</v>
      </c>
      <c r="F748" s="53" t="s">
        <v>1885</v>
      </c>
      <c r="G748" s="53" t="s">
        <v>901</v>
      </c>
      <c r="H748" s="53" t="s">
        <v>902</v>
      </c>
      <c r="I748" s="53" t="s">
        <v>656</v>
      </c>
      <c r="J748" s="53" t="s">
        <v>1949</v>
      </c>
    </row>
    <row r="749" spans="1:10" ht="15" customHeight="1" x14ac:dyDescent="0.35">
      <c r="A749" s="53" t="s">
        <v>896</v>
      </c>
      <c r="B749" s="53" t="s">
        <v>1950</v>
      </c>
      <c r="C749" s="53" t="s">
        <v>1240</v>
      </c>
      <c r="D749" s="53">
        <v>1</v>
      </c>
      <c r="E749" s="53" t="s">
        <v>1951</v>
      </c>
      <c r="F749" s="53" t="s">
        <v>1885</v>
      </c>
      <c r="G749" s="53" t="s">
        <v>901</v>
      </c>
      <c r="H749" s="53" t="s">
        <v>902</v>
      </c>
      <c r="I749" s="53" t="s">
        <v>656</v>
      </c>
      <c r="J749" s="53" t="s">
        <v>1952</v>
      </c>
    </row>
    <row r="750" spans="1:10" ht="15" customHeight="1" x14ac:dyDescent="0.35">
      <c r="A750" s="53" t="s">
        <v>896</v>
      </c>
      <c r="B750" s="53" t="s">
        <v>1953</v>
      </c>
      <c r="C750" s="53" t="s">
        <v>921</v>
      </c>
      <c r="D750" s="53">
        <v>1</v>
      </c>
      <c r="E750" s="53" t="s">
        <v>1954</v>
      </c>
      <c r="F750" s="53" t="s">
        <v>1885</v>
      </c>
      <c r="G750" s="53" t="s">
        <v>901</v>
      </c>
      <c r="H750" s="53" t="s">
        <v>902</v>
      </c>
      <c r="I750" s="53" t="s">
        <v>656</v>
      </c>
      <c r="J750" s="53" t="s">
        <v>1955</v>
      </c>
    </row>
    <row r="751" spans="1:10" ht="15" customHeight="1" x14ac:dyDescent="0.35">
      <c r="A751" s="53" t="s">
        <v>896</v>
      </c>
      <c r="B751" s="53" t="s">
        <v>1956</v>
      </c>
      <c r="C751" s="53" t="s">
        <v>1122</v>
      </c>
      <c r="D751" s="53">
        <v>1</v>
      </c>
      <c r="E751" s="53" t="s">
        <v>1957</v>
      </c>
      <c r="F751" s="53" t="s">
        <v>1442</v>
      </c>
      <c r="G751" s="53" t="s">
        <v>901</v>
      </c>
      <c r="H751" s="53" t="s">
        <v>902</v>
      </c>
      <c r="I751" s="53" t="s">
        <v>656</v>
      </c>
      <c r="J751" s="53" t="s">
        <v>1958</v>
      </c>
    </row>
    <row r="752" spans="1:10" ht="15" customHeight="1" x14ac:dyDescent="0.35">
      <c r="A752" s="53" t="s">
        <v>896</v>
      </c>
      <c r="B752" s="53" t="s">
        <v>1959</v>
      </c>
      <c r="C752" s="53" t="s">
        <v>989</v>
      </c>
      <c r="D752" s="53">
        <v>1</v>
      </c>
      <c r="E752" s="53" t="s">
        <v>1960</v>
      </c>
      <c r="F752" s="53" t="s">
        <v>1885</v>
      </c>
      <c r="G752" s="53" t="s">
        <v>901</v>
      </c>
      <c r="H752" s="53" t="s">
        <v>902</v>
      </c>
      <c r="I752" s="53" t="s">
        <v>656</v>
      </c>
      <c r="J752" s="53" t="s">
        <v>1961</v>
      </c>
    </row>
    <row r="753" spans="1:10" ht="15" customHeight="1" x14ac:dyDescent="0.35">
      <c r="A753" s="53" t="s">
        <v>896</v>
      </c>
      <c r="B753" s="53" t="s">
        <v>1962</v>
      </c>
      <c r="C753" s="53" t="s">
        <v>929</v>
      </c>
      <c r="D753" s="53">
        <v>1</v>
      </c>
      <c r="E753" s="53" t="s">
        <v>1963</v>
      </c>
      <c r="F753" s="53" t="s">
        <v>1885</v>
      </c>
      <c r="G753" s="53" t="s">
        <v>901</v>
      </c>
      <c r="H753" s="53" t="s">
        <v>902</v>
      </c>
      <c r="I753" s="53" t="s">
        <v>656</v>
      </c>
      <c r="J753" s="53" t="s">
        <v>1964</v>
      </c>
    </row>
    <row r="754" spans="1:10" ht="15" customHeight="1" x14ac:dyDescent="0.35">
      <c r="A754" s="53" t="s">
        <v>896</v>
      </c>
      <c r="B754" s="53" t="s">
        <v>1965</v>
      </c>
      <c r="C754" s="53" t="s">
        <v>1768</v>
      </c>
      <c r="D754" s="53">
        <v>1</v>
      </c>
      <c r="E754" s="53" t="s">
        <v>1966</v>
      </c>
      <c r="F754" s="53" t="s">
        <v>1442</v>
      </c>
      <c r="G754" s="53" t="s">
        <v>901</v>
      </c>
      <c r="H754" s="53" t="s">
        <v>902</v>
      </c>
      <c r="I754" s="53" t="s">
        <v>656</v>
      </c>
      <c r="J754" s="53" t="s">
        <v>1967</v>
      </c>
    </row>
    <row r="755" spans="1:10" ht="15" customHeight="1" x14ac:dyDescent="0.35">
      <c r="A755" s="53" t="s">
        <v>896</v>
      </c>
      <c r="B755" s="53" t="s">
        <v>1968</v>
      </c>
      <c r="C755" s="53" t="s">
        <v>1136</v>
      </c>
      <c r="D755" s="53">
        <v>1</v>
      </c>
      <c r="E755" s="53" t="s">
        <v>1969</v>
      </c>
      <c r="F755" s="53" t="s">
        <v>1885</v>
      </c>
      <c r="G755" s="53" t="s">
        <v>901</v>
      </c>
      <c r="H755" s="53" t="s">
        <v>902</v>
      </c>
      <c r="I755" s="53" t="s">
        <v>656</v>
      </c>
      <c r="J755" s="53" t="s">
        <v>1970</v>
      </c>
    </row>
    <row r="756" spans="1:10" ht="15" customHeight="1" x14ac:dyDescent="0.35">
      <c r="A756" s="53" t="s">
        <v>896</v>
      </c>
      <c r="B756" s="53" t="s">
        <v>1971</v>
      </c>
      <c r="C756" s="53" t="s">
        <v>1077</v>
      </c>
      <c r="D756" s="53">
        <v>1</v>
      </c>
      <c r="E756" s="53" t="s">
        <v>1972</v>
      </c>
      <c r="F756" s="53" t="s">
        <v>1885</v>
      </c>
      <c r="G756" s="53" t="s">
        <v>901</v>
      </c>
      <c r="H756" s="53" t="s">
        <v>902</v>
      </c>
      <c r="I756" s="53" t="s">
        <v>656</v>
      </c>
      <c r="J756" s="53" t="s">
        <v>1973</v>
      </c>
    </row>
    <row r="757" spans="1:10" ht="15" customHeight="1" x14ac:dyDescent="0.35">
      <c r="A757" s="53" t="s">
        <v>896</v>
      </c>
      <c r="B757" s="53" t="s">
        <v>1974</v>
      </c>
      <c r="C757" s="53" t="s">
        <v>929</v>
      </c>
      <c r="D757" s="53">
        <v>1</v>
      </c>
      <c r="E757" s="53" t="s">
        <v>1975</v>
      </c>
      <c r="F757" s="53" t="s">
        <v>1885</v>
      </c>
      <c r="G757" s="53" t="s">
        <v>901</v>
      </c>
      <c r="H757" s="53" t="s">
        <v>902</v>
      </c>
      <c r="I757" s="53" t="s">
        <v>656</v>
      </c>
      <c r="J757" s="53" t="s">
        <v>1976</v>
      </c>
    </row>
    <row r="758" spans="1:10" ht="15" customHeight="1" x14ac:dyDescent="0.35">
      <c r="A758" s="53" t="s">
        <v>896</v>
      </c>
      <c r="B758" s="53" t="s">
        <v>1977</v>
      </c>
      <c r="C758" s="53" t="s">
        <v>1136</v>
      </c>
      <c r="D758" s="53">
        <v>1</v>
      </c>
      <c r="E758" s="53" t="s">
        <v>1978</v>
      </c>
      <c r="F758" s="53" t="s">
        <v>1885</v>
      </c>
      <c r="G758" s="53" t="s">
        <v>901</v>
      </c>
      <c r="H758" s="53" t="s">
        <v>902</v>
      </c>
      <c r="I758" s="53" t="s">
        <v>656</v>
      </c>
      <c r="J758" s="53" t="s">
        <v>1979</v>
      </c>
    </row>
    <row r="759" spans="1:10" ht="15" customHeight="1" x14ac:dyDescent="0.35">
      <c r="A759" s="53" t="s">
        <v>896</v>
      </c>
      <c r="B759" s="53" t="s">
        <v>1980</v>
      </c>
      <c r="C759" s="53" t="s">
        <v>959</v>
      </c>
      <c r="D759" s="53">
        <v>1</v>
      </c>
      <c r="E759" s="53" t="s">
        <v>1981</v>
      </c>
      <c r="F759" s="53" t="s">
        <v>1885</v>
      </c>
      <c r="G759" s="53" t="s">
        <v>901</v>
      </c>
      <c r="H759" s="53" t="s">
        <v>902</v>
      </c>
      <c r="I759" s="53" t="s">
        <v>656</v>
      </c>
      <c r="J759" s="53" t="s">
        <v>1982</v>
      </c>
    </row>
    <row r="760" spans="1:10" ht="15" customHeight="1" x14ac:dyDescent="0.35">
      <c r="A760" s="53" t="s">
        <v>896</v>
      </c>
      <c r="B760" s="53" t="s">
        <v>1983</v>
      </c>
      <c r="C760" s="53" t="s">
        <v>959</v>
      </c>
      <c r="D760" s="53">
        <v>1</v>
      </c>
      <c r="E760" s="53" t="s">
        <v>1984</v>
      </c>
      <c r="F760" s="53" t="s">
        <v>1885</v>
      </c>
      <c r="G760" s="53" t="s">
        <v>901</v>
      </c>
      <c r="H760" s="53" t="s">
        <v>902</v>
      </c>
      <c r="I760" s="53" t="s">
        <v>656</v>
      </c>
      <c r="J760" s="53" t="s">
        <v>1985</v>
      </c>
    </row>
    <row r="761" spans="1:10" ht="15" customHeight="1" x14ac:dyDescent="0.35">
      <c r="A761" s="53" t="s">
        <v>896</v>
      </c>
      <c r="B761" s="53" t="s">
        <v>1986</v>
      </c>
      <c r="C761" s="53" t="s">
        <v>1690</v>
      </c>
      <c r="D761" s="53">
        <v>1</v>
      </c>
      <c r="E761" s="53" t="s">
        <v>1987</v>
      </c>
      <c r="F761" s="53" t="s">
        <v>1885</v>
      </c>
      <c r="G761" s="53" t="s">
        <v>901</v>
      </c>
      <c r="H761" s="53" t="s">
        <v>902</v>
      </c>
      <c r="I761" s="53" t="s">
        <v>656</v>
      </c>
      <c r="J761" s="53" t="s">
        <v>1988</v>
      </c>
    </row>
    <row r="762" spans="1:10" ht="15" customHeight="1" x14ac:dyDescent="0.35">
      <c r="A762" s="53" t="s">
        <v>896</v>
      </c>
      <c r="B762" s="53" t="s">
        <v>1989</v>
      </c>
      <c r="C762" s="53" t="s">
        <v>1582</v>
      </c>
      <c r="D762" s="53">
        <v>1</v>
      </c>
      <c r="E762" s="53" t="s">
        <v>1990</v>
      </c>
      <c r="F762" s="53" t="s">
        <v>1885</v>
      </c>
      <c r="G762" s="53" t="s">
        <v>901</v>
      </c>
      <c r="H762" s="53" t="s">
        <v>902</v>
      </c>
      <c r="I762" s="53" t="s">
        <v>656</v>
      </c>
      <c r="J762" s="53" t="s">
        <v>1991</v>
      </c>
    </row>
    <row r="763" spans="1:10" ht="15" customHeight="1" x14ac:dyDescent="0.35">
      <c r="A763" s="53" t="s">
        <v>896</v>
      </c>
      <c r="B763" s="53" t="s">
        <v>1992</v>
      </c>
      <c r="C763" s="53" t="s">
        <v>905</v>
      </c>
      <c r="D763" s="53">
        <v>1</v>
      </c>
      <c r="E763" s="53" t="s">
        <v>1993</v>
      </c>
      <c r="F763" s="53" t="s">
        <v>1885</v>
      </c>
      <c r="G763" s="53" t="s">
        <v>901</v>
      </c>
      <c r="H763" s="53" t="s">
        <v>902</v>
      </c>
      <c r="I763" s="53" t="s">
        <v>656</v>
      </c>
      <c r="J763" s="53" t="s">
        <v>1994</v>
      </c>
    </row>
    <row r="764" spans="1:10" ht="15" customHeight="1" x14ac:dyDescent="0.35">
      <c r="A764" s="53" t="s">
        <v>896</v>
      </c>
      <c r="B764" s="53" t="s">
        <v>1995</v>
      </c>
      <c r="C764" s="53" t="s">
        <v>946</v>
      </c>
      <c r="D764" s="53">
        <v>1</v>
      </c>
      <c r="E764" s="53" t="s">
        <v>1996</v>
      </c>
      <c r="F764" s="53" t="s">
        <v>1885</v>
      </c>
      <c r="G764" s="53" t="s">
        <v>901</v>
      </c>
      <c r="H764" s="53" t="s">
        <v>902</v>
      </c>
      <c r="I764" s="53" t="s">
        <v>656</v>
      </c>
      <c r="J764" s="53" t="s">
        <v>1997</v>
      </c>
    </row>
    <row r="765" spans="1:10" ht="15" customHeight="1" x14ac:dyDescent="0.35">
      <c r="A765" s="53" t="s">
        <v>896</v>
      </c>
      <c r="B765" s="53" t="s">
        <v>1998</v>
      </c>
      <c r="C765" s="53" t="s">
        <v>963</v>
      </c>
      <c r="D765" s="53">
        <v>1</v>
      </c>
      <c r="E765" s="53" t="s">
        <v>1999</v>
      </c>
      <c r="F765" s="53" t="s">
        <v>1885</v>
      </c>
      <c r="G765" s="53" t="s">
        <v>901</v>
      </c>
      <c r="H765" s="53" t="s">
        <v>902</v>
      </c>
      <c r="I765" s="53" t="s">
        <v>656</v>
      </c>
      <c r="J765" s="53" t="s">
        <v>2000</v>
      </c>
    </row>
    <row r="766" spans="1:10" ht="15" customHeight="1" x14ac:dyDescent="0.35">
      <c r="A766" s="53" t="s">
        <v>896</v>
      </c>
      <c r="B766" s="53" t="s">
        <v>2001</v>
      </c>
      <c r="C766" s="53" t="s">
        <v>1077</v>
      </c>
      <c r="D766" s="53">
        <v>1</v>
      </c>
      <c r="E766" s="53" t="s">
        <v>2002</v>
      </c>
      <c r="F766" s="53" t="s">
        <v>1885</v>
      </c>
      <c r="G766" s="53" t="s">
        <v>901</v>
      </c>
      <c r="H766" s="53" t="s">
        <v>902</v>
      </c>
      <c r="I766" s="53" t="s">
        <v>656</v>
      </c>
      <c r="J766" s="53" t="s">
        <v>2003</v>
      </c>
    </row>
    <row r="767" spans="1:10" ht="15" customHeight="1" x14ac:dyDescent="0.35">
      <c r="A767" s="53" t="s">
        <v>896</v>
      </c>
      <c r="B767" s="53" t="s">
        <v>2004</v>
      </c>
      <c r="C767" s="53" t="s">
        <v>1122</v>
      </c>
      <c r="D767" s="53">
        <v>1</v>
      </c>
      <c r="E767" s="53" t="s">
        <v>2005</v>
      </c>
      <c r="F767" s="53" t="s">
        <v>1885</v>
      </c>
      <c r="G767" s="53" t="s">
        <v>901</v>
      </c>
      <c r="H767" s="53" t="s">
        <v>902</v>
      </c>
      <c r="I767" s="53" t="s">
        <v>656</v>
      </c>
      <c r="J767" s="53" t="s">
        <v>2006</v>
      </c>
    </row>
    <row r="768" spans="1:10" ht="15" customHeight="1" x14ac:dyDescent="0.35">
      <c r="A768" s="53" t="s">
        <v>896</v>
      </c>
      <c r="B768" s="53" t="s">
        <v>2007</v>
      </c>
      <c r="C768" s="53" t="s">
        <v>1136</v>
      </c>
      <c r="D768" s="53">
        <v>1</v>
      </c>
      <c r="E768" s="53" t="s">
        <v>2008</v>
      </c>
      <c r="F768" s="53" t="s">
        <v>1885</v>
      </c>
      <c r="G768" s="53" t="s">
        <v>901</v>
      </c>
      <c r="H768" s="53" t="s">
        <v>902</v>
      </c>
      <c r="I768" s="53" t="s">
        <v>656</v>
      </c>
      <c r="J768" s="53" t="s">
        <v>2009</v>
      </c>
    </row>
    <row r="769" spans="1:10" ht="15" customHeight="1" x14ac:dyDescent="0.35">
      <c r="A769" s="53" t="s">
        <v>896</v>
      </c>
      <c r="B769" s="53" t="s">
        <v>2010</v>
      </c>
      <c r="C769" s="53" t="s">
        <v>1077</v>
      </c>
      <c r="D769" s="53">
        <v>1</v>
      </c>
      <c r="E769" s="53" t="s">
        <v>2011</v>
      </c>
      <c r="F769" s="53" t="s">
        <v>1442</v>
      </c>
      <c r="G769" s="53" t="s">
        <v>901</v>
      </c>
      <c r="H769" s="53" t="s">
        <v>902</v>
      </c>
      <c r="I769" s="53" t="s">
        <v>656</v>
      </c>
      <c r="J769" s="53" t="s">
        <v>2012</v>
      </c>
    </row>
    <row r="770" spans="1:10" ht="15" customHeight="1" x14ac:dyDescent="0.35">
      <c r="A770" s="53" t="s">
        <v>896</v>
      </c>
      <c r="B770" s="53" t="s">
        <v>2013</v>
      </c>
      <c r="C770" s="53" t="s">
        <v>1009</v>
      </c>
      <c r="D770" s="53">
        <v>1</v>
      </c>
      <c r="E770" s="53" t="s">
        <v>2014</v>
      </c>
      <c r="F770" s="53" t="s">
        <v>1885</v>
      </c>
      <c r="G770" s="53" t="s">
        <v>901</v>
      </c>
      <c r="H770" s="53" t="s">
        <v>902</v>
      </c>
      <c r="I770" s="53" t="s">
        <v>656</v>
      </c>
      <c r="J770" s="53" t="s">
        <v>2015</v>
      </c>
    </row>
    <row r="771" spans="1:10" ht="15" customHeight="1" x14ac:dyDescent="0.35">
      <c r="A771" s="53" t="s">
        <v>896</v>
      </c>
      <c r="B771" s="53" t="s">
        <v>2016</v>
      </c>
      <c r="C771" s="53" t="s">
        <v>959</v>
      </c>
      <c r="D771" s="53">
        <v>1</v>
      </c>
      <c r="E771" s="53" t="s">
        <v>2017</v>
      </c>
      <c r="F771" s="53" t="s">
        <v>1442</v>
      </c>
      <c r="G771" s="53" t="s">
        <v>901</v>
      </c>
      <c r="H771" s="53" t="s">
        <v>902</v>
      </c>
      <c r="I771" s="53" t="s">
        <v>656</v>
      </c>
      <c r="J771" s="53" t="s">
        <v>2018</v>
      </c>
    </row>
    <row r="772" spans="1:10" ht="15" customHeight="1" x14ac:dyDescent="0.35">
      <c r="A772" s="53" t="s">
        <v>896</v>
      </c>
      <c r="B772" s="53" t="s">
        <v>2019</v>
      </c>
      <c r="C772" s="53" t="s">
        <v>1070</v>
      </c>
      <c r="D772" s="53">
        <v>1</v>
      </c>
      <c r="E772" s="53" t="s">
        <v>2020</v>
      </c>
      <c r="F772" s="53" t="s">
        <v>1885</v>
      </c>
      <c r="G772" s="53" t="s">
        <v>901</v>
      </c>
      <c r="H772" s="53" t="s">
        <v>902</v>
      </c>
      <c r="I772" s="53" t="s">
        <v>656</v>
      </c>
      <c r="J772" s="53" t="s">
        <v>2021</v>
      </c>
    </row>
    <row r="773" spans="1:10" ht="15" customHeight="1" x14ac:dyDescent="0.35">
      <c r="A773" s="53" t="s">
        <v>896</v>
      </c>
      <c r="B773" s="53" t="s">
        <v>2022</v>
      </c>
      <c r="C773" s="53" t="s">
        <v>913</v>
      </c>
      <c r="D773" s="53">
        <v>1</v>
      </c>
      <c r="E773" s="53" t="s">
        <v>2023</v>
      </c>
      <c r="F773" s="53" t="s">
        <v>1885</v>
      </c>
      <c r="G773" s="53" t="s">
        <v>901</v>
      </c>
      <c r="H773" s="53" t="s">
        <v>902</v>
      </c>
      <c r="I773" s="53" t="s">
        <v>656</v>
      </c>
      <c r="J773" s="53" t="s">
        <v>2024</v>
      </c>
    </row>
    <row r="774" spans="1:10" ht="15" customHeight="1" x14ac:dyDescent="0.35">
      <c r="A774" s="53" t="s">
        <v>896</v>
      </c>
      <c r="B774" s="53" t="s">
        <v>2025</v>
      </c>
      <c r="C774" s="53" t="s">
        <v>1582</v>
      </c>
      <c r="D774" s="53">
        <v>1</v>
      </c>
      <c r="E774" s="53" t="s">
        <v>2026</v>
      </c>
      <c r="F774" s="53" t="s">
        <v>1885</v>
      </c>
      <c r="G774" s="53" t="s">
        <v>901</v>
      </c>
      <c r="H774" s="53" t="s">
        <v>902</v>
      </c>
      <c r="I774" s="53" t="s">
        <v>656</v>
      </c>
      <c r="J774" s="53" t="s">
        <v>2027</v>
      </c>
    </row>
    <row r="775" spans="1:10" ht="15" customHeight="1" x14ac:dyDescent="0.35">
      <c r="A775" s="53" t="s">
        <v>896</v>
      </c>
      <c r="B775" s="53" t="s">
        <v>2028</v>
      </c>
      <c r="C775" s="53" t="s">
        <v>913</v>
      </c>
      <c r="D775" s="53">
        <v>1</v>
      </c>
      <c r="E775" s="53" t="s">
        <v>2029</v>
      </c>
      <c r="F775" s="53" t="s">
        <v>1885</v>
      </c>
      <c r="G775" s="53" t="s">
        <v>901</v>
      </c>
      <c r="H775" s="53" t="s">
        <v>902</v>
      </c>
      <c r="I775" s="53" t="s">
        <v>656</v>
      </c>
      <c r="J775" s="53" t="s">
        <v>2030</v>
      </c>
    </row>
    <row r="776" spans="1:10" ht="15" customHeight="1" x14ac:dyDescent="0.35">
      <c r="A776" s="53" t="s">
        <v>896</v>
      </c>
      <c r="B776" s="53" t="s">
        <v>2031</v>
      </c>
      <c r="C776" s="53" t="s">
        <v>989</v>
      </c>
      <c r="D776" s="53">
        <v>1</v>
      </c>
      <c r="E776" s="53" t="s">
        <v>2032</v>
      </c>
      <c r="F776" s="53" t="s">
        <v>1885</v>
      </c>
      <c r="G776" s="53" t="s">
        <v>901</v>
      </c>
      <c r="H776" s="53" t="s">
        <v>902</v>
      </c>
      <c r="I776" s="53" t="s">
        <v>656</v>
      </c>
      <c r="J776" s="53" t="s">
        <v>2033</v>
      </c>
    </row>
    <row r="777" spans="1:10" ht="15" customHeight="1" x14ac:dyDescent="0.35">
      <c r="A777" s="53" t="s">
        <v>896</v>
      </c>
      <c r="B777" s="53" t="s">
        <v>2034</v>
      </c>
      <c r="C777" s="53" t="s">
        <v>1697</v>
      </c>
      <c r="D777" s="53">
        <v>1</v>
      </c>
      <c r="E777" s="53" t="s">
        <v>2035</v>
      </c>
      <c r="F777" s="53" t="s">
        <v>1885</v>
      </c>
      <c r="G777" s="53" t="s">
        <v>901</v>
      </c>
      <c r="H777" s="53" t="s">
        <v>902</v>
      </c>
      <c r="I777" s="53" t="s">
        <v>656</v>
      </c>
      <c r="J777" s="53" t="s">
        <v>1946</v>
      </c>
    </row>
    <row r="778" spans="1:10" ht="15" customHeight="1" x14ac:dyDescent="0.35">
      <c r="A778" s="53" t="s">
        <v>896</v>
      </c>
      <c r="B778" s="53" t="s">
        <v>2036</v>
      </c>
      <c r="C778" s="53" t="s">
        <v>1054</v>
      </c>
      <c r="D778" s="53">
        <v>1</v>
      </c>
      <c r="E778" s="53" t="s">
        <v>2037</v>
      </c>
      <c r="F778" s="53" t="s">
        <v>1885</v>
      </c>
      <c r="G778" s="53" t="s">
        <v>901</v>
      </c>
      <c r="H778" s="53" t="s">
        <v>902</v>
      </c>
      <c r="I778" s="53" t="s">
        <v>656</v>
      </c>
      <c r="J778" s="53" t="s">
        <v>2038</v>
      </c>
    </row>
    <row r="779" spans="1:10" ht="15" customHeight="1" x14ac:dyDescent="0.35">
      <c r="A779" s="53" t="s">
        <v>896</v>
      </c>
      <c r="B779" s="53" t="s">
        <v>2039</v>
      </c>
      <c r="C779" s="53" t="s">
        <v>1009</v>
      </c>
      <c r="D779" s="53">
        <v>1</v>
      </c>
      <c r="E779" s="53" t="s">
        <v>2040</v>
      </c>
      <c r="F779" s="53" t="s">
        <v>1885</v>
      </c>
      <c r="G779" s="53" t="s">
        <v>901</v>
      </c>
      <c r="H779" s="53" t="s">
        <v>902</v>
      </c>
      <c r="I779" s="53" t="s">
        <v>656</v>
      </c>
      <c r="J779" s="53" t="s">
        <v>2041</v>
      </c>
    </row>
    <row r="780" spans="1:10" ht="15" customHeight="1" x14ac:dyDescent="0.35">
      <c r="A780" s="53" t="s">
        <v>896</v>
      </c>
      <c r="B780" s="53" t="s">
        <v>2042</v>
      </c>
      <c r="C780" s="53" t="s">
        <v>913</v>
      </c>
      <c r="D780" s="53">
        <v>1</v>
      </c>
      <c r="E780" s="53" t="s">
        <v>2043</v>
      </c>
      <c r="F780" s="53" t="s">
        <v>1885</v>
      </c>
      <c r="G780" s="53" t="s">
        <v>901</v>
      </c>
      <c r="H780" s="53" t="s">
        <v>902</v>
      </c>
      <c r="I780" s="53" t="s">
        <v>656</v>
      </c>
      <c r="J780" s="53" t="s">
        <v>2044</v>
      </c>
    </row>
    <row r="781" spans="1:10" ht="15" customHeight="1" x14ac:dyDescent="0.35">
      <c r="A781" s="53" t="s">
        <v>896</v>
      </c>
      <c r="B781" s="53" t="s">
        <v>2045</v>
      </c>
      <c r="C781" s="53" t="s">
        <v>905</v>
      </c>
      <c r="D781" s="53">
        <v>1</v>
      </c>
      <c r="E781" s="53" t="s">
        <v>2046</v>
      </c>
      <c r="F781" s="53" t="s">
        <v>1885</v>
      </c>
      <c r="G781" s="53" t="s">
        <v>901</v>
      </c>
      <c r="H781" s="53" t="s">
        <v>902</v>
      </c>
      <c r="I781" s="53" t="s">
        <v>656</v>
      </c>
      <c r="J781" s="53" t="s">
        <v>2047</v>
      </c>
    </row>
    <row r="782" spans="1:10" ht="15" customHeight="1" x14ac:dyDescent="0.35">
      <c r="A782" s="53" t="s">
        <v>896</v>
      </c>
      <c r="B782" s="53" t="s">
        <v>2048</v>
      </c>
      <c r="C782" s="53" t="s">
        <v>973</v>
      </c>
      <c r="D782" s="53">
        <v>1</v>
      </c>
      <c r="E782" s="53" t="s">
        <v>2049</v>
      </c>
      <c r="F782" s="53" t="s">
        <v>1885</v>
      </c>
      <c r="G782" s="53" t="s">
        <v>901</v>
      </c>
      <c r="H782" s="53" t="s">
        <v>902</v>
      </c>
      <c r="I782" s="53" t="s">
        <v>656</v>
      </c>
      <c r="J782" s="53" t="s">
        <v>2050</v>
      </c>
    </row>
    <row r="783" spans="1:10" ht="15" customHeight="1" x14ac:dyDescent="0.35">
      <c r="A783" s="53" t="s">
        <v>896</v>
      </c>
      <c r="B783" s="53" t="s">
        <v>2051</v>
      </c>
      <c r="C783" s="53" t="s">
        <v>1077</v>
      </c>
      <c r="D783" s="53">
        <v>1</v>
      </c>
      <c r="E783" s="53" t="s">
        <v>2052</v>
      </c>
      <c r="F783" s="53" t="s">
        <v>1885</v>
      </c>
      <c r="G783" s="53" t="s">
        <v>901</v>
      </c>
      <c r="H783" s="53" t="s">
        <v>902</v>
      </c>
      <c r="I783" s="53" t="s">
        <v>656</v>
      </c>
      <c r="J783" s="53" t="s">
        <v>2053</v>
      </c>
    </row>
    <row r="784" spans="1:10" ht="15" customHeight="1" x14ac:dyDescent="0.35">
      <c r="A784" s="53" t="s">
        <v>896</v>
      </c>
      <c r="B784" s="53" t="s">
        <v>2054</v>
      </c>
      <c r="C784" s="53" t="s">
        <v>1118</v>
      </c>
      <c r="D784" s="53">
        <v>1</v>
      </c>
      <c r="E784" s="53" t="s">
        <v>2055</v>
      </c>
      <c r="F784" s="53" t="s">
        <v>1885</v>
      </c>
      <c r="G784" s="53" t="s">
        <v>901</v>
      </c>
      <c r="H784" s="53" t="s">
        <v>902</v>
      </c>
      <c r="I784" s="53" t="s">
        <v>656</v>
      </c>
      <c r="J784" s="53" t="s">
        <v>2056</v>
      </c>
    </row>
    <row r="785" spans="1:10" ht="15" customHeight="1" x14ac:dyDescent="0.35">
      <c r="A785" s="53" t="s">
        <v>896</v>
      </c>
      <c r="B785" s="53" t="s">
        <v>2057</v>
      </c>
      <c r="C785" s="53" t="s">
        <v>921</v>
      </c>
      <c r="D785" s="53">
        <v>1</v>
      </c>
      <c r="E785" s="53" t="s">
        <v>2058</v>
      </c>
      <c r="F785" s="53" t="s">
        <v>1442</v>
      </c>
      <c r="G785" s="53" t="s">
        <v>901</v>
      </c>
      <c r="H785" s="53" t="s">
        <v>902</v>
      </c>
      <c r="I785" s="53" t="s">
        <v>656</v>
      </c>
      <c r="J785" s="53" t="s">
        <v>2059</v>
      </c>
    </row>
    <row r="786" spans="1:10" ht="15" customHeight="1" x14ac:dyDescent="0.35">
      <c r="A786" s="53" t="s">
        <v>896</v>
      </c>
      <c r="B786" s="53" t="s">
        <v>2060</v>
      </c>
      <c r="C786" s="53" t="s">
        <v>989</v>
      </c>
      <c r="D786" s="53">
        <v>1</v>
      </c>
      <c r="E786" s="53" t="s">
        <v>2061</v>
      </c>
      <c r="F786" s="53" t="s">
        <v>1885</v>
      </c>
      <c r="G786" s="53" t="s">
        <v>901</v>
      </c>
      <c r="H786" s="53" t="s">
        <v>902</v>
      </c>
      <c r="I786" s="53" t="s">
        <v>656</v>
      </c>
      <c r="J786" s="53" t="s">
        <v>2062</v>
      </c>
    </row>
    <row r="787" spans="1:10" ht="15" customHeight="1" x14ac:dyDescent="0.35">
      <c r="A787" s="53" t="s">
        <v>896</v>
      </c>
      <c r="B787" s="53" t="s">
        <v>2063</v>
      </c>
      <c r="C787" s="53" t="s">
        <v>1077</v>
      </c>
      <c r="D787" s="53">
        <v>1</v>
      </c>
      <c r="E787" s="53" t="s">
        <v>2064</v>
      </c>
      <c r="F787" s="53" t="s">
        <v>1885</v>
      </c>
      <c r="G787" s="53" t="s">
        <v>901</v>
      </c>
      <c r="H787" s="53" t="s">
        <v>902</v>
      </c>
      <c r="I787" s="53" t="s">
        <v>656</v>
      </c>
      <c r="J787" s="53" t="s">
        <v>2065</v>
      </c>
    </row>
    <row r="788" spans="1:10" ht="15" customHeight="1" x14ac:dyDescent="0.35">
      <c r="A788" s="53" t="s">
        <v>896</v>
      </c>
      <c r="B788" s="53" t="s">
        <v>2066</v>
      </c>
      <c r="C788" s="53" t="s">
        <v>1077</v>
      </c>
      <c r="D788" s="53">
        <v>1</v>
      </c>
      <c r="E788" s="53" t="s">
        <v>2067</v>
      </c>
      <c r="F788" s="53" t="s">
        <v>1885</v>
      </c>
      <c r="G788" s="53" t="s">
        <v>901</v>
      </c>
      <c r="H788" s="53" t="s">
        <v>902</v>
      </c>
      <c r="I788" s="53" t="s">
        <v>656</v>
      </c>
      <c r="J788" s="53" t="s">
        <v>2068</v>
      </c>
    </row>
    <row r="789" spans="1:10" ht="15" customHeight="1" x14ac:dyDescent="0.35">
      <c r="A789" s="53" t="s">
        <v>896</v>
      </c>
      <c r="B789" s="53" t="s">
        <v>2069</v>
      </c>
      <c r="C789" s="53" t="s">
        <v>1009</v>
      </c>
      <c r="D789" s="53">
        <v>1</v>
      </c>
      <c r="E789" s="53" t="s">
        <v>2070</v>
      </c>
      <c r="F789" s="53" t="s">
        <v>1885</v>
      </c>
      <c r="G789" s="53" t="s">
        <v>901</v>
      </c>
      <c r="H789" s="53" t="s">
        <v>902</v>
      </c>
      <c r="I789" s="53" t="s">
        <v>656</v>
      </c>
      <c r="J789" s="53" t="s">
        <v>2071</v>
      </c>
    </row>
    <row r="790" spans="1:10" ht="15" customHeight="1" x14ac:dyDescent="0.35">
      <c r="A790" s="53" t="s">
        <v>896</v>
      </c>
      <c r="B790" s="53" t="s">
        <v>2072</v>
      </c>
      <c r="C790" s="53" t="s">
        <v>1077</v>
      </c>
      <c r="D790" s="53">
        <v>1</v>
      </c>
      <c r="E790" s="53" t="s">
        <v>2073</v>
      </c>
      <c r="F790" s="53" t="s">
        <v>1885</v>
      </c>
      <c r="G790" s="53" t="s">
        <v>901</v>
      </c>
      <c r="H790" s="53" t="s">
        <v>902</v>
      </c>
      <c r="I790" s="53" t="s">
        <v>656</v>
      </c>
      <c r="J790" s="53" t="s">
        <v>2074</v>
      </c>
    </row>
    <row r="791" spans="1:10" ht="15" customHeight="1" x14ac:dyDescent="0.35">
      <c r="A791" s="53" t="s">
        <v>896</v>
      </c>
      <c r="B791" s="53" t="s">
        <v>2075</v>
      </c>
      <c r="C791" s="53" t="s">
        <v>1212</v>
      </c>
      <c r="D791" s="53">
        <v>1</v>
      </c>
      <c r="E791" s="53" t="s">
        <v>2076</v>
      </c>
      <c r="F791" s="53" t="s">
        <v>1885</v>
      </c>
      <c r="G791" s="53" t="s">
        <v>901</v>
      </c>
      <c r="H791" s="53" t="s">
        <v>902</v>
      </c>
      <c r="I791" s="53" t="s">
        <v>656</v>
      </c>
      <c r="J791" s="53" t="s">
        <v>2077</v>
      </c>
    </row>
    <row r="792" spans="1:10" ht="15" customHeight="1" x14ac:dyDescent="0.35">
      <c r="A792" s="53" t="s">
        <v>896</v>
      </c>
      <c r="B792" s="53" t="s">
        <v>2078</v>
      </c>
      <c r="C792" s="53" t="s">
        <v>1118</v>
      </c>
      <c r="D792" s="53">
        <v>1</v>
      </c>
      <c r="E792" s="53" t="s">
        <v>2079</v>
      </c>
      <c r="F792" s="53" t="s">
        <v>1885</v>
      </c>
      <c r="G792" s="53" t="s">
        <v>901</v>
      </c>
      <c r="H792" s="53" t="s">
        <v>902</v>
      </c>
      <c r="I792" s="53" t="s">
        <v>656</v>
      </c>
      <c r="J792" s="53" t="s">
        <v>2080</v>
      </c>
    </row>
    <row r="793" spans="1:10" ht="15" customHeight="1" x14ac:dyDescent="0.35">
      <c r="A793" s="53" t="s">
        <v>896</v>
      </c>
      <c r="B793" s="53" t="s">
        <v>2081</v>
      </c>
      <c r="C793" s="53" t="s">
        <v>1077</v>
      </c>
      <c r="D793" s="53">
        <v>1</v>
      </c>
      <c r="E793" s="53" t="s">
        <v>2082</v>
      </c>
      <c r="F793" s="53" t="s">
        <v>1442</v>
      </c>
      <c r="G793" s="53" t="s">
        <v>901</v>
      </c>
      <c r="H793" s="53" t="s">
        <v>902</v>
      </c>
      <c r="I793" s="53" t="s">
        <v>656</v>
      </c>
      <c r="J793" s="53" t="s">
        <v>2083</v>
      </c>
    </row>
    <row r="794" spans="1:10" ht="15" customHeight="1" x14ac:dyDescent="0.35">
      <c r="A794" s="53" t="s">
        <v>896</v>
      </c>
      <c r="B794" s="53" t="s">
        <v>2084</v>
      </c>
      <c r="C794" s="53" t="s">
        <v>1077</v>
      </c>
      <c r="D794" s="53">
        <v>1</v>
      </c>
      <c r="E794" s="53" t="s">
        <v>2085</v>
      </c>
      <c r="F794" s="53" t="s">
        <v>1442</v>
      </c>
      <c r="G794" s="53" t="s">
        <v>901</v>
      </c>
      <c r="H794" s="53" t="s">
        <v>902</v>
      </c>
      <c r="I794" s="53" t="s">
        <v>656</v>
      </c>
      <c r="J794" s="53" t="s">
        <v>2086</v>
      </c>
    </row>
    <row r="795" spans="1:10" ht="15" customHeight="1" x14ac:dyDescent="0.35">
      <c r="A795" s="53" t="s">
        <v>896</v>
      </c>
      <c r="B795" s="53" t="s">
        <v>2087</v>
      </c>
      <c r="C795" s="53" t="s">
        <v>1009</v>
      </c>
      <c r="D795" s="53">
        <v>1</v>
      </c>
      <c r="E795" s="53" t="s">
        <v>2088</v>
      </c>
      <c r="F795" s="53" t="s">
        <v>1442</v>
      </c>
      <c r="G795" s="53" t="s">
        <v>901</v>
      </c>
      <c r="H795" s="53" t="s">
        <v>902</v>
      </c>
      <c r="I795" s="53" t="s">
        <v>656</v>
      </c>
      <c r="J795" s="53" t="s">
        <v>2089</v>
      </c>
    </row>
    <row r="796" spans="1:10" ht="15" customHeight="1" x14ac:dyDescent="0.35">
      <c r="A796" s="53" t="s">
        <v>896</v>
      </c>
      <c r="B796" s="53" t="s">
        <v>2090</v>
      </c>
      <c r="C796" s="53" t="s">
        <v>1077</v>
      </c>
      <c r="D796" s="53">
        <v>1</v>
      </c>
      <c r="E796" s="53" t="s">
        <v>2091</v>
      </c>
      <c r="F796" s="53" t="s">
        <v>1885</v>
      </c>
      <c r="G796" s="53" t="s">
        <v>901</v>
      </c>
      <c r="H796" s="53" t="s">
        <v>902</v>
      </c>
      <c r="I796" s="53" t="s">
        <v>656</v>
      </c>
      <c r="J796" s="53" t="s">
        <v>2092</v>
      </c>
    </row>
    <row r="797" spans="1:10" ht="15" customHeight="1" x14ac:dyDescent="0.35">
      <c r="A797" s="53" t="s">
        <v>896</v>
      </c>
      <c r="B797" s="53" t="s">
        <v>2093</v>
      </c>
      <c r="C797" s="53" t="s">
        <v>1136</v>
      </c>
      <c r="D797" s="53">
        <v>1</v>
      </c>
      <c r="E797" s="53" t="s">
        <v>2094</v>
      </c>
      <c r="F797" s="53" t="s">
        <v>1885</v>
      </c>
      <c r="G797" s="53" t="s">
        <v>901</v>
      </c>
      <c r="H797" s="53" t="s">
        <v>902</v>
      </c>
      <c r="I797" s="53" t="s">
        <v>656</v>
      </c>
      <c r="J797" s="53" t="s">
        <v>2095</v>
      </c>
    </row>
    <row r="798" spans="1:10" ht="15" customHeight="1" x14ac:dyDescent="0.35">
      <c r="A798" s="53" t="s">
        <v>896</v>
      </c>
      <c r="B798" s="53" t="s">
        <v>2096</v>
      </c>
      <c r="C798" s="53" t="s">
        <v>905</v>
      </c>
      <c r="D798" s="53">
        <v>1</v>
      </c>
      <c r="E798" s="53" t="s">
        <v>2097</v>
      </c>
      <c r="F798" s="53" t="s">
        <v>1885</v>
      </c>
      <c r="G798" s="53" t="s">
        <v>901</v>
      </c>
      <c r="H798" s="53" t="s">
        <v>902</v>
      </c>
      <c r="I798" s="53" t="s">
        <v>656</v>
      </c>
      <c r="J798" s="53" t="s">
        <v>2098</v>
      </c>
    </row>
    <row r="799" spans="1:10" ht="15" customHeight="1" x14ac:dyDescent="0.35">
      <c r="A799" s="53" t="s">
        <v>896</v>
      </c>
      <c r="B799" s="53" t="s">
        <v>2099</v>
      </c>
      <c r="C799" s="53" t="s">
        <v>1084</v>
      </c>
      <c r="D799" s="53">
        <v>1</v>
      </c>
      <c r="E799" s="53" t="s">
        <v>2100</v>
      </c>
      <c r="F799" s="53" t="s">
        <v>1885</v>
      </c>
      <c r="G799" s="53" t="s">
        <v>901</v>
      </c>
      <c r="H799" s="53" t="s">
        <v>902</v>
      </c>
      <c r="I799" s="53" t="s">
        <v>656</v>
      </c>
      <c r="J799" s="53" t="s">
        <v>2101</v>
      </c>
    </row>
    <row r="800" spans="1:10" ht="15" customHeight="1" x14ac:dyDescent="0.35">
      <c r="A800" s="53" t="s">
        <v>896</v>
      </c>
      <c r="B800" s="53" t="s">
        <v>2102</v>
      </c>
      <c r="C800" s="53" t="s">
        <v>1050</v>
      </c>
      <c r="D800" s="53">
        <v>1</v>
      </c>
      <c r="E800" s="53" t="s">
        <v>2103</v>
      </c>
      <c r="F800" s="53" t="s">
        <v>1885</v>
      </c>
      <c r="G800" s="53" t="s">
        <v>901</v>
      </c>
      <c r="H800" s="53" t="s">
        <v>902</v>
      </c>
      <c r="I800" s="53" t="s">
        <v>656</v>
      </c>
      <c r="J800" s="53" t="s">
        <v>2104</v>
      </c>
    </row>
    <row r="801" spans="1:10" ht="15" customHeight="1" x14ac:dyDescent="0.35">
      <c r="A801" s="53" t="s">
        <v>896</v>
      </c>
      <c r="B801" s="53" t="s">
        <v>2105</v>
      </c>
      <c r="C801" s="53" t="s">
        <v>905</v>
      </c>
      <c r="D801" s="53">
        <v>1</v>
      </c>
      <c r="E801" s="53" t="s">
        <v>2106</v>
      </c>
      <c r="F801" s="53" t="s">
        <v>1885</v>
      </c>
      <c r="G801" s="53" t="s">
        <v>901</v>
      </c>
      <c r="H801" s="53" t="s">
        <v>902</v>
      </c>
      <c r="I801" s="53" t="s">
        <v>656</v>
      </c>
      <c r="J801" s="53" t="s">
        <v>2107</v>
      </c>
    </row>
    <row r="802" spans="1:10" ht="15" customHeight="1" x14ac:dyDescent="0.35">
      <c r="A802" s="53" t="s">
        <v>896</v>
      </c>
      <c r="B802" s="53" t="s">
        <v>2108</v>
      </c>
      <c r="C802" s="53" t="s">
        <v>1009</v>
      </c>
      <c r="D802" s="53">
        <v>1</v>
      </c>
      <c r="E802" s="53" t="s">
        <v>2109</v>
      </c>
      <c r="F802" s="53" t="s">
        <v>1442</v>
      </c>
      <c r="G802" s="53" t="s">
        <v>901</v>
      </c>
      <c r="H802" s="53" t="s">
        <v>902</v>
      </c>
      <c r="I802" s="53" t="s">
        <v>656</v>
      </c>
      <c r="J802" s="53" t="s">
        <v>2110</v>
      </c>
    </row>
    <row r="803" spans="1:10" ht="15" customHeight="1" x14ac:dyDescent="0.35">
      <c r="A803" s="53" t="s">
        <v>896</v>
      </c>
      <c r="B803" s="53" t="s">
        <v>2111</v>
      </c>
      <c r="C803" s="53" t="s">
        <v>921</v>
      </c>
      <c r="D803" s="53">
        <v>1</v>
      </c>
      <c r="E803" s="53" t="s">
        <v>2112</v>
      </c>
      <c r="F803" s="53" t="s">
        <v>1885</v>
      </c>
      <c r="G803" s="53" t="s">
        <v>901</v>
      </c>
      <c r="H803" s="53" t="s">
        <v>902</v>
      </c>
      <c r="I803" s="53" t="s">
        <v>656</v>
      </c>
      <c r="J803" s="53" t="s">
        <v>2113</v>
      </c>
    </row>
    <row r="804" spans="1:10" ht="15" customHeight="1" x14ac:dyDescent="0.35">
      <c r="A804" s="53" t="s">
        <v>896</v>
      </c>
      <c r="B804" s="53" t="s">
        <v>2114</v>
      </c>
      <c r="C804" s="53" t="s">
        <v>959</v>
      </c>
      <c r="D804" s="53">
        <v>1</v>
      </c>
      <c r="E804" s="53" t="s">
        <v>2115</v>
      </c>
      <c r="F804" s="53" t="s">
        <v>1885</v>
      </c>
      <c r="G804" s="53" t="s">
        <v>901</v>
      </c>
      <c r="H804" s="53" t="s">
        <v>902</v>
      </c>
      <c r="I804" s="53" t="s">
        <v>656</v>
      </c>
      <c r="J804" s="53" t="s">
        <v>2116</v>
      </c>
    </row>
    <row r="805" spans="1:10" ht="15" customHeight="1" x14ac:dyDescent="0.35">
      <c r="A805" s="53" t="s">
        <v>896</v>
      </c>
      <c r="B805" s="53" t="s">
        <v>2117</v>
      </c>
      <c r="C805" s="53" t="s">
        <v>1077</v>
      </c>
      <c r="D805" s="53">
        <v>1</v>
      </c>
      <c r="E805" s="53" t="s">
        <v>2118</v>
      </c>
      <c r="F805" s="53" t="s">
        <v>1885</v>
      </c>
      <c r="G805" s="53" t="s">
        <v>901</v>
      </c>
      <c r="H805" s="53" t="s">
        <v>902</v>
      </c>
      <c r="I805" s="53" t="s">
        <v>656</v>
      </c>
      <c r="J805" s="53" t="s">
        <v>2119</v>
      </c>
    </row>
    <row r="806" spans="1:10" ht="15" customHeight="1" x14ac:dyDescent="0.35">
      <c r="A806" s="53" t="s">
        <v>896</v>
      </c>
      <c r="B806" s="53" t="s">
        <v>2120</v>
      </c>
      <c r="C806" s="53" t="s">
        <v>1646</v>
      </c>
      <c r="D806" s="53">
        <v>1</v>
      </c>
      <c r="E806" s="53" t="s">
        <v>2121</v>
      </c>
      <c r="F806" s="53" t="s">
        <v>1885</v>
      </c>
      <c r="G806" s="53" t="s">
        <v>901</v>
      </c>
      <c r="H806" s="53" t="s">
        <v>902</v>
      </c>
      <c r="I806" s="53" t="s">
        <v>656</v>
      </c>
      <c r="J806" s="53" t="s">
        <v>2122</v>
      </c>
    </row>
    <row r="807" spans="1:10" ht="15" customHeight="1" x14ac:dyDescent="0.35">
      <c r="A807" s="53" t="s">
        <v>896</v>
      </c>
      <c r="B807" s="53" t="s">
        <v>2123</v>
      </c>
      <c r="C807" s="53" t="s">
        <v>921</v>
      </c>
      <c r="D807" s="53">
        <v>1</v>
      </c>
      <c r="E807" s="53" t="s">
        <v>2124</v>
      </c>
      <c r="F807" s="53" t="s">
        <v>1885</v>
      </c>
      <c r="G807" s="53" t="s">
        <v>901</v>
      </c>
      <c r="H807" s="53" t="s">
        <v>902</v>
      </c>
      <c r="I807" s="53" t="s">
        <v>656</v>
      </c>
      <c r="J807" s="53" t="s">
        <v>2125</v>
      </c>
    </row>
    <row r="808" spans="1:10" ht="15" customHeight="1" x14ac:dyDescent="0.35">
      <c r="A808" s="53" t="s">
        <v>896</v>
      </c>
      <c r="B808" s="53" t="s">
        <v>2126</v>
      </c>
      <c r="C808" s="53" t="s">
        <v>963</v>
      </c>
      <c r="D808" s="53">
        <v>1</v>
      </c>
      <c r="E808" s="53" t="s">
        <v>2127</v>
      </c>
      <c r="F808" s="53" t="s">
        <v>1442</v>
      </c>
      <c r="G808" s="53" t="s">
        <v>901</v>
      </c>
      <c r="H808" s="53" t="s">
        <v>902</v>
      </c>
      <c r="I808" s="53" t="s">
        <v>656</v>
      </c>
      <c r="J808" s="53" t="s">
        <v>2128</v>
      </c>
    </row>
    <row r="809" spans="1:10" ht="15" customHeight="1" x14ac:dyDescent="0.35">
      <c r="A809" s="53" t="s">
        <v>896</v>
      </c>
      <c r="B809" s="53" t="s">
        <v>2129</v>
      </c>
      <c r="C809" s="53" t="s">
        <v>905</v>
      </c>
      <c r="D809" s="53">
        <v>1</v>
      </c>
      <c r="E809" s="53" t="s">
        <v>2130</v>
      </c>
      <c r="F809" s="53" t="s">
        <v>1885</v>
      </c>
      <c r="G809" s="53" t="s">
        <v>901</v>
      </c>
      <c r="H809" s="53" t="s">
        <v>902</v>
      </c>
      <c r="I809" s="53" t="s">
        <v>656</v>
      </c>
      <c r="J809" s="53" t="s">
        <v>2131</v>
      </c>
    </row>
    <row r="810" spans="1:10" ht="15" customHeight="1" x14ac:dyDescent="0.35">
      <c r="A810" s="53" t="s">
        <v>896</v>
      </c>
      <c r="B810" s="53" t="s">
        <v>2132</v>
      </c>
      <c r="C810" s="53" t="s">
        <v>1050</v>
      </c>
      <c r="D810" s="53">
        <v>1</v>
      </c>
      <c r="E810" s="53" t="s">
        <v>2133</v>
      </c>
      <c r="F810" s="53" t="s">
        <v>1885</v>
      </c>
      <c r="G810" s="53" t="s">
        <v>901</v>
      </c>
      <c r="H810" s="53" t="s">
        <v>902</v>
      </c>
      <c r="I810" s="53" t="s">
        <v>656</v>
      </c>
      <c r="J810" s="53" t="s">
        <v>2134</v>
      </c>
    </row>
    <row r="811" spans="1:10" ht="15" customHeight="1" x14ac:dyDescent="0.35">
      <c r="A811" s="53" t="s">
        <v>896</v>
      </c>
      <c r="B811" s="53" t="s">
        <v>2135</v>
      </c>
      <c r="C811" s="53" t="s">
        <v>1009</v>
      </c>
      <c r="D811" s="53">
        <v>1</v>
      </c>
      <c r="E811" s="53" t="s">
        <v>2136</v>
      </c>
      <c r="F811" s="53" t="s">
        <v>1885</v>
      </c>
      <c r="G811" s="53" t="s">
        <v>901</v>
      </c>
      <c r="H811" s="53" t="s">
        <v>902</v>
      </c>
      <c r="I811" s="53" t="s">
        <v>656</v>
      </c>
      <c r="J811" s="53" t="s">
        <v>2137</v>
      </c>
    </row>
    <row r="812" spans="1:10" ht="15" customHeight="1" x14ac:dyDescent="0.35">
      <c r="A812" s="53" t="s">
        <v>896</v>
      </c>
      <c r="B812" s="53" t="s">
        <v>2138</v>
      </c>
      <c r="C812" s="53" t="s">
        <v>1077</v>
      </c>
      <c r="D812" s="53">
        <v>1</v>
      </c>
      <c r="E812" s="53" t="s">
        <v>2139</v>
      </c>
      <c r="F812" s="53" t="s">
        <v>1885</v>
      </c>
      <c r="G812" s="53" t="s">
        <v>901</v>
      </c>
      <c r="H812" s="53" t="s">
        <v>902</v>
      </c>
      <c r="I812" s="53" t="s">
        <v>656</v>
      </c>
      <c r="J812" s="53" t="s">
        <v>2140</v>
      </c>
    </row>
    <row r="813" spans="1:10" ht="15" customHeight="1" x14ac:dyDescent="0.35">
      <c r="A813" s="53" t="s">
        <v>896</v>
      </c>
      <c r="B813" s="53" t="s">
        <v>2141</v>
      </c>
      <c r="C813" s="53" t="s">
        <v>1212</v>
      </c>
      <c r="D813" s="53">
        <v>1</v>
      </c>
      <c r="E813" s="53" t="s">
        <v>2142</v>
      </c>
      <c r="F813" s="53" t="s">
        <v>1885</v>
      </c>
      <c r="G813" s="53" t="s">
        <v>901</v>
      </c>
      <c r="H813" s="53" t="s">
        <v>902</v>
      </c>
      <c r="I813" s="53" t="s">
        <v>656</v>
      </c>
      <c r="J813" s="53" t="s">
        <v>2143</v>
      </c>
    </row>
    <row r="814" spans="1:10" ht="15" customHeight="1" x14ac:dyDescent="0.35">
      <c r="A814" s="53" t="s">
        <v>896</v>
      </c>
      <c r="B814" s="53" t="s">
        <v>2144</v>
      </c>
      <c r="C814" s="53" t="s">
        <v>929</v>
      </c>
      <c r="D814" s="53">
        <v>1</v>
      </c>
      <c r="E814" s="53" t="s">
        <v>2145</v>
      </c>
      <c r="F814" s="53" t="s">
        <v>1885</v>
      </c>
      <c r="G814" s="53" t="s">
        <v>901</v>
      </c>
      <c r="H814" s="53" t="s">
        <v>902</v>
      </c>
      <c r="I814" s="53" t="s">
        <v>656</v>
      </c>
      <c r="J814" s="53" t="s">
        <v>2146</v>
      </c>
    </row>
    <row r="815" spans="1:10" ht="15" customHeight="1" x14ac:dyDescent="0.35">
      <c r="A815" s="53" t="s">
        <v>896</v>
      </c>
      <c r="B815" s="53" t="s">
        <v>2147</v>
      </c>
      <c r="C815" s="53" t="s">
        <v>959</v>
      </c>
      <c r="D815" s="53">
        <v>1</v>
      </c>
      <c r="E815" s="53" t="s">
        <v>2148</v>
      </c>
      <c r="F815" s="53" t="s">
        <v>1885</v>
      </c>
      <c r="G815" s="53" t="s">
        <v>901</v>
      </c>
      <c r="H815" s="53" t="s">
        <v>902</v>
      </c>
      <c r="I815" s="53" t="s">
        <v>656</v>
      </c>
      <c r="J815" s="53" t="s">
        <v>2149</v>
      </c>
    </row>
    <row r="816" spans="1:10" ht="15" customHeight="1" x14ac:dyDescent="0.35">
      <c r="A816" s="53" t="s">
        <v>896</v>
      </c>
      <c r="B816" s="53" t="s">
        <v>2150</v>
      </c>
      <c r="C816" s="53" t="s">
        <v>1240</v>
      </c>
      <c r="D816" s="53">
        <v>1</v>
      </c>
      <c r="E816" s="53" t="s">
        <v>2151</v>
      </c>
      <c r="F816" s="53" t="s">
        <v>1885</v>
      </c>
      <c r="G816" s="53" t="s">
        <v>901</v>
      </c>
      <c r="H816" s="53" t="s">
        <v>902</v>
      </c>
      <c r="I816" s="53" t="s">
        <v>656</v>
      </c>
      <c r="J816" s="53" t="s">
        <v>2152</v>
      </c>
    </row>
    <row r="817" spans="1:10" ht="15" customHeight="1" x14ac:dyDescent="0.35">
      <c r="A817" s="53" t="s">
        <v>896</v>
      </c>
      <c r="B817" s="53" t="s">
        <v>2153</v>
      </c>
      <c r="C817" s="53" t="s">
        <v>921</v>
      </c>
      <c r="D817" s="53">
        <v>1</v>
      </c>
      <c r="E817" s="53" t="s">
        <v>2154</v>
      </c>
      <c r="F817" s="53" t="s">
        <v>1885</v>
      </c>
      <c r="G817" s="53" t="s">
        <v>901</v>
      </c>
      <c r="H817" s="53" t="s">
        <v>902</v>
      </c>
      <c r="I817" s="53" t="s">
        <v>656</v>
      </c>
      <c r="J817" s="53" t="s">
        <v>2155</v>
      </c>
    </row>
    <row r="818" spans="1:10" ht="15" customHeight="1" x14ac:dyDescent="0.35">
      <c r="A818" s="53" t="s">
        <v>896</v>
      </c>
      <c r="B818" s="53" t="s">
        <v>2156</v>
      </c>
      <c r="C818" s="53" t="s">
        <v>1077</v>
      </c>
      <c r="D818" s="53">
        <v>1</v>
      </c>
      <c r="E818" s="53" t="s">
        <v>2157</v>
      </c>
      <c r="F818" s="53" t="s">
        <v>1885</v>
      </c>
      <c r="G818" s="53" t="s">
        <v>901</v>
      </c>
      <c r="H818" s="53" t="s">
        <v>902</v>
      </c>
      <c r="I818" s="53" t="s">
        <v>656</v>
      </c>
      <c r="J818" s="53" t="s">
        <v>2158</v>
      </c>
    </row>
    <row r="819" spans="1:10" ht="15" customHeight="1" x14ac:dyDescent="0.35">
      <c r="A819" s="53" t="s">
        <v>896</v>
      </c>
      <c r="B819" s="53" t="s">
        <v>2159</v>
      </c>
      <c r="C819" s="53" t="s">
        <v>2160</v>
      </c>
      <c r="D819" s="53">
        <v>1</v>
      </c>
      <c r="E819" s="53" t="s">
        <v>2161</v>
      </c>
      <c r="F819" s="53" t="s">
        <v>1885</v>
      </c>
      <c r="G819" s="53" t="s">
        <v>901</v>
      </c>
      <c r="H819" s="53" t="s">
        <v>902</v>
      </c>
      <c r="I819" s="53" t="s">
        <v>656</v>
      </c>
      <c r="J819" s="53" t="s">
        <v>2162</v>
      </c>
    </row>
    <row r="820" spans="1:10" ht="15" customHeight="1" x14ac:dyDescent="0.35">
      <c r="A820" s="53" t="s">
        <v>896</v>
      </c>
      <c r="B820" s="53" t="s">
        <v>2163</v>
      </c>
      <c r="C820" s="53" t="s">
        <v>1009</v>
      </c>
      <c r="D820" s="53">
        <v>1</v>
      </c>
      <c r="E820" s="53" t="s">
        <v>2164</v>
      </c>
      <c r="F820" s="53" t="s">
        <v>1885</v>
      </c>
      <c r="G820" s="53" t="s">
        <v>901</v>
      </c>
      <c r="H820" s="53" t="s">
        <v>902</v>
      </c>
      <c r="I820" s="53" t="s">
        <v>656</v>
      </c>
      <c r="J820" s="53" t="s">
        <v>2165</v>
      </c>
    </row>
    <row r="821" spans="1:10" ht="15" customHeight="1" x14ac:dyDescent="0.35">
      <c r="A821" s="53" t="s">
        <v>896</v>
      </c>
      <c r="B821" s="53" t="s">
        <v>2166</v>
      </c>
      <c r="C821" s="53" t="s">
        <v>1136</v>
      </c>
      <c r="D821" s="53">
        <v>1</v>
      </c>
      <c r="E821" s="53" t="s">
        <v>2167</v>
      </c>
      <c r="F821" s="53" t="s">
        <v>1885</v>
      </c>
      <c r="G821" s="53" t="s">
        <v>901</v>
      </c>
      <c r="H821" s="53" t="s">
        <v>902</v>
      </c>
      <c r="I821" s="53" t="s">
        <v>656</v>
      </c>
      <c r="J821" s="53" t="s">
        <v>2168</v>
      </c>
    </row>
    <row r="822" spans="1:10" ht="15" customHeight="1" x14ac:dyDescent="0.35">
      <c r="A822" s="53" t="s">
        <v>896</v>
      </c>
      <c r="B822" s="53" t="s">
        <v>2169</v>
      </c>
      <c r="C822" s="53" t="s">
        <v>1077</v>
      </c>
      <c r="D822" s="53">
        <v>1</v>
      </c>
      <c r="E822" s="53" t="s">
        <v>2170</v>
      </c>
      <c r="F822" s="53" t="s">
        <v>1885</v>
      </c>
      <c r="G822" s="53" t="s">
        <v>901</v>
      </c>
      <c r="H822" s="53" t="s">
        <v>902</v>
      </c>
      <c r="I822" s="53" t="s">
        <v>656</v>
      </c>
      <c r="J822" s="53" t="s">
        <v>2171</v>
      </c>
    </row>
    <row r="823" spans="1:10" ht="15" customHeight="1" x14ac:dyDescent="0.35">
      <c r="A823" s="53" t="s">
        <v>896</v>
      </c>
      <c r="B823" s="53" t="s">
        <v>2172</v>
      </c>
      <c r="C823" s="53" t="s">
        <v>921</v>
      </c>
      <c r="D823" s="53">
        <v>1</v>
      </c>
      <c r="E823" s="53" t="s">
        <v>2173</v>
      </c>
      <c r="F823" s="53" t="s">
        <v>1885</v>
      </c>
      <c r="G823" s="53" t="s">
        <v>901</v>
      </c>
      <c r="H823" s="53" t="s">
        <v>902</v>
      </c>
      <c r="I823" s="53" t="s">
        <v>656</v>
      </c>
      <c r="J823" s="53" t="s">
        <v>2174</v>
      </c>
    </row>
    <row r="824" spans="1:10" ht="15" customHeight="1" x14ac:dyDescent="0.35">
      <c r="A824" s="53" t="s">
        <v>896</v>
      </c>
      <c r="B824" s="53" t="s">
        <v>2175</v>
      </c>
      <c r="C824" s="53" t="s">
        <v>1077</v>
      </c>
      <c r="D824" s="53">
        <v>1</v>
      </c>
      <c r="E824" s="53" t="s">
        <v>2176</v>
      </c>
      <c r="F824" s="53" t="s">
        <v>1885</v>
      </c>
      <c r="G824" s="53" t="s">
        <v>901</v>
      </c>
      <c r="H824" s="53" t="s">
        <v>902</v>
      </c>
      <c r="I824" s="53" t="s">
        <v>656</v>
      </c>
      <c r="J824" s="53" t="s">
        <v>2177</v>
      </c>
    </row>
    <row r="825" spans="1:10" ht="15" customHeight="1" x14ac:dyDescent="0.35">
      <c r="A825" s="53" t="s">
        <v>896</v>
      </c>
      <c r="B825" s="53" t="s">
        <v>2178</v>
      </c>
      <c r="C825" s="53" t="s">
        <v>1077</v>
      </c>
      <c r="D825" s="53">
        <v>1</v>
      </c>
      <c r="E825" s="53" t="s">
        <v>2179</v>
      </c>
      <c r="F825" s="53" t="s">
        <v>1885</v>
      </c>
      <c r="G825" s="53" t="s">
        <v>901</v>
      </c>
      <c r="H825" s="53" t="s">
        <v>902</v>
      </c>
      <c r="I825" s="53" t="s">
        <v>656</v>
      </c>
      <c r="J825" s="53" t="s">
        <v>2180</v>
      </c>
    </row>
    <row r="826" spans="1:10" ht="15" customHeight="1" x14ac:dyDescent="0.35">
      <c r="A826" s="53" t="s">
        <v>896</v>
      </c>
      <c r="B826" s="53" t="s">
        <v>2181</v>
      </c>
      <c r="C826" s="53" t="s">
        <v>1659</v>
      </c>
      <c r="D826" s="53">
        <v>1</v>
      </c>
      <c r="E826" s="53" t="s">
        <v>2182</v>
      </c>
      <c r="F826" s="53" t="s">
        <v>1885</v>
      </c>
      <c r="G826" s="53" t="s">
        <v>901</v>
      </c>
      <c r="H826" s="53" t="s">
        <v>902</v>
      </c>
      <c r="I826" s="53" t="s">
        <v>656</v>
      </c>
      <c r="J826" s="53" t="s">
        <v>2183</v>
      </c>
    </row>
    <row r="827" spans="1:10" ht="15" customHeight="1" x14ac:dyDescent="0.35">
      <c r="A827" s="53" t="s">
        <v>896</v>
      </c>
      <c r="B827" s="53" t="s">
        <v>2184</v>
      </c>
      <c r="C827" s="53" t="s">
        <v>1101</v>
      </c>
      <c r="D827" s="53">
        <v>1</v>
      </c>
      <c r="E827" s="53" t="s">
        <v>2185</v>
      </c>
      <c r="F827" s="53" t="s">
        <v>1885</v>
      </c>
      <c r="G827" s="53" t="s">
        <v>901</v>
      </c>
      <c r="H827" s="53" t="s">
        <v>902</v>
      </c>
      <c r="I827" s="53" t="s">
        <v>656</v>
      </c>
      <c r="J827" s="53" t="s">
        <v>2186</v>
      </c>
    </row>
    <row r="828" spans="1:10" ht="15" customHeight="1" x14ac:dyDescent="0.35">
      <c r="A828" s="53" t="s">
        <v>896</v>
      </c>
      <c r="B828" s="53" t="s">
        <v>2187</v>
      </c>
      <c r="C828" s="53" t="s">
        <v>905</v>
      </c>
      <c r="D828" s="53">
        <v>1</v>
      </c>
      <c r="E828" s="53" t="s">
        <v>2188</v>
      </c>
      <c r="F828" s="53" t="s">
        <v>1885</v>
      </c>
      <c r="G828" s="53" t="s">
        <v>901</v>
      </c>
      <c r="H828" s="53" t="s">
        <v>902</v>
      </c>
      <c r="I828" s="53" t="s">
        <v>656</v>
      </c>
      <c r="J828" s="53" t="s">
        <v>2189</v>
      </c>
    </row>
    <row r="829" spans="1:10" ht="15" customHeight="1" x14ac:dyDescent="0.35">
      <c r="A829" s="53" t="s">
        <v>896</v>
      </c>
      <c r="B829" s="53" t="s">
        <v>2190</v>
      </c>
      <c r="C829" s="53" t="s">
        <v>1101</v>
      </c>
      <c r="D829" s="53">
        <v>1</v>
      </c>
      <c r="E829" s="53" t="s">
        <v>2191</v>
      </c>
      <c r="F829" s="53" t="s">
        <v>1885</v>
      </c>
      <c r="G829" s="53" t="s">
        <v>901</v>
      </c>
      <c r="H829" s="53" t="s">
        <v>902</v>
      </c>
      <c r="I829" s="53" t="s">
        <v>656</v>
      </c>
      <c r="J829" s="53" t="s">
        <v>2192</v>
      </c>
    </row>
    <row r="830" spans="1:10" ht="15" customHeight="1" x14ac:dyDescent="0.35">
      <c r="A830" s="53" t="s">
        <v>896</v>
      </c>
      <c r="B830" s="53" t="s">
        <v>2193</v>
      </c>
      <c r="C830" s="53" t="s">
        <v>1077</v>
      </c>
      <c r="D830" s="53">
        <v>1</v>
      </c>
      <c r="E830" s="53" t="s">
        <v>2194</v>
      </c>
      <c r="F830" s="53" t="s">
        <v>1885</v>
      </c>
      <c r="G830" s="53" t="s">
        <v>901</v>
      </c>
      <c r="H830" s="53" t="s">
        <v>902</v>
      </c>
      <c r="I830" s="53" t="s">
        <v>656</v>
      </c>
      <c r="J830" s="53" t="s">
        <v>2195</v>
      </c>
    </row>
    <row r="831" spans="1:10" ht="15" customHeight="1" x14ac:dyDescent="0.35">
      <c r="A831" s="53" t="s">
        <v>896</v>
      </c>
      <c r="B831" s="53" t="s">
        <v>2196</v>
      </c>
      <c r="C831" s="53" t="s">
        <v>1009</v>
      </c>
      <c r="D831" s="53">
        <v>1</v>
      </c>
      <c r="E831" s="53" t="s">
        <v>2197</v>
      </c>
      <c r="F831" s="53" t="s">
        <v>1885</v>
      </c>
      <c r="G831" s="53" t="s">
        <v>901</v>
      </c>
      <c r="H831" s="53" t="s">
        <v>902</v>
      </c>
      <c r="I831" s="53" t="s">
        <v>656</v>
      </c>
      <c r="J831" s="53" t="s">
        <v>2198</v>
      </c>
    </row>
    <row r="832" spans="1:10" ht="15" customHeight="1" x14ac:dyDescent="0.35">
      <c r="A832" s="53" t="s">
        <v>896</v>
      </c>
      <c r="B832" s="53" t="s">
        <v>2199</v>
      </c>
      <c r="C832" s="53" t="s">
        <v>1136</v>
      </c>
      <c r="D832" s="53">
        <v>1</v>
      </c>
      <c r="E832" s="53" t="s">
        <v>2200</v>
      </c>
      <c r="F832" s="53" t="s">
        <v>1885</v>
      </c>
      <c r="G832" s="53" t="s">
        <v>901</v>
      </c>
      <c r="H832" s="53" t="s">
        <v>902</v>
      </c>
      <c r="I832" s="53" t="s">
        <v>656</v>
      </c>
      <c r="J832" s="53" t="s">
        <v>2201</v>
      </c>
    </row>
    <row r="833" spans="1:10" ht="15" customHeight="1" x14ac:dyDescent="0.35">
      <c r="A833" s="53" t="s">
        <v>896</v>
      </c>
      <c r="B833" s="53" t="s">
        <v>2202</v>
      </c>
      <c r="C833" s="53" t="s">
        <v>1490</v>
      </c>
      <c r="D833" s="53">
        <v>1</v>
      </c>
      <c r="E833" s="53" t="s">
        <v>2203</v>
      </c>
      <c r="F833" s="53" t="s">
        <v>1885</v>
      </c>
      <c r="G833" s="53" t="s">
        <v>901</v>
      </c>
      <c r="H833" s="53" t="s">
        <v>902</v>
      </c>
      <c r="I833" s="53" t="s">
        <v>656</v>
      </c>
      <c r="J833" s="53" t="s">
        <v>2204</v>
      </c>
    </row>
    <row r="834" spans="1:10" ht="15" customHeight="1" x14ac:dyDescent="0.35">
      <c r="A834" s="53" t="s">
        <v>896</v>
      </c>
      <c r="B834" s="53" t="s">
        <v>2205</v>
      </c>
      <c r="C834" s="53" t="s">
        <v>1077</v>
      </c>
      <c r="D834" s="53">
        <v>1</v>
      </c>
      <c r="E834" s="53" t="s">
        <v>2206</v>
      </c>
      <c r="F834" s="53" t="s">
        <v>1885</v>
      </c>
      <c r="G834" s="53" t="s">
        <v>901</v>
      </c>
      <c r="H834" s="53" t="s">
        <v>902</v>
      </c>
      <c r="I834" s="53" t="s">
        <v>656</v>
      </c>
      <c r="J834" s="53" t="s">
        <v>2207</v>
      </c>
    </row>
    <row r="835" spans="1:10" ht="15" customHeight="1" x14ac:dyDescent="0.35">
      <c r="A835" s="53" t="s">
        <v>896</v>
      </c>
      <c r="B835" s="53" t="s">
        <v>2208</v>
      </c>
      <c r="C835" s="53" t="s">
        <v>989</v>
      </c>
      <c r="D835" s="53">
        <v>1</v>
      </c>
      <c r="E835" s="53" t="s">
        <v>2209</v>
      </c>
      <c r="F835" s="53" t="s">
        <v>1885</v>
      </c>
      <c r="G835" s="53" t="s">
        <v>901</v>
      </c>
      <c r="H835" s="53" t="s">
        <v>902</v>
      </c>
      <c r="I835" s="53" t="s">
        <v>656</v>
      </c>
      <c r="J835" s="53" t="s">
        <v>2210</v>
      </c>
    </row>
    <row r="836" spans="1:10" ht="15" customHeight="1" x14ac:dyDescent="0.35">
      <c r="A836" s="53" t="s">
        <v>896</v>
      </c>
      <c r="B836" s="53" t="s">
        <v>2211</v>
      </c>
      <c r="C836" s="53" t="s">
        <v>1009</v>
      </c>
      <c r="D836" s="53">
        <v>1</v>
      </c>
      <c r="E836" s="53" t="s">
        <v>2212</v>
      </c>
      <c r="F836" s="53" t="s">
        <v>1885</v>
      </c>
      <c r="G836" s="53" t="s">
        <v>901</v>
      </c>
      <c r="H836" s="53" t="s">
        <v>902</v>
      </c>
      <c r="I836" s="53" t="s">
        <v>656</v>
      </c>
      <c r="J836" s="53" t="s">
        <v>2213</v>
      </c>
    </row>
    <row r="837" spans="1:10" ht="15" customHeight="1" x14ac:dyDescent="0.35">
      <c r="A837" s="53" t="s">
        <v>896</v>
      </c>
      <c r="B837" s="53" t="s">
        <v>2214</v>
      </c>
      <c r="C837" s="53" t="s">
        <v>989</v>
      </c>
      <c r="D837" s="53">
        <v>1</v>
      </c>
      <c r="E837" s="53" t="s">
        <v>2215</v>
      </c>
      <c r="F837" s="53" t="s">
        <v>1885</v>
      </c>
      <c r="G837" s="53" t="s">
        <v>901</v>
      </c>
      <c r="H837" s="53" t="s">
        <v>902</v>
      </c>
      <c r="I837" s="53" t="s">
        <v>656</v>
      </c>
      <c r="J837" s="53" t="s">
        <v>2216</v>
      </c>
    </row>
    <row r="838" spans="1:10" ht="15" customHeight="1" x14ac:dyDescent="0.35">
      <c r="A838" s="53" t="s">
        <v>896</v>
      </c>
      <c r="B838" s="53" t="s">
        <v>2217</v>
      </c>
      <c r="C838" s="53" t="s">
        <v>925</v>
      </c>
      <c r="D838" s="53">
        <v>1</v>
      </c>
      <c r="E838" s="53" t="s">
        <v>2218</v>
      </c>
      <c r="F838" s="53" t="s">
        <v>1885</v>
      </c>
      <c r="G838" s="53" t="s">
        <v>901</v>
      </c>
      <c r="H838" s="53" t="s">
        <v>902</v>
      </c>
      <c r="I838" s="53" t="s">
        <v>656</v>
      </c>
      <c r="J838" s="53" t="s">
        <v>2219</v>
      </c>
    </row>
    <row r="839" spans="1:10" ht="15" customHeight="1" x14ac:dyDescent="0.35">
      <c r="A839" s="53" t="s">
        <v>896</v>
      </c>
      <c r="B839" s="53" t="s">
        <v>2220</v>
      </c>
      <c r="C839" s="53" t="s">
        <v>1690</v>
      </c>
      <c r="D839" s="53">
        <v>1</v>
      </c>
      <c r="E839" s="53" t="s">
        <v>2221</v>
      </c>
      <c r="F839" s="53" t="s">
        <v>1885</v>
      </c>
      <c r="G839" s="53" t="s">
        <v>901</v>
      </c>
      <c r="H839" s="53" t="s">
        <v>902</v>
      </c>
      <c r="I839" s="53" t="s">
        <v>656</v>
      </c>
      <c r="J839" s="53" t="s">
        <v>2222</v>
      </c>
    </row>
    <row r="840" spans="1:10" ht="15" customHeight="1" x14ac:dyDescent="0.35">
      <c r="A840" s="53" t="s">
        <v>896</v>
      </c>
      <c r="B840" s="53" t="s">
        <v>2223</v>
      </c>
      <c r="C840" s="53" t="s">
        <v>989</v>
      </c>
      <c r="D840" s="53">
        <v>1</v>
      </c>
      <c r="E840" s="53" t="s">
        <v>2224</v>
      </c>
      <c r="F840" s="53" t="s">
        <v>1885</v>
      </c>
      <c r="G840" s="53" t="s">
        <v>901</v>
      </c>
      <c r="H840" s="53" t="s">
        <v>902</v>
      </c>
      <c r="I840" s="53" t="s">
        <v>656</v>
      </c>
      <c r="J840" s="53" t="s">
        <v>2225</v>
      </c>
    </row>
    <row r="841" spans="1:10" ht="15" customHeight="1" x14ac:dyDescent="0.35">
      <c r="A841" s="53" t="s">
        <v>896</v>
      </c>
      <c r="B841" s="53" t="s">
        <v>2226</v>
      </c>
      <c r="C841" s="53" t="s">
        <v>996</v>
      </c>
      <c r="D841" s="53">
        <v>1</v>
      </c>
      <c r="E841" s="53" t="s">
        <v>2227</v>
      </c>
      <c r="F841" s="53" t="s">
        <v>1885</v>
      </c>
      <c r="G841" s="53" t="s">
        <v>901</v>
      </c>
      <c r="H841" s="53" t="s">
        <v>902</v>
      </c>
      <c r="I841" s="53" t="s">
        <v>656</v>
      </c>
      <c r="J841" s="53" t="s">
        <v>2228</v>
      </c>
    </row>
    <row r="842" spans="1:10" ht="15" customHeight="1" x14ac:dyDescent="0.35">
      <c r="A842" s="53" t="s">
        <v>896</v>
      </c>
      <c r="B842" s="53" t="s">
        <v>2229</v>
      </c>
      <c r="C842" s="53" t="s">
        <v>1009</v>
      </c>
      <c r="D842" s="53">
        <v>1</v>
      </c>
      <c r="E842" s="53" t="s">
        <v>2230</v>
      </c>
      <c r="F842" s="53" t="s">
        <v>1885</v>
      </c>
      <c r="G842" s="53" t="s">
        <v>901</v>
      </c>
      <c r="H842" s="53" t="s">
        <v>902</v>
      </c>
      <c r="I842" s="53" t="s">
        <v>656</v>
      </c>
      <c r="J842" s="53" t="s">
        <v>2231</v>
      </c>
    </row>
    <row r="843" spans="1:10" ht="15" customHeight="1" x14ac:dyDescent="0.35">
      <c r="A843" s="53" t="s">
        <v>896</v>
      </c>
      <c r="B843" s="53" t="s">
        <v>2232</v>
      </c>
      <c r="C843" s="53" t="s">
        <v>1077</v>
      </c>
      <c r="D843" s="53">
        <v>1</v>
      </c>
      <c r="E843" s="53" t="s">
        <v>2233</v>
      </c>
      <c r="F843" s="53" t="s">
        <v>1885</v>
      </c>
      <c r="G843" s="53" t="s">
        <v>901</v>
      </c>
      <c r="H843" s="53" t="s">
        <v>902</v>
      </c>
      <c r="I843" s="53" t="s">
        <v>656</v>
      </c>
      <c r="J843" s="53" t="s">
        <v>2234</v>
      </c>
    </row>
    <row r="844" spans="1:10" ht="15" customHeight="1" x14ac:dyDescent="0.35">
      <c r="A844" s="53" t="s">
        <v>896</v>
      </c>
      <c r="B844" s="53" t="s">
        <v>2235</v>
      </c>
      <c r="C844" s="53" t="s">
        <v>929</v>
      </c>
      <c r="D844" s="53">
        <v>1</v>
      </c>
      <c r="E844" s="53" t="s">
        <v>2236</v>
      </c>
      <c r="F844" s="53" t="s">
        <v>1885</v>
      </c>
      <c r="G844" s="53" t="s">
        <v>901</v>
      </c>
      <c r="H844" s="53" t="s">
        <v>902</v>
      </c>
      <c r="I844" s="53" t="s">
        <v>656</v>
      </c>
      <c r="J844" s="53" t="s">
        <v>2237</v>
      </c>
    </row>
    <row r="845" spans="1:10" ht="15" customHeight="1" x14ac:dyDescent="0.35">
      <c r="A845" s="53" t="s">
        <v>896</v>
      </c>
      <c r="B845" s="53" t="s">
        <v>2238</v>
      </c>
      <c r="C845" s="53" t="s">
        <v>959</v>
      </c>
      <c r="D845" s="53">
        <v>1</v>
      </c>
      <c r="E845" s="53" t="s">
        <v>2239</v>
      </c>
      <c r="F845" s="53" t="s">
        <v>1885</v>
      </c>
      <c r="G845" s="53" t="s">
        <v>901</v>
      </c>
      <c r="H845" s="53" t="s">
        <v>902</v>
      </c>
      <c r="I845" s="53" t="s">
        <v>656</v>
      </c>
      <c r="J845" s="53" t="s">
        <v>2240</v>
      </c>
    </row>
    <row r="846" spans="1:10" ht="15" customHeight="1" x14ac:dyDescent="0.35">
      <c r="A846" s="53" t="s">
        <v>896</v>
      </c>
      <c r="B846" s="53" t="s">
        <v>2241</v>
      </c>
      <c r="C846" s="53" t="s">
        <v>913</v>
      </c>
      <c r="D846" s="53">
        <v>1</v>
      </c>
      <c r="E846" s="53" t="s">
        <v>2242</v>
      </c>
      <c r="F846" s="53" t="s">
        <v>1885</v>
      </c>
      <c r="G846" s="53" t="s">
        <v>901</v>
      </c>
      <c r="H846" s="53" t="s">
        <v>902</v>
      </c>
      <c r="I846" s="53" t="s">
        <v>656</v>
      </c>
      <c r="J846" s="53" t="s">
        <v>2243</v>
      </c>
    </row>
    <row r="847" spans="1:10" ht="15" customHeight="1" x14ac:dyDescent="0.35">
      <c r="A847" s="53" t="s">
        <v>896</v>
      </c>
      <c r="B847" s="53" t="s">
        <v>2244</v>
      </c>
      <c r="C847" s="53" t="s">
        <v>1111</v>
      </c>
      <c r="D847" s="53">
        <v>1</v>
      </c>
      <c r="E847" s="53" t="s">
        <v>2245</v>
      </c>
      <c r="F847" s="53" t="s">
        <v>1885</v>
      </c>
      <c r="G847" s="53" t="s">
        <v>901</v>
      </c>
      <c r="H847" s="53" t="s">
        <v>902</v>
      </c>
      <c r="I847" s="53" t="s">
        <v>656</v>
      </c>
      <c r="J847" s="53" t="s">
        <v>2246</v>
      </c>
    </row>
    <row r="848" spans="1:10" ht="15" customHeight="1" x14ac:dyDescent="0.35">
      <c r="A848" s="53" t="s">
        <v>896</v>
      </c>
      <c r="B848" s="53" t="s">
        <v>2247</v>
      </c>
      <c r="C848" s="53" t="s">
        <v>905</v>
      </c>
      <c r="D848" s="53">
        <v>1</v>
      </c>
      <c r="E848" s="53" t="s">
        <v>2248</v>
      </c>
      <c r="F848" s="53" t="s">
        <v>1885</v>
      </c>
      <c r="G848" s="53" t="s">
        <v>901</v>
      </c>
      <c r="H848" s="53" t="s">
        <v>902</v>
      </c>
      <c r="I848" s="53" t="s">
        <v>656</v>
      </c>
      <c r="J848" s="53" t="s">
        <v>2249</v>
      </c>
    </row>
    <row r="849" spans="1:10" ht="15" customHeight="1" x14ac:dyDescent="0.35">
      <c r="A849" s="53" t="s">
        <v>896</v>
      </c>
      <c r="B849" s="53" t="s">
        <v>2250</v>
      </c>
      <c r="C849" s="53" t="s">
        <v>1240</v>
      </c>
      <c r="D849" s="53">
        <v>1</v>
      </c>
      <c r="E849" s="53" t="s">
        <v>2251</v>
      </c>
      <c r="F849" s="53" t="s">
        <v>1885</v>
      </c>
      <c r="G849" s="53" t="s">
        <v>901</v>
      </c>
      <c r="H849" s="53" t="s">
        <v>902</v>
      </c>
      <c r="I849" s="53" t="s">
        <v>656</v>
      </c>
      <c r="J849" s="53" t="s">
        <v>2252</v>
      </c>
    </row>
    <row r="850" spans="1:10" ht="15" customHeight="1" x14ac:dyDescent="0.35">
      <c r="A850" s="53" t="s">
        <v>896</v>
      </c>
      <c r="B850" s="53" t="s">
        <v>2253</v>
      </c>
      <c r="C850" s="53" t="s">
        <v>1240</v>
      </c>
      <c r="D850" s="53">
        <v>1</v>
      </c>
      <c r="E850" s="53" t="s">
        <v>2254</v>
      </c>
      <c r="F850" s="53" t="s">
        <v>1885</v>
      </c>
      <c r="G850" s="53" t="s">
        <v>901</v>
      </c>
      <c r="H850" s="53" t="s">
        <v>902</v>
      </c>
      <c r="I850" s="53" t="s">
        <v>656</v>
      </c>
      <c r="J850" s="53" t="s">
        <v>2255</v>
      </c>
    </row>
    <row r="851" spans="1:10" ht="15" customHeight="1" x14ac:dyDescent="0.35">
      <c r="A851" s="53" t="s">
        <v>896</v>
      </c>
      <c r="B851" s="53" t="s">
        <v>2256</v>
      </c>
      <c r="C851" s="53" t="s">
        <v>2257</v>
      </c>
      <c r="D851" s="53">
        <v>1</v>
      </c>
      <c r="E851" s="53" t="s">
        <v>2258</v>
      </c>
      <c r="F851" s="53" t="s">
        <v>1885</v>
      </c>
      <c r="G851" s="53" t="s">
        <v>901</v>
      </c>
      <c r="H851" s="53" t="s">
        <v>902</v>
      </c>
      <c r="I851" s="53" t="s">
        <v>656</v>
      </c>
      <c r="J851" s="53" t="s">
        <v>2259</v>
      </c>
    </row>
    <row r="852" spans="1:10" ht="15" customHeight="1" x14ac:dyDescent="0.35">
      <c r="A852" s="53" t="s">
        <v>896</v>
      </c>
      <c r="B852" s="53" t="s">
        <v>2260</v>
      </c>
      <c r="C852" s="53" t="s">
        <v>973</v>
      </c>
      <c r="D852" s="53">
        <v>1</v>
      </c>
      <c r="E852" s="53" t="s">
        <v>2261</v>
      </c>
      <c r="F852" s="53" t="s">
        <v>1885</v>
      </c>
      <c r="G852" s="53" t="s">
        <v>901</v>
      </c>
      <c r="H852" s="53" t="s">
        <v>902</v>
      </c>
      <c r="I852" s="53" t="s">
        <v>656</v>
      </c>
      <c r="J852" s="53" t="s">
        <v>2262</v>
      </c>
    </row>
    <row r="853" spans="1:10" ht="15" customHeight="1" x14ac:dyDescent="0.35">
      <c r="A853" s="53" t="s">
        <v>896</v>
      </c>
      <c r="B853" s="53" t="s">
        <v>2263</v>
      </c>
      <c r="C853" s="53" t="s">
        <v>1122</v>
      </c>
      <c r="D853" s="53">
        <v>1</v>
      </c>
      <c r="E853" s="53" t="s">
        <v>2264</v>
      </c>
      <c r="F853" s="53" t="s">
        <v>1885</v>
      </c>
      <c r="G853" s="53" t="s">
        <v>901</v>
      </c>
      <c r="H853" s="53" t="s">
        <v>902</v>
      </c>
      <c r="I853" s="53" t="s">
        <v>656</v>
      </c>
      <c r="J853" s="53" t="s">
        <v>2265</v>
      </c>
    </row>
    <row r="854" spans="1:10" ht="15" customHeight="1" x14ac:dyDescent="0.35">
      <c r="A854" s="53" t="s">
        <v>896</v>
      </c>
      <c r="B854" s="53" t="s">
        <v>2266</v>
      </c>
      <c r="C854" s="53" t="s">
        <v>1077</v>
      </c>
      <c r="D854" s="53">
        <v>1</v>
      </c>
      <c r="E854" s="53" t="s">
        <v>2267</v>
      </c>
      <c r="F854" s="53" t="s">
        <v>1885</v>
      </c>
      <c r="G854" s="53" t="s">
        <v>901</v>
      </c>
      <c r="H854" s="53" t="s">
        <v>902</v>
      </c>
      <c r="I854" s="53" t="s">
        <v>656</v>
      </c>
      <c r="J854" s="53" t="s">
        <v>2268</v>
      </c>
    </row>
    <row r="855" spans="1:10" ht="15" customHeight="1" x14ac:dyDescent="0.35">
      <c r="A855" s="53" t="s">
        <v>896</v>
      </c>
      <c r="B855" s="53" t="s">
        <v>2269</v>
      </c>
      <c r="C855" s="53" t="s">
        <v>929</v>
      </c>
      <c r="D855" s="53">
        <v>1</v>
      </c>
      <c r="E855" s="53" t="s">
        <v>2270</v>
      </c>
      <c r="F855" s="53" t="s">
        <v>1885</v>
      </c>
      <c r="G855" s="53" t="s">
        <v>901</v>
      </c>
      <c r="H855" s="53" t="s">
        <v>902</v>
      </c>
      <c r="I855" s="53" t="s">
        <v>656</v>
      </c>
      <c r="J855" s="53" t="s">
        <v>2271</v>
      </c>
    </row>
    <row r="856" spans="1:10" ht="15" customHeight="1" x14ac:dyDescent="0.35">
      <c r="A856" s="53" t="s">
        <v>896</v>
      </c>
      <c r="B856" s="53" t="s">
        <v>2272</v>
      </c>
      <c r="C856" s="53" t="s">
        <v>1129</v>
      </c>
      <c r="D856" s="53">
        <v>1</v>
      </c>
      <c r="E856" s="53" t="s">
        <v>2273</v>
      </c>
      <c r="F856" s="53" t="s">
        <v>1885</v>
      </c>
      <c r="G856" s="53" t="s">
        <v>901</v>
      </c>
      <c r="H856" s="53" t="s">
        <v>902</v>
      </c>
      <c r="I856" s="53" t="s">
        <v>656</v>
      </c>
      <c r="J856" s="53" t="s">
        <v>2274</v>
      </c>
    </row>
    <row r="857" spans="1:10" ht="15" customHeight="1" x14ac:dyDescent="0.35">
      <c r="A857" s="53" t="s">
        <v>896</v>
      </c>
      <c r="B857" s="53" t="s">
        <v>2275</v>
      </c>
      <c r="C857" s="53" t="s">
        <v>921</v>
      </c>
      <c r="D857" s="53">
        <v>1</v>
      </c>
      <c r="E857" s="53" t="s">
        <v>2276</v>
      </c>
      <c r="F857" s="53" t="s">
        <v>1885</v>
      </c>
      <c r="G857" s="53" t="s">
        <v>901</v>
      </c>
      <c r="H857" s="53" t="s">
        <v>902</v>
      </c>
      <c r="I857" s="53" t="s">
        <v>656</v>
      </c>
      <c r="J857" s="53" t="s">
        <v>2277</v>
      </c>
    </row>
    <row r="858" spans="1:10" ht="15" customHeight="1" x14ac:dyDescent="0.35">
      <c r="A858" s="53" t="s">
        <v>896</v>
      </c>
      <c r="B858" s="53" t="s">
        <v>2278</v>
      </c>
      <c r="C858" s="53" t="s">
        <v>921</v>
      </c>
      <c r="D858" s="53">
        <v>1</v>
      </c>
      <c r="E858" s="53" t="s">
        <v>2279</v>
      </c>
      <c r="F858" s="53" t="s">
        <v>1885</v>
      </c>
      <c r="G858" s="53" t="s">
        <v>901</v>
      </c>
      <c r="H858" s="53" t="s">
        <v>902</v>
      </c>
      <c r="I858" s="53" t="s">
        <v>656</v>
      </c>
      <c r="J858" s="53" t="s">
        <v>2280</v>
      </c>
    </row>
    <row r="859" spans="1:10" ht="15" customHeight="1" x14ac:dyDescent="0.35">
      <c r="A859" s="53" t="s">
        <v>896</v>
      </c>
      <c r="B859" s="53" t="s">
        <v>2281</v>
      </c>
      <c r="C859" s="53" t="s">
        <v>1077</v>
      </c>
      <c r="D859" s="53">
        <v>1</v>
      </c>
      <c r="E859" s="53" t="s">
        <v>2282</v>
      </c>
      <c r="F859" s="53" t="s">
        <v>1885</v>
      </c>
      <c r="G859" s="53" t="s">
        <v>901</v>
      </c>
      <c r="H859" s="53" t="s">
        <v>902</v>
      </c>
      <c r="I859" s="53" t="s">
        <v>656</v>
      </c>
      <c r="J859" s="53" t="s">
        <v>2283</v>
      </c>
    </row>
    <row r="860" spans="1:10" ht="15" customHeight="1" x14ac:dyDescent="0.35">
      <c r="A860" s="53" t="s">
        <v>896</v>
      </c>
      <c r="B860" s="53" t="s">
        <v>2284</v>
      </c>
      <c r="C860" s="53" t="s">
        <v>1077</v>
      </c>
      <c r="D860" s="53">
        <v>1</v>
      </c>
      <c r="E860" s="53" t="s">
        <v>2285</v>
      </c>
      <c r="F860" s="53" t="s">
        <v>1885</v>
      </c>
      <c r="G860" s="53" t="s">
        <v>901</v>
      </c>
      <c r="H860" s="53" t="s">
        <v>902</v>
      </c>
      <c r="I860" s="53" t="s">
        <v>656</v>
      </c>
      <c r="J860" s="53" t="s">
        <v>2286</v>
      </c>
    </row>
    <row r="861" spans="1:10" ht="15" customHeight="1" x14ac:dyDescent="0.35">
      <c r="A861" s="53" t="s">
        <v>896</v>
      </c>
      <c r="B861" s="53" t="s">
        <v>2287</v>
      </c>
      <c r="C861" s="53" t="s">
        <v>1659</v>
      </c>
      <c r="D861" s="53">
        <v>1</v>
      </c>
      <c r="E861" s="53" t="s">
        <v>2288</v>
      </c>
      <c r="F861" s="53" t="s">
        <v>1885</v>
      </c>
      <c r="G861" s="53" t="s">
        <v>901</v>
      </c>
      <c r="H861" s="53" t="s">
        <v>902</v>
      </c>
      <c r="I861" s="53" t="s">
        <v>656</v>
      </c>
      <c r="J861" s="53" t="s">
        <v>2289</v>
      </c>
    </row>
    <row r="862" spans="1:10" ht="15" customHeight="1" x14ac:dyDescent="0.35">
      <c r="A862" s="53" t="s">
        <v>896</v>
      </c>
      <c r="B862" s="53" t="s">
        <v>2290</v>
      </c>
      <c r="C862" s="53" t="s">
        <v>913</v>
      </c>
      <c r="D862" s="53">
        <v>1</v>
      </c>
      <c r="E862" s="53" t="s">
        <v>2291</v>
      </c>
      <c r="F862" s="53" t="s">
        <v>1885</v>
      </c>
      <c r="G862" s="53" t="s">
        <v>901</v>
      </c>
      <c r="H862" s="53" t="s">
        <v>902</v>
      </c>
      <c r="I862" s="53" t="s">
        <v>656</v>
      </c>
      <c r="J862" s="53" t="s">
        <v>2292</v>
      </c>
    </row>
    <row r="863" spans="1:10" ht="15" customHeight="1" x14ac:dyDescent="0.35">
      <c r="A863" s="53" t="s">
        <v>896</v>
      </c>
      <c r="B863" s="53" t="s">
        <v>2293</v>
      </c>
      <c r="C863" s="53" t="s">
        <v>1240</v>
      </c>
      <c r="D863" s="53">
        <v>1</v>
      </c>
      <c r="E863" s="53" t="s">
        <v>2294</v>
      </c>
      <c r="F863" s="53" t="s">
        <v>1885</v>
      </c>
      <c r="G863" s="53" t="s">
        <v>901</v>
      </c>
      <c r="H863" s="53" t="s">
        <v>902</v>
      </c>
      <c r="I863" s="53" t="s">
        <v>656</v>
      </c>
      <c r="J863" s="53" t="s">
        <v>2295</v>
      </c>
    </row>
    <row r="864" spans="1:10" ht="15" customHeight="1" x14ac:dyDescent="0.35">
      <c r="A864" s="53" t="s">
        <v>896</v>
      </c>
      <c r="B864" s="53" t="s">
        <v>2296</v>
      </c>
      <c r="C864" s="53" t="s">
        <v>1077</v>
      </c>
      <c r="D864" s="53">
        <v>1</v>
      </c>
      <c r="E864" s="53" t="s">
        <v>2297</v>
      </c>
      <c r="F864" s="53" t="s">
        <v>1885</v>
      </c>
      <c r="G864" s="53" t="s">
        <v>901</v>
      </c>
      <c r="H864" s="53" t="s">
        <v>902</v>
      </c>
      <c r="I864" s="53" t="s">
        <v>656</v>
      </c>
      <c r="J864" s="53" t="s">
        <v>2298</v>
      </c>
    </row>
    <row r="865" spans="1:10" ht="15" customHeight="1" x14ac:dyDescent="0.35">
      <c r="A865" s="53" t="s">
        <v>896</v>
      </c>
      <c r="B865" s="53" t="s">
        <v>2299</v>
      </c>
      <c r="C865" s="53" t="s">
        <v>942</v>
      </c>
      <c r="D865" s="53">
        <v>1</v>
      </c>
      <c r="E865" s="53" t="s">
        <v>2300</v>
      </c>
      <c r="F865" s="53" t="s">
        <v>1885</v>
      </c>
      <c r="G865" s="53" t="s">
        <v>901</v>
      </c>
      <c r="H865" s="53" t="s">
        <v>902</v>
      </c>
      <c r="I865" s="53" t="s">
        <v>656</v>
      </c>
      <c r="J865" s="53" t="s">
        <v>2301</v>
      </c>
    </row>
    <row r="866" spans="1:10" ht="15" customHeight="1" x14ac:dyDescent="0.35">
      <c r="A866" s="53" t="s">
        <v>896</v>
      </c>
      <c r="B866" s="53" t="s">
        <v>2302</v>
      </c>
      <c r="C866" s="53" t="s">
        <v>1697</v>
      </c>
      <c r="D866" s="53">
        <v>1</v>
      </c>
      <c r="E866" s="53" t="s">
        <v>2303</v>
      </c>
      <c r="F866" s="53" t="s">
        <v>1885</v>
      </c>
      <c r="G866" s="53" t="s">
        <v>901</v>
      </c>
      <c r="H866" s="53" t="s">
        <v>902</v>
      </c>
      <c r="I866" s="53" t="s">
        <v>656</v>
      </c>
      <c r="J866" s="53" t="s">
        <v>2304</v>
      </c>
    </row>
    <row r="867" spans="1:10" ht="15" customHeight="1" x14ac:dyDescent="0.35">
      <c r="A867" s="53" t="s">
        <v>896</v>
      </c>
      <c r="B867" s="53" t="s">
        <v>2305</v>
      </c>
      <c r="C867" s="53" t="s">
        <v>1077</v>
      </c>
      <c r="D867" s="53">
        <v>1</v>
      </c>
      <c r="E867" s="53" t="s">
        <v>2306</v>
      </c>
      <c r="F867" s="53" t="s">
        <v>1885</v>
      </c>
      <c r="G867" s="53" t="s">
        <v>901</v>
      </c>
      <c r="H867" s="53" t="s">
        <v>902</v>
      </c>
      <c r="I867" s="53" t="s">
        <v>656</v>
      </c>
      <c r="J867" s="53" t="s">
        <v>2307</v>
      </c>
    </row>
    <row r="868" spans="1:10" ht="15" customHeight="1" x14ac:dyDescent="0.35">
      <c r="A868" s="53" t="s">
        <v>896</v>
      </c>
      <c r="B868" s="53" t="s">
        <v>2308</v>
      </c>
      <c r="C868" s="53" t="s">
        <v>989</v>
      </c>
      <c r="D868" s="53">
        <v>1</v>
      </c>
      <c r="E868" s="53" t="s">
        <v>2309</v>
      </c>
      <c r="F868" s="53" t="s">
        <v>1885</v>
      </c>
      <c r="G868" s="53" t="s">
        <v>901</v>
      </c>
      <c r="H868" s="53" t="s">
        <v>902</v>
      </c>
      <c r="I868" s="53" t="s">
        <v>656</v>
      </c>
      <c r="J868" s="53" t="s">
        <v>2310</v>
      </c>
    </row>
    <row r="869" spans="1:10" ht="15" customHeight="1" x14ac:dyDescent="0.35">
      <c r="A869" s="53" t="s">
        <v>896</v>
      </c>
      <c r="B869" s="53" t="s">
        <v>2311</v>
      </c>
      <c r="C869" s="53" t="s">
        <v>959</v>
      </c>
      <c r="D869" s="53">
        <v>1</v>
      </c>
      <c r="E869" s="53" t="s">
        <v>2312</v>
      </c>
      <c r="F869" s="53" t="s">
        <v>1885</v>
      </c>
      <c r="G869" s="53" t="s">
        <v>901</v>
      </c>
      <c r="H869" s="53" t="s">
        <v>902</v>
      </c>
      <c r="I869" s="53" t="s">
        <v>656</v>
      </c>
      <c r="J869" s="53" t="s">
        <v>2313</v>
      </c>
    </row>
    <row r="870" spans="1:10" ht="15" customHeight="1" x14ac:dyDescent="0.35">
      <c r="A870" s="53" t="s">
        <v>896</v>
      </c>
      <c r="B870" s="53" t="s">
        <v>2314</v>
      </c>
      <c r="C870" s="53" t="s">
        <v>1582</v>
      </c>
      <c r="D870" s="53">
        <v>1</v>
      </c>
      <c r="E870" s="53" t="s">
        <v>2315</v>
      </c>
      <c r="F870" s="53" t="s">
        <v>1885</v>
      </c>
      <c r="G870" s="53" t="s">
        <v>901</v>
      </c>
      <c r="H870" s="53" t="s">
        <v>902</v>
      </c>
      <c r="I870" s="53" t="s">
        <v>656</v>
      </c>
      <c r="J870" s="53" t="s">
        <v>2316</v>
      </c>
    </row>
    <row r="871" spans="1:10" ht="15" customHeight="1" x14ac:dyDescent="0.35">
      <c r="A871" s="53" t="s">
        <v>896</v>
      </c>
      <c r="B871" s="53" t="s">
        <v>2317</v>
      </c>
      <c r="C871" s="53" t="s">
        <v>963</v>
      </c>
      <c r="D871" s="53">
        <v>1</v>
      </c>
      <c r="E871" s="53" t="s">
        <v>2318</v>
      </c>
      <c r="F871" s="53" t="s">
        <v>1885</v>
      </c>
      <c r="G871" s="53" t="s">
        <v>901</v>
      </c>
      <c r="H871" s="53" t="s">
        <v>902</v>
      </c>
      <c r="I871" s="53" t="s">
        <v>656</v>
      </c>
      <c r="J871" s="53" t="s">
        <v>2319</v>
      </c>
    </row>
    <row r="872" spans="1:10" ht="15" customHeight="1" x14ac:dyDescent="0.35">
      <c r="A872" s="53" t="s">
        <v>896</v>
      </c>
      <c r="B872" s="53" t="s">
        <v>2320</v>
      </c>
      <c r="C872" s="53" t="s">
        <v>1768</v>
      </c>
      <c r="D872" s="53">
        <v>1</v>
      </c>
      <c r="E872" s="53" t="s">
        <v>2321</v>
      </c>
      <c r="F872" s="53" t="s">
        <v>1885</v>
      </c>
      <c r="G872" s="53" t="s">
        <v>901</v>
      </c>
      <c r="H872" s="53" t="s">
        <v>902</v>
      </c>
      <c r="I872" s="53" t="s">
        <v>656</v>
      </c>
      <c r="J872" s="53" t="s">
        <v>2322</v>
      </c>
    </row>
    <row r="873" spans="1:10" ht="15" customHeight="1" x14ac:dyDescent="0.35">
      <c r="A873" s="53" t="s">
        <v>896</v>
      </c>
      <c r="B873" s="53" t="s">
        <v>2323</v>
      </c>
      <c r="C873" s="53" t="s">
        <v>1009</v>
      </c>
      <c r="D873" s="53">
        <v>1</v>
      </c>
      <c r="E873" s="53" t="s">
        <v>2324</v>
      </c>
      <c r="F873" s="53" t="s">
        <v>1885</v>
      </c>
      <c r="G873" s="53" t="s">
        <v>901</v>
      </c>
      <c r="H873" s="53" t="s">
        <v>902</v>
      </c>
      <c r="I873" s="53" t="s">
        <v>656</v>
      </c>
      <c r="J873" s="53" t="s">
        <v>2325</v>
      </c>
    </row>
    <row r="874" spans="1:10" ht="15" customHeight="1" x14ac:dyDescent="0.35">
      <c r="A874" s="53" t="s">
        <v>896</v>
      </c>
      <c r="B874" s="53" t="s">
        <v>2326</v>
      </c>
      <c r="C874" s="53" t="s">
        <v>921</v>
      </c>
      <c r="D874" s="53">
        <v>1</v>
      </c>
      <c r="E874" s="53" t="s">
        <v>2327</v>
      </c>
      <c r="F874" s="53" t="s">
        <v>1885</v>
      </c>
      <c r="G874" s="53" t="s">
        <v>901</v>
      </c>
      <c r="H874" s="53" t="s">
        <v>902</v>
      </c>
      <c r="I874" s="53" t="s">
        <v>656</v>
      </c>
      <c r="J874" s="53" t="s">
        <v>2328</v>
      </c>
    </row>
    <row r="875" spans="1:10" ht="15" customHeight="1" x14ac:dyDescent="0.35">
      <c r="A875" s="53" t="s">
        <v>896</v>
      </c>
      <c r="B875" s="53" t="s">
        <v>2329</v>
      </c>
      <c r="C875" s="53" t="s">
        <v>1697</v>
      </c>
      <c r="D875" s="53">
        <v>1</v>
      </c>
      <c r="E875" s="53" t="s">
        <v>2330</v>
      </c>
      <c r="F875" s="53" t="s">
        <v>1885</v>
      </c>
      <c r="G875" s="53" t="s">
        <v>901</v>
      </c>
      <c r="H875" s="53" t="s">
        <v>902</v>
      </c>
      <c r="I875" s="53" t="s">
        <v>656</v>
      </c>
      <c r="J875" s="53" t="s">
        <v>2331</v>
      </c>
    </row>
    <row r="876" spans="1:10" ht="15" customHeight="1" x14ac:dyDescent="0.35">
      <c r="A876" s="53" t="s">
        <v>896</v>
      </c>
      <c r="B876" s="53" t="s">
        <v>2332</v>
      </c>
      <c r="C876" s="53" t="s">
        <v>1240</v>
      </c>
      <c r="D876" s="53">
        <v>1</v>
      </c>
      <c r="E876" s="53" t="s">
        <v>2333</v>
      </c>
      <c r="F876" s="53" t="s">
        <v>1442</v>
      </c>
      <c r="G876" s="53" t="s">
        <v>901</v>
      </c>
      <c r="H876" s="53" t="s">
        <v>902</v>
      </c>
      <c r="I876" s="53" t="s">
        <v>656</v>
      </c>
      <c r="J876" s="53" t="s">
        <v>2334</v>
      </c>
    </row>
    <row r="877" spans="1:10" ht="15" customHeight="1" x14ac:dyDescent="0.35">
      <c r="A877" s="53" t="s">
        <v>896</v>
      </c>
      <c r="B877" s="53" t="s">
        <v>2335</v>
      </c>
      <c r="C877" s="53" t="s">
        <v>989</v>
      </c>
      <c r="D877" s="53">
        <v>1</v>
      </c>
      <c r="E877" s="53" t="s">
        <v>2330</v>
      </c>
      <c r="F877" s="53" t="s">
        <v>1885</v>
      </c>
      <c r="G877" s="53" t="s">
        <v>901</v>
      </c>
      <c r="H877" s="53" t="s">
        <v>902</v>
      </c>
      <c r="I877" s="53" t="s">
        <v>656</v>
      </c>
      <c r="J877" s="53" t="s">
        <v>2336</v>
      </c>
    </row>
    <row r="878" spans="1:10" ht="15" customHeight="1" x14ac:dyDescent="0.35">
      <c r="A878" s="53" t="s">
        <v>896</v>
      </c>
      <c r="B878" s="53" t="s">
        <v>2337</v>
      </c>
      <c r="C878" s="53" t="s">
        <v>1009</v>
      </c>
      <c r="D878" s="53">
        <v>1</v>
      </c>
      <c r="E878" s="53" t="s">
        <v>2338</v>
      </c>
      <c r="F878" s="53" t="s">
        <v>1885</v>
      </c>
      <c r="G878" s="53" t="s">
        <v>901</v>
      </c>
      <c r="H878" s="53" t="s">
        <v>902</v>
      </c>
      <c r="I878" s="53" t="s">
        <v>656</v>
      </c>
      <c r="J878" s="53" t="s">
        <v>2339</v>
      </c>
    </row>
    <row r="879" spans="1:10" ht="15" customHeight="1" x14ac:dyDescent="0.35">
      <c r="A879" s="53" t="s">
        <v>896</v>
      </c>
      <c r="B879" s="53" t="s">
        <v>2340</v>
      </c>
      <c r="C879" s="53" t="s">
        <v>1077</v>
      </c>
      <c r="D879" s="53">
        <v>1</v>
      </c>
      <c r="E879" s="53" t="s">
        <v>2341</v>
      </c>
      <c r="F879" s="53" t="s">
        <v>1885</v>
      </c>
      <c r="G879" s="53" t="s">
        <v>901</v>
      </c>
      <c r="H879" s="53" t="s">
        <v>902</v>
      </c>
      <c r="I879" s="53" t="s">
        <v>656</v>
      </c>
      <c r="J879" s="53" t="s">
        <v>2342</v>
      </c>
    </row>
    <row r="880" spans="1:10" ht="15" customHeight="1" x14ac:dyDescent="0.35">
      <c r="A880" s="53" t="s">
        <v>896</v>
      </c>
      <c r="B880" s="53" t="s">
        <v>2343</v>
      </c>
      <c r="C880" s="53" t="s">
        <v>1077</v>
      </c>
      <c r="D880" s="53">
        <v>1</v>
      </c>
      <c r="E880" s="53" t="s">
        <v>2344</v>
      </c>
      <c r="F880" s="53" t="s">
        <v>1885</v>
      </c>
      <c r="G880" s="53" t="s">
        <v>901</v>
      </c>
      <c r="H880" s="53" t="s">
        <v>902</v>
      </c>
      <c r="I880" s="53" t="s">
        <v>656</v>
      </c>
      <c r="J880" s="53" t="s">
        <v>2345</v>
      </c>
    </row>
    <row r="881" spans="1:10" ht="15" customHeight="1" x14ac:dyDescent="0.35">
      <c r="A881" s="53" t="s">
        <v>896</v>
      </c>
      <c r="B881" s="53" t="s">
        <v>2346</v>
      </c>
      <c r="C881" s="53" t="s">
        <v>921</v>
      </c>
      <c r="D881" s="53">
        <v>1</v>
      </c>
      <c r="E881" s="53" t="s">
        <v>2347</v>
      </c>
      <c r="F881" s="53" t="s">
        <v>1885</v>
      </c>
      <c r="G881" s="53" t="s">
        <v>901</v>
      </c>
      <c r="H881" s="53" t="s">
        <v>902</v>
      </c>
      <c r="I881" s="53" t="s">
        <v>656</v>
      </c>
      <c r="J881" s="53" t="s">
        <v>2348</v>
      </c>
    </row>
    <row r="882" spans="1:10" ht="15" customHeight="1" x14ac:dyDescent="0.35">
      <c r="A882" s="53" t="s">
        <v>896</v>
      </c>
      <c r="B882" s="53" t="s">
        <v>2349</v>
      </c>
      <c r="C882" s="53" t="s">
        <v>963</v>
      </c>
      <c r="D882" s="53">
        <v>1</v>
      </c>
      <c r="E882" s="53" t="s">
        <v>2347</v>
      </c>
      <c r="F882" s="53" t="s">
        <v>1885</v>
      </c>
      <c r="G882" s="53" t="s">
        <v>901</v>
      </c>
      <c r="H882" s="53" t="s">
        <v>902</v>
      </c>
      <c r="I882" s="53" t="s">
        <v>656</v>
      </c>
      <c r="J882" s="53" t="s">
        <v>2350</v>
      </c>
    </row>
    <row r="883" spans="1:10" ht="15" customHeight="1" x14ac:dyDescent="0.35">
      <c r="A883" s="53" t="s">
        <v>896</v>
      </c>
      <c r="B883" s="53" t="s">
        <v>2351</v>
      </c>
      <c r="C883" s="53" t="s">
        <v>1077</v>
      </c>
      <c r="D883" s="53">
        <v>1</v>
      </c>
      <c r="E883" s="53" t="s">
        <v>2347</v>
      </c>
      <c r="F883" s="53" t="s">
        <v>1885</v>
      </c>
      <c r="G883" s="53" t="s">
        <v>901</v>
      </c>
      <c r="H883" s="53" t="s">
        <v>902</v>
      </c>
      <c r="I883" s="53" t="s">
        <v>656</v>
      </c>
      <c r="J883" s="53" t="s">
        <v>2352</v>
      </c>
    </row>
    <row r="884" spans="1:10" ht="15" customHeight="1" x14ac:dyDescent="0.35">
      <c r="A884" s="53" t="s">
        <v>896</v>
      </c>
      <c r="B884" s="53" t="s">
        <v>2353</v>
      </c>
      <c r="C884" s="53" t="s">
        <v>1122</v>
      </c>
      <c r="D884" s="53">
        <v>1</v>
      </c>
      <c r="E884" s="53" t="s">
        <v>2354</v>
      </c>
      <c r="F884" s="53" t="s">
        <v>1885</v>
      </c>
      <c r="G884" s="53" t="s">
        <v>901</v>
      </c>
      <c r="H884" s="53" t="s">
        <v>902</v>
      </c>
      <c r="I884" s="53" t="s">
        <v>656</v>
      </c>
      <c r="J884" s="53" t="s">
        <v>2355</v>
      </c>
    </row>
    <row r="885" spans="1:10" ht="15" customHeight="1" x14ac:dyDescent="0.35">
      <c r="A885" s="53" t="s">
        <v>896</v>
      </c>
      <c r="B885" s="53" t="s">
        <v>2356</v>
      </c>
      <c r="C885" s="53" t="s">
        <v>1118</v>
      </c>
      <c r="D885" s="53">
        <v>1</v>
      </c>
      <c r="E885" s="53" t="s">
        <v>2357</v>
      </c>
      <c r="F885" s="53" t="s">
        <v>1885</v>
      </c>
      <c r="G885" s="53" t="s">
        <v>901</v>
      </c>
      <c r="H885" s="53" t="s">
        <v>902</v>
      </c>
      <c r="I885" s="53" t="s">
        <v>656</v>
      </c>
      <c r="J885" s="53" t="s">
        <v>2358</v>
      </c>
    </row>
    <row r="886" spans="1:10" ht="15" customHeight="1" x14ac:dyDescent="0.35">
      <c r="A886" s="53" t="s">
        <v>896</v>
      </c>
      <c r="B886" s="53" t="s">
        <v>2359</v>
      </c>
      <c r="C886" s="53" t="s">
        <v>1070</v>
      </c>
      <c r="D886" s="53">
        <v>1</v>
      </c>
      <c r="E886" s="53" t="s">
        <v>2360</v>
      </c>
      <c r="F886" s="53" t="s">
        <v>1885</v>
      </c>
      <c r="G886" s="53" t="s">
        <v>901</v>
      </c>
      <c r="H886" s="53" t="s">
        <v>902</v>
      </c>
      <c r="I886" s="53" t="s">
        <v>656</v>
      </c>
      <c r="J886" s="53" t="s">
        <v>2361</v>
      </c>
    </row>
    <row r="887" spans="1:10" ht="15" customHeight="1" x14ac:dyDescent="0.35">
      <c r="A887" s="53" t="s">
        <v>896</v>
      </c>
      <c r="B887" s="53" t="s">
        <v>2362</v>
      </c>
      <c r="C887" s="53" t="s">
        <v>1817</v>
      </c>
      <c r="D887" s="53">
        <v>1</v>
      </c>
      <c r="E887" s="53" t="s">
        <v>2363</v>
      </c>
      <c r="F887" s="53" t="s">
        <v>1885</v>
      </c>
      <c r="G887" s="53" t="s">
        <v>901</v>
      </c>
      <c r="H887" s="53" t="s">
        <v>902</v>
      </c>
      <c r="I887" s="53" t="s">
        <v>656</v>
      </c>
      <c r="J887" s="53" t="s">
        <v>2364</v>
      </c>
    </row>
    <row r="888" spans="1:10" ht="15" customHeight="1" x14ac:dyDescent="0.35">
      <c r="A888" s="53" t="s">
        <v>896</v>
      </c>
      <c r="B888" s="53" t="s">
        <v>2365</v>
      </c>
      <c r="C888" s="53" t="s">
        <v>1070</v>
      </c>
      <c r="D888" s="53">
        <v>1</v>
      </c>
      <c r="E888" s="53" t="s">
        <v>2366</v>
      </c>
      <c r="F888" s="53" t="s">
        <v>1885</v>
      </c>
      <c r="G888" s="53" t="s">
        <v>901</v>
      </c>
      <c r="H888" s="53" t="s">
        <v>902</v>
      </c>
      <c r="I888" s="53" t="s">
        <v>656</v>
      </c>
      <c r="J888" s="53" t="s">
        <v>2367</v>
      </c>
    </row>
    <row r="889" spans="1:10" ht="15" customHeight="1" x14ac:dyDescent="0.35">
      <c r="A889" s="53" t="s">
        <v>896</v>
      </c>
      <c r="B889" s="53" t="s">
        <v>2368</v>
      </c>
      <c r="C889" s="53" t="s">
        <v>921</v>
      </c>
      <c r="D889" s="53">
        <v>1</v>
      </c>
      <c r="E889" s="53" t="s">
        <v>2369</v>
      </c>
      <c r="F889" s="53" t="s">
        <v>1885</v>
      </c>
      <c r="G889" s="53" t="s">
        <v>901</v>
      </c>
      <c r="H889" s="53" t="s">
        <v>902</v>
      </c>
      <c r="I889" s="53" t="s">
        <v>656</v>
      </c>
      <c r="J889" s="53" t="s">
        <v>2370</v>
      </c>
    </row>
    <row r="890" spans="1:10" ht="15" customHeight="1" x14ac:dyDescent="0.35">
      <c r="A890" s="53" t="s">
        <v>896</v>
      </c>
      <c r="B890" s="53" t="s">
        <v>2371</v>
      </c>
      <c r="C890" s="53" t="s">
        <v>1070</v>
      </c>
      <c r="D890" s="53">
        <v>1</v>
      </c>
      <c r="E890" s="53" t="s">
        <v>2372</v>
      </c>
      <c r="F890" s="53" t="s">
        <v>1885</v>
      </c>
      <c r="G890" s="53" t="s">
        <v>901</v>
      </c>
      <c r="H890" s="53" t="s">
        <v>902</v>
      </c>
      <c r="I890" s="53" t="s">
        <v>656</v>
      </c>
      <c r="J890" s="53" t="s">
        <v>2373</v>
      </c>
    </row>
    <row r="891" spans="1:10" ht="15" customHeight="1" x14ac:dyDescent="0.35">
      <c r="A891" s="53" t="s">
        <v>896</v>
      </c>
      <c r="B891" s="53" t="s">
        <v>2374</v>
      </c>
      <c r="C891" s="53" t="s">
        <v>921</v>
      </c>
      <c r="D891" s="53">
        <v>1</v>
      </c>
      <c r="E891" s="53" t="s">
        <v>2375</v>
      </c>
      <c r="F891" s="53" t="s">
        <v>1885</v>
      </c>
      <c r="G891" s="53" t="s">
        <v>901</v>
      </c>
      <c r="H891" s="53" t="s">
        <v>902</v>
      </c>
      <c r="I891" s="53" t="s">
        <v>656</v>
      </c>
      <c r="J891" s="53" t="s">
        <v>2376</v>
      </c>
    </row>
    <row r="892" spans="1:10" ht="15" customHeight="1" x14ac:dyDescent="0.35">
      <c r="A892" s="53" t="s">
        <v>896</v>
      </c>
      <c r="B892" s="53" t="s">
        <v>2377</v>
      </c>
      <c r="C892" s="53" t="s">
        <v>1009</v>
      </c>
      <c r="D892" s="53">
        <v>1</v>
      </c>
      <c r="E892" s="53" t="s">
        <v>2378</v>
      </c>
      <c r="F892" s="53" t="s">
        <v>1885</v>
      </c>
      <c r="G892" s="53" t="s">
        <v>901</v>
      </c>
      <c r="H892" s="53" t="s">
        <v>902</v>
      </c>
      <c r="I892" s="53" t="s">
        <v>656</v>
      </c>
      <c r="J892" s="53" t="s">
        <v>2379</v>
      </c>
    </row>
    <row r="893" spans="1:10" ht="15" customHeight="1" x14ac:dyDescent="0.35">
      <c r="A893" s="53" t="s">
        <v>896</v>
      </c>
      <c r="B893" s="53" t="s">
        <v>2380</v>
      </c>
      <c r="C893" s="53" t="s">
        <v>929</v>
      </c>
      <c r="D893" s="53">
        <v>1</v>
      </c>
      <c r="E893" s="53" t="s">
        <v>2381</v>
      </c>
      <c r="F893" s="53" t="s">
        <v>1885</v>
      </c>
      <c r="G893" s="53" t="s">
        <v>901</v>
      </c>
      <c r="H893" s="53" t="s">
        <v>902</v>
      </c>
      <c r="I893" s="53" t="s">
        <v>656</v>
      </c>
      <c r="J893" s="53" t="s">
        <v>2382</v>
      </c>
    </row>
    <row r="894" spans="1:10" ht="15" customHeight="1" x14ac:dyDescent="0.35">
      <c r="A894" s="53" t="s">
        <v>896</v>
      </c>
      <c r="B894" s="53" t="s">
        <v>2383</v>
      </c>
      <c r="C894" s="53" t="s">
        <v>989</v>
      </c>
      <c r="D894" s="53">
        <v>1</v>
      </c>
      <c r="E894" s="53" t="s">
        <v>2384</v>
      </c>
      <c r="F894" s="53" t="s">
        <v>1885</v>
      </c>
      <c r="G894" s="53" t="s">
        <v>901</v>
      </c>
      <c r="H894" s="53" t="s">
        <v>902</v>
      </c>
      <c r="I894" s="53" t="s">
        <v>656</v>
      </c>
      <c r="J894" s="53" t="s">
        <v>2385</v>
      </c>
    </row>
    <row r="895" spans="1:10" ht="15" customHeight="1" x14ac:dyDescent="0.35">
      <c r="A895" s="53" t="s">
        <v>896</v>
      </c>
      <c r="B895" s="53" t="s">
        <v>2386</v>
      </c>
      <c r="C895" s="53" t="s">
        <v>1136</v>
      </c>
      <c r="D895" s="53">
        <v>1</v>
      </c>
      <c r="E895" s="53" t="s">
        <v>2387</v>
      </c>
      <c r="F895" s="53" t="s">
        <v>1885</v>
      </c>
      <c r="G895" s="53" t="s">
        <v>901</v>
      </c>
      <c r="H895" s="53" t="s">
        <v>902</v>
      </c>
      <c r="I895" s="53" t="s">
        <v>656</v>
      </c>
      <c r="J895" s="53" t="s">
        <v>2388</v>
      </c>
    </row>
    <row r="896" spans="1:10" ht="15" customHeight="1" x14ac:dyDescent="0.35">
      <c r="A896" s="53" t="s">
        <v>896</v>
      </c>
      <c r="B896" s="53" t="s">
        <v>2389</v>
      </c>
      <c r="C896" s="53" t="s">
        <v>1118</v>
      </c>
      <c r="D896" s="53">
        <v>1</v>
      </c>
      <c r="E896" s="53" t="s">
        <v>2390</v>
      </c>
      <c r="F896" s="53" t="s">
        <v>1885</v>
      </c>
      <c r="G896" s="53" t="s">
        <v>901</v>
      </c>
      <c r="H896" s="53" t="s">
        <v>902</v>
      </c>
      <c r="I896" s="53" t="s">
        <v>656</v>
      </c>
      <c r="J896" s="53" t="s">
        <v>2391</v>
      </c>
    </row>
    <row r="897" spans="1:10" ht="15" customHeight="1" x14ac:dyDescent="0.35">
      <c r="A897" s="53" t="s">
        <v>896</v>
      </c>
      <c r="B897" s="53" t="s">
        <v>2392</v>
      </c>
      <c r="C897" s="53" t="s">
        <v>1136</v>
      </c>
      <c r="D897" s="53">
        <v>1</v>
      </c>
      <c r="E897" s="53" t="s">
        <v>2393</v>
      </c>
      <c r="F897" s="53" t="s">
        <v>1442</v>
      </c>
      <c r="G897" s="53" t="s">
        <v>901</v>
      </c>
      <c r="H897" s="53" t="s">
        <v>902</v>
      </c>
      <c r="I897" s="53" t="s">
        <v>656</v>
      </c>
      <c r="J897" s="53" t="s">
        <v>2394</v>
      </c>
    </row>
    <row r="898" spans="1:10" ht="15" customHeight="1" x14ac:dyDescent="0.35">
      <c r="A898" s="53" t="s">
        <v>896</v>
      </c>
      <c r="B898" s="53" t="s">
        <v>2395</v>
      </c>
      <c r="C898" s="53" t="s">
        <v>989</v>
      </c>
      <c r="D898" s="53">
        <v>1</v>
      </c>
      <c r="E898" s="53" t="s">
        <v>2396</v>
      </c>
      <c r="F898" s="53" t="s">
        <v>1885</v>
      </c>
      <c r="G898" s="53" t="s">
        <v>901</v>
      </c>
      <c r="H898" s="53" t="s">
        <v>902</v>
      </c>
      <c r="I898" s="53" t="s">
        <v>656</v>
      </c>
      <c r="J898" s="53" t="s">
        <v>2397</v>
      </c>
    </row>
    <row r="899" spans="1:10" ht="15" customHeight="1" x14ac:dyDescent="0.35">
      <c r="A899" s="53" t="s">
        <v>896</v>
      </c>
      <c r="B899" s="53" t="s">
        <v>2398</v>
      </c>
      <c r="C899" s="53" t="s">
        <v>1077</v>
      </c>
      <c r="D899" s="53">
        <v>1</v>
      </c>
      <c r="E899" s="53" t="s">
        <v>2399</v>
      </c>
      <c r="F899" s="53" t="s">
        <v>1885</v>
      </c>
      <c r="G899" s="53" t="s">
        <v>901</v>
      </c>
      <c r="H899" s="53" t="s">
        <v>902</v>
      </c>
      <c r="I899" s="53" t="s">
        <v>656</v>
      </c>
      <c r="J899" s="53" t="s">
        <v>2400</v>
      </c>
    </row>
    <row r="900" spans="1:10" ht="15" customHeight="1" x14ac:dyDescent="0.35">
      <c r="A900" s="53" t="s">
        <v>896</v>
      </c>
      <c r="B900" s="53" t="s">
        <v>2401</v>
      </c>
      <c r="C900" s="53" t="s">
        <v>921</v>
      </c>
      <c r="D900" s="53">
        <v>1</v>
      </c>
      <c r="E900" s="53" t="s">
        <v>2396</v>
      </c>
      <c r="F900" s="53" t="s">
        <v>1885</v>
      </c>
      <c r="G900" s="53" t="s">
        <v>901</v>
      </c>
      <c r="H900" s="53" t="s">
        <v>902</v>
      </c>
      <c r="I900" s="53" t="s">
        <v>656</v>
      </c>
      <c r="J900" s="53" t="s">
        <v>2402</v>
      </c>
    </row>
    <row r="901" spans="1:10" ht="15" customHeight="1" x14ac:dyDescent="0.35">
      <c r="A901" s="53" t="s">
        <v>896</v>
      </c>
      <c r="B901" s="53" t="s">
        <v>2403</v>
      </c>
      <c r="C901" s="53" t="s">
        <v>1817</v>
      </c>
      <c r="D901" s="53">
        <v>1</v>
      </c>
      <c r="E901" s="53" t="s">
        <v>2404</v>
      </c>
      <c r="F901" s="53" t="s">
        <v>1885</v>
      </c>
      <c r="G901" s="53" t="s">
        <v>901</v>
      </c>
      <c r="H901" s="53" t="s">
        <v>902</v>
      </c>
      <c r="I901" s="53" t="s">
        <v>656</v>
      </c>
      <c r="J901" s="53" t="s">
        <v>2405</v>
      </c>
    </row>
    <row r="902" spans="1:10" ht="15" customHeight="1" x14ac:dyDescent="0.35">
      <c r="A902" s="53" t="s">
        <v>896</v>
      </c>
      <c r="B902" s="53" t="s">
        <v>2406</v>
      </c>
      <c r="C902" s="53" t="s">
        <v>1118</v>
      </c>
      <c r="D902" s="53">
        <v>1</v>
      </c>
      <c r="E902" s="53" t="s">
        <v>2404</v>
      </c>
      <c r="F902" s="53" t="s">
        <v>1885</v>
      </c>
      <c r="G902" s="53" t="s">
        <v>901</v>
      </c>
      <c r="H902" s="53" t="s">
        <v>902</v>
      </c>
      <c r="I902" s="53" t="s">
        <v>656</v>
      </c>
      <c r="J902" s="53" t="s">
        <v>2407</v>
      </c>
    </row>
    <row r="903" spans="1:10" ht="15" customHeight="1" x14ac:dyDescent="0.35">
      <c r="A903" s="53" t="s">
        <v>896</v>
      </c>
      <c r="B903" s="53" t="s">
        <v>2408</v>
      </c>
      <c r="C903" s="53" t="s">
        <v>921</v>
      </c>
      <c r="D903" s="53">
        <v>1</v>
      </c>
      <c r="E903" s="53" t="s">
        <v>2409</v>
      </c>
      <c r="F903" s="53" t="s">
        <v>1885</v>
      </c>
      <c r="G903" s="53" t="s">
        <v>901</v>
      </c>
      <c r="H903" s="53" t="s">
        <v>902</v>
      </c>
      <c r="I903" s="53" t="s">
        <v>656</v>
      </c>
      <c r="J903" s="53" t="s">
        <v>2410</v>
      </c>
    </row>
    <row r="904" spans="1:10" ht="15" customHeight="1" x14ac:dyDescent="0.35">
      <c r="A904" s="53" t="s">
        <v>896</v>
      </c>
      <c r="B904" s="53" t="s">
        <v>2411</v>
      </c>
      <c r="C904" s="53" t="s">
        <v>1070</v>
      </c>
      <c r="D904" s="53">
        <v>1</v>
      </c>
      <c r="E904" s="53" t="s">
        <v>2412</v>
      </c>
      <c r="F904" s="53" t="s">
        <v>1885</v>
      </c>
      <c r="G904" s="53" t="s">
        <v>901</v>
      </c>
      <c r="H904" s="53" t="s">
        <v>902</v>
      </c>
      <c r="I904" s="53" t="s">
        <v>656</v>
      </c>
      <c r="J904" s="53" t="s">
        <v>2397</v>
      </c>
    </row>
    <row r="905" spans="1:10" ht="15" customHeight="1" x14ac:dyDescent="0.35">
      <c r="A905" s="53" t="s">
        <v>896</v>
      </c>
      <c r="B905" s="53" t="s">
        <v>2413</v>
      </c>
      <c r="C905" s="53" t="s">
        <v>1077</v>
      </c>
      <c r="D905" s="53">
        <v>1</v>
      </c>
      <c r="E905" s="53" t="s">
        <v>2414</v>
      </c>
      <c r="F905" s="53" t="s">
        <v>1885</v>
      </c>
      <c r="G905" s="53" t="s">
        <v>901</v>
      </c>
      <c r="H905" s="53" t="s">
        <v>902</v>
      </c>
      <c r="I905" s="53" t="s">
        <v>656</v>
      </c>
      <c r="J905" s="53" t="s">
        <v>2415</v>
      </c>
    </row>
    <row r="906" spans="1:10" ht="15" customHeight="1" x14ac:dyDescent="0.35">
      <c r="A906" s="53" t="s">
        <v>896</v>
      </c>
      <c r="B906" s="53" t="s">
        <v>2416</v>
      </c>
      <c r="C906" s="53" t="s">
        <v>1690</v>
      </c>
      <c r="D906" s="53">
        <v>1</v>
      </c>
      <c r="E906" s="53" t="s">
        <v>2417</v>
      </c>
      <c r="F906" s="53" t="s">
        <v>1885</v>
      </c>
      <c r="G906" s="53" t="s">
        <v>901</v>
      </c>
      <c r="H906" s="53" t="s">
        <v>902</v>
      </c>
      <c r="I906" s="53" t="s">
        <v>656</v>
      </c>
      <c r="J906" s="53" t="s">
        <v>2418</v>
      </c>
    </row>
    <row r="907" spans="1:10" ht="15" customHeight="1" x14ac:dyDescent="0.35">
      <c r="A907" s="53" t="s">
        <v>896</v>
      </c>
      <c r="B907" s="53" t="s">
        <v>2419</v>
      </c>
      <c r="C907" s="53" t="s">
        <v>1077</v>
      </c>
      <c r="D907" s="53">
        <v>1</v>
      </c>
      <c r="E907" s="53" t="s">
        <v>2420</v>
      </c>
      <c r="F907" s="53" t="s">
        <v>1885</v>
      </c>
      <c r="G907" s="53" t="s">
        <v>901</v>
      </c>
      <c r="H907" s="53" t="s">
        <v>902</v>
      </c>
      <c r="I907" s="53" t="s">
        <v>656</v>
      </c>
      <c r="J907" s="53" t="s">
        <v>2421</v>
      </c>
    </row>
    <row r="908" spans="1:10" ht="15" customHeight="1" x14ac:dyDescent="0.35">
      <c r="A908" s="53" t="s">
        <v>896</v>
      </c>
      <c r="B908" s="53" t="s">
        <v>2422</v>
      </c>
      <c r="C908" s="53" t="s">
        <v>898</v>
      </c>
      <c r="D908" s="53">
        <v>1</v>
      </c>
      <c r="E908" s="53" t="s">
        <v>2423</v>
      </c>
      <c r="F908" s="53" t="s">
        <v>1885</v>
      </c>
      <c r="G908" s="53" t="s">
        <v>901</v>
      </c>
      <c r="H908" s="53" t="s">
        <v>902</v>
      </c>
      <c r="I908" s="53" t="s">
        <v>656</v>
      </c>
      <c r="J908" s="53" t="s">
        <v>2424</v>
      </c>
    </row>
    <row r="909" spans="1:10" ht="15" customHeight="1" x14ac:dyDescent="0.35">
      <c r="A909" s="53" t="s">
        <v>896</v>
      </c>
      <c r="B909" s="53" t="s">
        <v>2425</v>
      </c>
      <c r="C909" s="53" t="s">
        <v>1659</v>
      </c>
      <c r="D909" s="53">
        <v>1</v>
      </c>
      <c r="E909" s="53" t="s">
        <v>2426</v>
      </c>
      <c r="F909" s="53" t="s">
        <v>1885</v>
      </c>
      <c r="G909" s="53" t="s">
        <v>901</v>
      </c>
      <c r="H909" s="53" t="s">
        <v>902</v>
      </c>
      <c r="I909" s="53" t="s">
        <v>656</v>
      </c>
      <c r="J909" s="53" t="s">
        <v>2427</v>
      </c>
    </row>
    <row r="910" spans="1:10" ht="15" customHeight="1" x14ac:dyDescent="0.35">
      <c r="A910" s="53" t="s">
        <v>896</v>
      </c>
      <c r="B910" s="53" t="s">
        <v>2428</v>
      </c>
      <c r="C910" s="53" t="s">
        <v>1101</v>
      </c>
      <c r="D910" s="53">
        <v>1</v>
      </c>
      <c r="E910" s="53" t="s">
        <v>2429</v>
      </c>
      <c r="F910" s="53" t="s">
        <v>1885</v>
      </c>
      <c r="G910" s="53" t="s">
        <v>901</v>
      </c>
      <c r="H910" s="53" t="s">
        <v>902</v>
      </c>
      <c r="I910" s="53" t="s">
        <v>656</v>
      </c>
      <c r="J910" s="53" t="s">
        <v>2430</v>
      </c>
    </row>
    <row r="911" spans="1:10" ht="15" customHeight="1" x14ac:dyDescent="0.35">
      <c r="A911" s="53" t="s">
        <v>896</v>
      </c>
      <c r="B911" s="53" t="s">
        <v>2431</v>
      </c>
      <c r="C911" s="53" t="s">
        <v>1157</v>
      </c>
      <c r="D911" s="53">
        <v>1</v>
      </c>
      <c r="E911" s="53" t="s">
        <v>2432</v>
      </c>
      <c r="F911" s="53" t="s">
        <v>1885</v>
      </c>
      <c r="G911" s="53" t="s">
        <v>901</v>
      </c>
      <c r="H911" s="53" t="s">
        <v>902</v>
      </c>
      <c r="I911" s="53" t="s">
        <v>656</v>
      </c>
      <c r="J911" s="53" t="s">
        <v>2433</v>
      </c>
    </row>
    <row r="912" spans="1:10" ht="15" customHeight="1" x14ac:dyDescent="0.35">
      <c r="A912" s="53" t="s">
        <v>896</v>
      </c>
      <c r="B912" s="53" t="s">
        <v>2434</v>
      </c>
      <c r="C912" s="53" t="s">
        <v>1077</v>
      </c>
      <c r="D912" s="53">
        <v>1</v>
      </c>
      <c r="E912" s="53" t="s">
        <v>2435</v>
      </c>
      <c r="F912" s="53" t="s">
        <v>1885</v>
      </c>
      <c r="G912" s="53" t="s">
        <v>901</v>
      </c>
      <c r="H912" s="53" t="s">
        <v>902</v>
      </c>
      <c r="I912" s="53" t="s">
        <v>656</v>
      </c>
      <c r="J912" s="53" t="s">
        <v>2436</v>
      </c>
    </row>
    <row r="913" spans="1:10" ht="15" customHeight="1" x14ac:dyDescent="0.35">
      <c r="A913" s="53" t="s">
        <v>896</v>
      </c>
      <c r="B913" s="53" t="s">
        <v>2437</v>
      </c>
      <c r="C913" s="53" t="s">
        <v>913</v>
      </c>
      <c r="D913" s="53">
        <v>1</v>
      </c>
      <c r="E913" s="53" t="s">
        <v>2438</v>
      </c>
      <c r="F913" s="53" t="s">
        <v>1885</v>
      </c>
      <c r="G913" s="53" t="s">
        <v>901</v>
      </c>
      <c r="H913" s="53" t="s">
        <v>902</v>
      </c>
      <c r="I913" s="53" t="s">
        <v>656</v>
      </c>
      <c r="J913" s="53" t="s">
        <v>2439</v>
      </c>
    </row>
    <row r="914" spans="1:10" ht="15" customHeight="1" x14ac:dyDescent="0.35">
      <c r="A914" s="53" t="s">
        <v>896</v>
      </c>
      <c r="B914" s="53" t="s">
        <v>2440</v>
      </c>
      <c r="C914" s="53" t="s">
        <v>909</v>
      </c>
      <c r="D914" s="53">
        <v>1</v>
      </c>
      <c r="E914" s="53" t="s">
        <v>2441</v>
      </c>
      <c r="F914" s="53" t="s">
        <v>1885</v>
      </c>
      <c r="G914" s="53" t="s">
        <v>901</v>
      </c>
      <c r="H914" s="53" t="s">
        <v>902</v>
      </c>
      <c r="I914" s="53" t="s">
        <v>656</v>
      </c>
      <c r="J914" s="53" t="s">
        <v>2222</v>
      </c>
    </row>
    <row r="915" spans="1:10" ht="15" customHeight="1" x14ac:dyDescent="0.35">
      <c r="A915" s="53" t="s">
        <v>896</v>
      </c>
      <c r="B915" s="53" t="s">
        <v>2442</v>
      </c>
      <c r="C915" s="53" t="s">
        <v>989</v>
      </c>
      <c r="D915" s="53">
        <v>1</v>
      </c>
      <c r="E915" s="53" t="s">
        <v>2441</v>
      </c>
      <c r="F915" s="53" t="s">
        <v>1885</v>
      </c>
      <c r="G915" s="53" t="s">
        <v>901</v>
      </c>
      <c r="H915" s="53" t="s">
        <v>902</v>
      </c>
      <c r="I915" s="53" t="s">
        <v>656</v>
      </c>
      <c r="J915" s="53" t="s">
        <v>2443</v>
      </c>
    </row>
    <row r="916" spans="1:10" ht="15" customHeight="1" x14ac:dyDescent="0.35">
      <c r="A916" s="53" t="s">
        <v>896</v>
      </c>
      <c r="B916" s="53" t="s">
        <v>2444</v>
      </c>
      <c r="C916" s="53" t="s">
        <v>1077</v>
      </c>
      <c r="D916" s="53">
        <v>1</v>
      </c>
      <c r="E916" s="53" t="s">
        <v>2445</v>
      </c>
      <c r="F916" s="53" t="s">
        <v>1885</v>
      </c>
      <c r="G916" s="53" t="s">
        <v>901</v>
      </c>
      <c r="H916" s="53" t="s">
        <v>902</v>
      </c>
      <c r="I916" s="53" t="s">
        <v>656</v>
      </c>
      <c r="J916" s="53" t="s">
        <v>2446</v>
      </c>
    </row>
    <row r="917" spans="1:10" ht="15" customHeight="1" x14ac:dyDescent="0.35">
      <c r="A917" s="53" t="s">
        <v>896</v>
      </c>
      <c r="B917" s="53" t="s">
        <v>2447</v>
      </c>
      <c r="C917" s="53" t="s">
        <v>1118</v>
      </c>
      <c r="D917" s="53">
        <v>1</v>
      </c>
      <c r="E917" s="53" t="s">
        <v>2448</v>
      </c>
      <c r="F917" s="53" t="s">
        <v>1885</v>
      </c>
      <c r="G917" s="53" t="s">
        <v>901</v>
      </c>
      <c r="H917" s="53" t="s">
        <v>902</v>
      </c>
      <c r="I917" s="53" t="s">
        <v>656</v>
      </c>
      <c r="J917" s="53" t="s">
        <v>2449</v>
      </c>
    </row>
    <row r="918" spans="1:10" ht="15" customHeight="1" x14ac:dyDescent="0.35">
      <c r="A918" s="53" t="s">
        <v>896</v>
      </c>
      <c r="B918" s="53" t="s">
        <v>2450</v>
      </c>
      <c r="C918" s="53" t="s">
        <v>1582</v>
      </c>
      <c r="D918" s="53">
        <v>1</v>
      </c>
      <c r="E918" s="53" t="s">
        <v>2451</v>
      </c>
      <c r="F918" s="53" t="s">
        <v>1885</v>
      </c>
      <c r="G918" s="53" t="s">
        <v>901</v>
      </c>
      <c r="H918" s="53" t="s">
        <v>902</v>
      </c>
      <c r="I918" s="53" t="s">
        <v>656</v>
      </c>
      <c r="J918" s="53" t="s">
        <v>2452</v>
      </c>
    </row>
    <row r="919" spans="1:10" ht="15" customHeight="1" x14ac:dyDescent="0.35">
      <c r="A919" s="53" t="s">
        <v>896</v>
      </c>
      <c r="B919" s="53" t="s">
        <v>2453</v>
      </c>
      <c r="C919" s="53" t="s">
        <v>1122</v>
      </c>
      <c r="D919" s="53">
        <v>1</v>
      </c>
      <c r="E919" s="53" t="s">
        <v>2454</v>
      </c>
      <c r="F919" s="53" t="s">
        <v>1885</v>
      </c>
      <c r="G919" s="53" t="s">
        <v>901</v>
      </c>
      <c r="H919" s="53" t="s">
        <v>902</v>
      </c>
      <c r="I919" s="53" t="s">
        <v>656</v>
      </c>
      <c r="J919" s="53" t="s">
        <v>2455</v>
      </c>
    </row>
    <row r="920" spans="1:10" ht="15" customHeight="1" x14ac:dyDescent="0.35">
      <c r="A920" s="53" t="s">
        <v>896</v>
      </c>
      <c r="B920" s="53" t="s">
        <v>2456</v>
      </c>
      <c r="C920" s="53" t="s">
        <v>1077</v>
      </c>
      <c r="D920" s="53">
        <v>1</v>
      </c>
      <c r="E920" s="53" t="s">
        <v>2457</v>
      </c>
      <c r="F920" s="53" t="s">
        <v>1885</v>
      </c>
      <c r="G920" s="53" t="s">
        <v>901</v>
      </c>
      <c r="H920" s="53" t="s">
        <v>902</v>
      </c>
      <c r="I920" s="53" t="s">
        <v>656</v>
      </c>
      <c r="J920" s="53" t="s">
        <v>2458</v>
      </c>
    </row>
    <row r="921" spans="1:10" ht="15" customHeight="1" x14ac:dyDescent="0.35">
      <c r="A921" s="53" t="s">
        <v>896</v>
      </c>
      <c r="B921" s="53" t="s">
        <v>2459</v>
      </c>
      <c r="C921" s="53" t="s">
        <v>921</v>
      </c>
      <c r="D921" s="53">
        <v>1</v>
      </c>
      <c r="E921" s="53" t="s">
        <v>2460</v>
      </c>
      <c r="F921" s="53" t="s">
        <v>1885</v>
      </c>
      <c r="G921" s="53" t="s">
        <v>901</v>
      </c>
      <c r="H921" s="53" t="s">
        <v>902</v>
      </c>
      <c r="I921" s="53" t="s">
        <v>656</v>
      </c>
      <c r="J921" s="53" t="s">
        <v>2461</v>
      </c>
    </row>
    <row r="922" spans="1:10" ht="15" customHeight="1" x14ac:dyDescent="0.35">
      <c r="A922" s="53" t="s">
        <v>896</v>
      </c>
      <c r="B922" s="53" t="s">
        <v>2462</v>
      </c>
      <c r="C922" s="53" t="s">
        <v>996</v>
      </c>
      <c r="D922" s="53">
        <v>1</v>
      </c>
      <c r="E922" s="53" t="s">
        <v>2463</v>
      </c>
      <c r="F922" s="53" t="s">
        <v>1885</v>
      </c>
      <c r="G922" s="53" t="s">
        <v>901</v>
      </c>
      <c r="H922" s="53" t="s">
        <v>902</v>
      </c>
      <c r="I922" s="53" t="s">
        <v>656</v>
      </c>
      <c r="J922" s="53" t="s">
        <v>2464</v>
      </c>
    </row>
    <row r="923" spans="1:10" ht="15" customHeight="1" x14ac:dyDescent="0.35">
      <c r="A923" s="53" t="s">
        <v>896</v>
      </c>
      <c r="B923" s="53" t="s">
        <v>2465</v>
      </c>
      <c r="C923" s="53" t="s">
        <v>921</v>
      </c>
      <c r="D923" s="53">
        <v>1</v>
      </c>
      <c r="E923" s="53" t="s">
        <v>2466</v>
      </c>
      <c r="F923" s="53" t="s">
        <v>1885</v>
      </c>
      <c r="G923" s="53" t="s">
        <v>901</v>
      </c>
      <c r="H923" s="53" t="s">
        <v>902</v>
      </c>
      <c r="I923" s="53" t="s">
        <v>656</v>
      </c>
      <c r="J923" s="53" t="s">
        <v>2467</v>
      </c>
    </row>
    <row r="924" spans="1:10" ht="15" customHeight="1" x14ac:dyDescent="0.35">
      <c r="A924" s="53" t="s">
        <v>896</v>
      </c>
      <c r="B924" s="53" t="s">
        <v>2468</v>
      </c>
      <c r="C924" s="53" t="s">
        <v>989</v>
      </c>
      <c r="D924" s="53">
        <v>1</v>
      </c>
      <c r="E924" s="53" t="s">
        <v>2466</v>
      </c>
      <c r="F924" s="53" t="s">
        <v>1885</v>
      </c>
      <c r="G924" s="53" t="s">
        <v>901</v>
      </c>
      <c r="H924" s="53" t="s">
        <v>902</v>
      </c>
      <c r="I924" s="53" t="s">
        <v>656</v>
      </c>
      <c r="J924" s="53" t="s">
        <v>2469</v>
      </c>
    </row>
    <row r="925" spans="1:10" ht="15" customHeight="1" x14ac:dyDescent="0.35">
      <c r="A925" s="53" t="s">
        <v>896</v>
      </c>
      <c r="B925" s="53" t="s">
        <v>2470</v>
      </c>
      <c r="C925" s="53" t="s">
        <v>921</v>
      </c>
      <c r="D925" s="53">
        <v>1</v>
      </c>
      <c r="E925" s="53" t="s">
        <v>2471</v>
      </c>
      <c r="F925" s="53" t="s">
        <v>1885</v>
      </c>
      <c r="G925" s="53" t="s">
        <v>901</v>
      </c>
      <c r="H925" s="53" t="s">
        <v>902</v>
      </c>
      <c r="I925" s="53" t="s">
        <v>656</v>
      </c>
      <c r="J925" s="53" t="s">
        <v>2472</v>
      </c>
    </row>
    <row r="926" spans="1:10" ht="15" customHeight="1" x14ac:dyDescent="0.35">
      <c r="A926" s="53" t="s">
        <v>896</v>
      </c>
      <c r="B926" s="53" t="s">
        <v>2473</v>
      </c>
      <c r="C926" s="53" t="s">
        <v>1659</v>
      </c>
      <c r="D926" s="53">
        <v>1</v>
      </c>
      <c r="E926" s="53" t="s">
        <v>2474</v>
      </c>
      <c r="F926" s="53" t="s">
        <v>1885</v>
      </c>
      <c r="G926" s="53" t="s">
        <v>901</v>
      </c>
      <c r="H926" s="53" t="s">
        <v>902</v>
      </c>
      <c r="I926" s="53" t="s">
        <v>656</v>
      </c>
      <c r="J926" s="53" t="s">
        <v>2475</v>
      </c>
    </row>
    <row r="927" spans="1:10" ht="15" customHeight="1" x14ac:dyDescent="0.35">
      <c r="A927" s="53" t="s">
        <v>896</v>
      </c>
      <c r="B927" s="53" t="s">
        <v>2476</v>
      </c>
      <c r="C927" s="53" t="s">
        <v>929</v>
      </c>
      <c r="D927" s="53">
        <v>1</v>
      </c>
      <c r="E927" s="53" t="s">
        <v>2477</v>
      </c>
      <c r="F927" s="53" t="s">
        <v>1885</v>
      </c>
      <c r="G927" s="53" t="s">
        <v>901</v>
      </c>
      <c r="H927" s="53" t="s">
        <v>902</v>
      </c>
      <c r="I927" s="53" t="s">
        <v>656</v>
      </c>
      <c r="J927" s="53" t="s">
        <v>2478</v>
      </c>
    </row>
    <row r="928" spans="1:10" ht="15" customHeight="1" x14ac:dyDescent="0.35">
      <c r="A928" s="53" t="s">
        <v>896</v>
      </c>
      <c r="B928" s="53" t="s">
        <v>2479</v>
      </c>
      <c r="C928" s="53" t="s">
        <v>905</v>
      </c>
      <c r="D928" s="53">
        <v>1</v>
      </c>
      <c r="E928" s="53" t="s">
        <v>2480</v>
      </c>
      <c r="F928" s="53" t="s">
        <v>1885</v>
      </c>
      <c r="G928" s="53" t="s">
        <v>901</v>
      </c>
      <c r="H928" s="53" t="s">
        <v>902</v>
      </c>
      <c r="I928" s="53" t="s">
        <v>656</v>
      </c>
      <c r="J928" s="53" t="s">
        <v>2481</v>
      </c>
    </row>
    <row r="929" spans="1:10" ht="15" customHeight="1" x14ac:dyDescent="0.35">
      <c r="A929" s="53" t="s">
        <v>896</v>
      </c>
      <c r="B929" s="53" t="s">
        <v>2482</v>
      </c>
      <c r="C929" s="53" t="s">
        <v>929</v>
      </c>
      <c r="D929" s="53">
        <v>1</v>
      </c>
      <c r="E929" s="53" t="s">
        <v>2483</v>
      </c>
      <c r="F929" s="53" t="s">
        <v>1885</v>
      </c>
      <c r="G929" s="53" t="s">
        <v>901</v>
      </c>
      <c r="H929" s="53" t="s">
        <v>902</v>
      </c>
      <c r="I929" s="53" t="s">
        <v>656</v>
      </c>
      <c r="J929" s="53" t="s">
        <v>2397</v>
      </c>
    </row>
    <row r="930" spans="1:10" ht="15" customHeight="1" x14ac:dyDescent="0.35">
      <c r="A930" s="53" t="s">
        <v>896</v>
      </c>
      <c r="B930" s="53" t="s">
        <v>2484</v>
      </c>
      <c r="C930" s="53" t="s">
        <v>1009</v>
      </c>
      <c r="D930" s="53">
        <v>1</v>
      </c>
      <c r="E930" s="53" t="s">
        <v>2485</v>
      </c>
      <c r="F930" s="53" t="s">
        <v>1885</v>
      </c>
      <c r="G930" s="53" t="s">
        <v>901</v>
      </c>
      <c r="H930" s="53" t="s">
        <v>902</v>
      </c>
      <c r="I930" s="53" t="s">
        <v>656</v>
      </c>
      <c r="J930" s="53" t="s">
        <v>2486</v>
      </c>
    </row>
    <row r="931" spans="1:10" ht="15" customHeight="1" x14ac:dyDescent="0.35">
      <c r="A931" s="53" t="s">
        <v>896</v>
      </c>
      <c r="B931" s="53" t="s">
        <v>2487</v>
      </c>
      <c r="C931" s="53" t="s">
        <v>921</v>
      </c>
      <c r="D931" s="53">
        <v>1</v>
      </c>
      <c r="E931" s="53" t="s">
        <v>2488</v>
      </c>
      <c r="F931" s="53" t="s">
        <v>1885</v>
      </c>
      <c r="G931" s="53" t="s">
        <v>901</v>
      </c>
      <c r="H931" s="53" t="s">
        <v>902</v>
      </c>
      <c r="I931" s="53" t="s">
        <v>656</v>
      </c>
      <c r="J931" s="53" t="s">
        <v>2489</v>
      </c>
    </row>
    <row r="932" spans="1:10" ht="15" customHeight="1" x14ac:dyDescent="0.35">
      <c r="A932" s="53" t="s">
        <v>896</v>
      </c>
      <c r="B932" s="53" t="s">
        <v>2490</v>
      </c>
      <c r="C932" s="53" t="s">
        <v>921</v>
      </c>
      <c r="D932" s="53">
        <v>1</v>
      </c>
      <c r="E932" s="53" t="s">
        <v>2491</v>
      </c>
      <c r="F932" s="53" t="s">
        <v>1885</v>
      </c>
      <c r="G932" s="53" t="s">
        <v>901</v>
      </c>
      <c r="H932" s="53" t="s">
        <v>902</v>
      </c>
      <c r="I932" s="53" t="s">
        <v>656</v>
      </c>
      <c r="J932" s="53" t="s">
        <v>2492</v>
      </c>
    </row>
    <row r="933" spans="1:10" ht="15" customHeight="1" x14ac:dyDescent="0.35">
      <c r="A933" s="53" t="s">
        <v>896</v>
      </c>
      <c r="B933" s="53" t="s">
        <v>2493</v>
      </c>
      <c r="C933" s="53" t="s">
        <v>942</v>
      </c>
      <c r="D933" s="53">
        <v>1</v>
      </c>
      <c r="E933" s="53" t="s">
        <v>2494</v>
      </c>
      <c r="F933" s="53" t="s">
        <v>1885</v>
      </c>
      <c r="G933" s="53" t="s">
        <v>901</v>
      </c>
      <c r="H933" s="53" t="s">
        <v>902</v>
      </c>
      <c r="I933" s="53" t="s">
        <v>656</v>
      </c>
      <c r="J933" s="53" t="s">
        <v>2495</v>
      </c>
    </row>
    <row r="934" spans="1:10" ht="15" customHeight="1" x14ac:dyDescent="0.35">
      <c r="A934" s="53" t="s">
        <v>896</v>
      </c>
      <c r="B934" s="53" t="s">
        <v>2496</v>
      </c>
      <c r="C934" s="53" t="s">
        <v>963</v>
      </c>
      <c r="D934" s="53">
        <v>1</v>
      </c>
      <c r="E934" s="53" t="s">
        <v>2497</v>
      </c>
      <c r="F934" s="53" t="s">
        <v>1885</v>
      </c>
      <c r="G934" s="53" t="s">
        <v>901</v>
      </c>
      <c r="H934" s="53" t="s">
        <v>902</v>
      </c>
      <c r="I934" s="53" t="s">
        <v>656</v>
      </c>
      <c r="J934" s="53" t="s">
        <v>2219</v>
      </c>
    </row>
    <row r="935" spans="1:10" ht="15" customHeight="1" x14ac:dyDescent="0.35">
      <c r="A935" s="53" t="s">
        <v>896</v>
      </c>
      <c r="B935" s="53" t="s">
        <v>2498</v>
      </c>
      <c r="C935" s="53" t="s">
        <v>1118</v>
      </c>
      <c r="D935" s="53">
        <v>1</v>
      </c>
      <c r="E935" s="53" t="s">
        <v>2499</v>
      </c>
      <c r="F935" s="53" t="s">
        <v>1885</v>
      </c>
      <c r="G935" s="53" t="s">
        <v>901</v>
      </c>
      <c r="H935" s="53" t="s">
        <v>902</v>
      </c>
      <c r="I935" s="53" t="s">
        <v>656</v>
      </c>
      <c r="J935" s="53" t="s">
        <v>2500</v>
      </c>
    </row>
    <row r="936" spans="1:10" ht="15" customHeight="1" x14ac:dyDescent="0.35">
      <c r="A936" s="53" t="s">
        <v>896</v>
      </c>
      <c r="B936" s="53" t="s">
        <v>2501</v>
      </c>
      <c r="C936" s="53" t="s">
        <v>1009</v>
      </c>
      <c r="D936" s="53">
        <v>1</v>
      </c>
      <c r="E936" s="53" t="s">
        <v>2502</v>
      </c>
      <c r="F936" s="53" t="s">
        <v>1885</v>
      </c>
      <c r="G936" s="53" t="s">
        <v>901</v>
      </c>
      <c r="H936" s="53" t="s">
        <v>902</v>
      </c>
      <c r="I936" s="53" t="s">
        <v>656</v>
      </c>
      <c r="J936" s="53" t="s">
        <v>2503</v>
      </c>
    </row>
    <row r="937" spans="1:10" ht="15" customHeight="1" x14ac:dyDescent="0.35">
      <c r="A937" s="53" t="s">
        <v>896</v>
      </c>
      <c r="B937" s="53" t="s">
        <v>2504</v>
      </c>
      <c r="C937" s="53" t="s">
        <v>1136</v>
      </c>
      <c r="D937" s="53">
        <v>1</v>
      </c>
      <c r="E937" s="53" t="s">
        <v>2505</v>
      </c>
      <c r="F937" s="53" t="s">
        <v>1885</v>
      </c>
      <c r="G937" s="53" t="s">
        <v>901</v>
      </c>
      <c r="H937" s="53" t="s">
        <v>902</v>
      </c>
      <c r="I937" s="53" t="s">
        <v>656</v>
      </c>
      <c r="J937" s="53" t="s">
        <v>2506</v>
      </c>
    </row>
    <row r="938" spans="1:10" ht="15" customHeight="1" x14ac:dyDescent="0.35">
      <c r="A938" s="53" t="s">
        <v>896</v>
      </c>
      <c r="B938" s="53" t="s">
        <v>2507</v>
      </c>
      <c r="C938" s="53" t="s">
        <v>1122</v>
      </c>
      <c r="D938" s="53">
        <v>1</v>
      </c>
      <c r="E938" s="53" t="s">
        <v>2508</v>
      </c>
      <c r="F938" s="53" t="s">
        <v>1885</v>
      </c>
      <c r="G938" s="53" t="s">
        <v>901</v>
      </c>
      <c r="H938" s="53" t="s">
        <v>902</v>
      </c>
      <c r="I938" s="53" t="s">
        <v>656</v>
      </c>
      <c r="J938" s="53" t="s">
        <v>2509</v>
      </c>
    </row>
    <row r="939" spans="1:10" ht="15" customHeight="1" x14ac:dyDescent="0.35">
      <c r="A939" s="53" t="s">
        <v>896</v>
      </c>
      <c r="B939" s="53" t="s">
        <v>2510</v>
      </c>
      <c r="C939" s="53" t="s">
        <v>996</v>
      </c>
      <c r="D939" s="53">
        <v>1</v>
      </c>
      <c r="E939" s="53" t="s">
        <v>2511</v>
      </c>
      <c r="F939" s="53" t="s">
        <v>1885</v>
      </c>
      <c r="G939" s="53" t="s">
        <v>901</v>
      </c>
      <c r="H939" s="53" t="s">
        <v>902</v>
      </c>
      <c r="I939" s="53" t="s">
        <v>656</v>
      </c>
      <c r="J939" s="53" t="s">
        <v>2512</v>
      </c>
    </row>
    <row r="940" spans="1:10" ht="15" customHeight="1" x14ac:dyDescent="0.35">
      <c r="A940" s="53" t="s">
        <v>896</v>
      </c>
      <c r="B940" s="53" t="s">
        <v>2513</v>
      </c>
      <c r="C940" s="53" t="s">
        <v>1690</v>
      </c>
      <c r="D940" s="53">
        <v>1</v>
      </c>
      <c r="E940" s="53" t="s">
        <v>2514</v>
      </c>
      <c r="F940" s="53" t="s">
        <v>1885</v>
      </c>
      <c r="G940" s="53" t="s">
        <v>901</v>
      </c>
      <c r="H940" s="53" t="s">
        <v>902</v>
      </c>
      <c r="I940" s="53" t="s">
        <v>656</v>
      </c>
      <c r="J940" s="53" t="s">
        <v>2515</v>
      </c>
    </row>
    <row r="941" spans="1:10" ht="15" customHeight="1" x14ac:dyDescent="0.35">
      <c r="A941" s="53" t="s">
        <v>896</v>
      </c>
      <c r="B941" s="53" t="s">
        <v>2516</v>
      </c>
      <c r="C941" s="53" t="s">
        <v>1077</v>
      </c>
      <c r="D941" s="53">
        <v>1</v>
      </c>
      <c r="E941" s="53" t="s">
        <v>2517</v>
      </c>
      <c r="F941" s="53" t="s">
        <v>1885</v>
      </c>
      <c r="G941" s="53" t="s">
        <v>901</v>
      </c>
      <c r="H941" s="53" t="s">
        <v>902</v>
      </c>
      <c r="I941" s="53" t="s">
        <v>656</v>
      </c>
      <c r="J941" s="53" t="s">
        <v>2518</v>
      </c>
    </row>
    <row r="942" spans="1:10" ht="15" customHeight="1" x14ac:dyDescent="0.35">
      <c r="A942" s="53" t="s">
        <v>896</v>
      </c>
      <c r="B942" s="53" t="s">
        <v>2519</v>
      </c>
      <c r="C942" s="53" t="s">
        <v>1070</v>
      </c>
      <c r="D942" s="53">
        <v>1</v>
      </c>
      <c r="E942" s="53" t="s">
        <v>2520</v>
      </c>
      <c r="F942" s="53" t="s">
        <v>1885</v>
      </c>
      <c r="G942" s="53" t="s">
        <v>901</v>
      </c>
      <c r="H942" s="53" t="s">
        <v>902</v>
      </c>
      <c r="I942" s="53" t="s">
        <v>656</v>
      </c>
      <c r="J942" s="53" t="s">
        <v>2521</v>
      </c>
    </row>
    <row r="943" spans="1:10" ht="15" customHeight="1" x14ac:dyDescent="0.35">
      <c r="A943" s="53" t="s">
        <v>896</v>
      </c>
      <c r="B943" s="53" t="s">
        <v>2522</v>
      </c>
      <c r="C943" s="53" t="s">
        <v>1070</v>
      </c>
      <c r="D943" s="53">
        <v>1</v>
      </c>
      <c r="E943" s="53" t="s">
        <v>2523</v>
      </c>
      <c r="F943" s="53" t="s">
        <v>1885</v>
      </c>
      <c r="G943" s="53" t="s">
        <v>901</v>
      </c>
      <c r="H943" s="53" t="s">
        <v>902</v>
      </c>
      <c r="I943" s="53" t="s">
        <v>656</v>
      </c>
      <c r="J943" s="53" t="s">
        <v>2210</v>
      </c>
    </row>
    <row r="944" spans="1:10" ht="15" customHeight="1" x14ac:dyDescent="0.35">
      <c r="A944" s="53" t="s">
        <v>896</v>
      </c>
      <c r="B944" s="53" t="s">
        <v>2524</v>
      </c>
      <c r="C944" s="53" t="s">
        <v>1731</v>
      </c>
      <c r="D944" s="53">
        <v>1</v>
      </c>
      <c r="E944" s="53" t="s">
        <v>2525</v>
      </c>
      <c r="F944" s="53" t="s">
        <v>1885</v>
      </c>
      <c r="G944" s="53" t="s">
        <v>901</v>
      </c>
      <c r="H944" s="53" t="s">
        <v>902</v>
      </c>
      <c r="I944" s="53" t="s">
        <v>656</v>
      </c>
      <c r="J944" s="53" t="s">
        <v>2526</v>
      </c>
    </row>
    <row r="945" spans="1:10" ht="15" customHeight="1" x14ac:dyDescent="0.35">
      <c r="A945" s="53" t="s">
        <v>896</v>
      </c>
      <c r="B945" s="53" t="s">
        <v>2527</v>
      </c>
      <c r="C945" s="53" t="s">
        <v>913</v>
      </c>
      <c r="D945" s="53">
        <v>1</v>
      </c>
      <c r="E945" s="53" t="s">
        <v>2528</v>
      </c>
      <c r="F945" s="53" t="s">
        <v>1885</v>
      </c>
      <c r="G945" s="53" t="s">
        <v>901</v>
      </c>
      <c r="H945" s="53" t="s">
        <v>902</v>
      </c>
      <c r="I945" s="53" t="s">
        <v>656</v>
      </c>
      <c r="J945" s="53" t="s">
        <v>2529</v>
      </c>
    </row>
    <row r="946" spans="1:10" ht="15" customHeight="1" x14ac:dyDescent="0.35">
      <c r="A946" s="53" t="s">
        <v>896</v>
      </c>
      <c r="B946" s="53" t="s">
        <v>2530</v>
      </c>
      <c r="C946" s="53" t="s">
        <v>913</v>
      </c>
      <c r="D946" s="53">
        <v>1</v>
      </c>
      <c r="E946" s="53" t="s">
        <v>2531</v>
      </c>
      <c r="F946" s="53" t="s">
        <v>1885</v>
      </c>
      <c r="G946" s="53" t="s">
        <v>901</v>
      </c>
      <c r="H946" s="53" t="s">
        <v>902</v>
      </c>
      <c r="I946" s="53" t="s">
        <v>656</v>
      </c>
      <c r="J946" s="53" t="s">
        <v>2532</v>
      </c>
    </row>
    <row r="947" spans="1:10" ht="15" customHeight="1" x14ac:dyDescent="0.35">
      <c r="A947" s="53" t="s">
        <v>896</v>
      </c>
      <c r="B947" s="53" t="s">
        <v>2533</v>
      </c>
      <c r="C947" s="53" t="s">
        <v>921</v>
      </c>
      <c r="D947" s="53">
        <v>1</v>
      </c>
      <c r="E947" s="53" t="s">
        <v>2534</v>
      </c>
      <c r="F947" s="53" t="s">
        <v>1885</v>
      </c>
      <c r="G947" s="53" t="s">
        <v>901</v>
      </c>
      <c r="H947" s="53" t="s">
        <v>902</v>
      </c>
      <c r="I947" s="53" t="s">
        <v>656</v>
      </c>
      <c r="J947" s="53" t="s">
        <v>2535</v>
      </c>
    </row>
    <row r="948" spans="1:10" ht="15" customHeight="1" x14ac:dyDescent="0.35">
      <c r="A948" s="53" t="s">
        <v>896</v>
      </c>
      <c r="B948" s="53" t="s">
        <v>2536</v>
      </c>
      <c r="C948" s="53" t="s">
        <v>1646</v>
      </c>
      <c r="D948" s="53">
        <v>1</v>
      </c>
      <c r="E948" s="53" t="s">
        <v>2537</v>
      </c>
      <c r="F948" s="53" t="s">
        <v>1885</v>
      </c>
      <c r="G948" s="53" t="s">
        <v>901</v>
      </c>
      <c r="H948" s="53" t="s">
        <v>902</v>
      </c>
      <c r="I948" s="53" t="s">
        <v>656</v>
      </c>
      <c r="J948" s="53" t="s">
        <v>2222</v>
      </c>
    </row>
    <row r="949" spans="1:10" ht="15" customHeight="1" x14ac:dyDescent="0.35">
      <c r="A949" s="53" t="s">
        <v>896</v>
      </c>
      <c r="B949" s="53" t="s">
        <v>2538</v>
      </c>
      <c r="C949" s="53" t="s">
        <v>1646</v>
      </c>
      <c r="D949" s="53">
        <v>1</v>
      </c>
      <c r="E949" s="53" t="s">
        <v>2539</v>
      </c>
      <c r="F949" s="53" t="s">
        <v>1885</v>
      </c>
      <c r="G949" s="53" t="s">
        <v>901</v>
      </c>
      <c r="H949" s="53" t="s">
        <v>902</v>
      </c>
      <c r="I949" s="53" t="s">
        <v>656</v>
      </c>
      <c r="J949" s="53" t="s">
        <v>2540</v>
      </c>
    </row>
    <row r="950" spans="1:10" ht="15" customHeight="1" x14ac:dyDescent="0.35">
      <c r="A950" s="53" t="s">
        <v>896</v>
      </c>
      <c r="B950" s="53" t="s">
        <v>2541</v>
      </c>
      <c r="C950" s="53" t="s">
        <v>989</v>
      </c>
      <c r="D950" s="53">
        <v>1</v>
      </c>
      <c r="E950" s="53" t="s">
        <v>2542</v>
      </c>
      <c r="F950" s="53" t="s">
        <v>1885</v>
      </c>
      <c r="G950" s="53" t="s">
        <v>901</v>
      </c>
      <c r="H950" s="53" t="s">
        <v>902</v>
      </c>
      <c r="I950" s="53" t="s">
        <v>656</v>
      </c>
      <c r="J950" s="53" t="s">
        <v>2543</v>
      </c>
    </row>
    <row r="951" spans="1:10" ht="15" customHeight="1" x14ac:dyDescent="0.35">
      <c r="A951" s="53" t="s">
        <v>896</v>
      </c>
      <c r="B951" s="53" t="s">
        <v>2544</v>
      </c>
      <c r="C951" s="53" t="s">
        <v>1009</v>
      </c>
      <c r="D951" s="53">
        <v>1</v>
      </c>
      <c r="E951" s="53" t="s">
        <v>2545</v>
      </c>
      <c r="F951" s="53" t="s">
        <v>1885</v>
      </c>
      <c r="G951" s="53" t="s">
        <v>901</v>
      </c>
      <c r="H951" s="53" t="s">
        <v>902</v>
      </c>
      <c r="I951" s="53" t="s">
        <v>656</v>
      </c>
      <c r="J951" s="53" t="s">
        <v>2546</v>
      </c>
    </row>
    <row r="952" spans="1:10" ht="15" customHeight="1" x14ac:dyDescent="0.35">
      <c r="A952" s="53" t="s">
        <v>896</v>
      </c>
      <c r="B952" s="53" t="s">
        <v>2547</v>
      </c>
      <c r="C952" s="53" t="s">
        <v>1101</v>
      </c>
      <c r="D952" s="53">
        <v>1</v>
      </c>
      <c r="E952" s="53" t="s">
        <v>2548</v>
      </c>
      <c r="F952" s="53" t="s">
        <v>1885</v>
      </c>
      <c r="G952" s="53" t="s">
        <v>901</v>
      </c>
      <c r="H952" s="53" t="s">
        <v>902</v>
      </c>
      <c r="I952" s="53" t="s">
        <v>656</v>
      </c>
      <c r="J952" s="53" t="s">
        <v>2549</v>
      </c>
    </row>
    <row r="953" spans="1:10" ht="15" customHeight="1" x14ac:dyDescent="0.35">
      <c r="A953" s="53" t="s">
        <v>896</v>
      </c>
      <c r="B953" s="53" t="s">
        <v>2550</v>
      </c>
      <c r="C953" s="53" t="s">
        <v>996</v>
      </c>
      <c r="D953" s="53">
        <v>1</v>
      </c>
      <c r="E953" s="53" t="s">
        <v>2551</v>
      </c>
      <c r="F953" s="53" t="s">
        <v>1885</v>
      </c>
      <c r="G953" s="53" t="s">
        <v>901</v>
      </c>
      <c r="H953" s="53" t="s">
        <v>902</v>
      </c>
      <c r="I953" s="53" t="s">
        <v>656</v>
      </c>
      <c r="J953" s="53" t="s">
        <v>2552</v>
      </c>
    </row>
    <row r="954" spans="1:10" ht="15" customHeight="1" x14ac:dyDescent="0.35">
      <c r="A954" s="53" t="s">
        <v>896</v>
      </c>
      <c r="B954" s="53" t="s">
        <v>2553</v>
      </c>
      <c r="C954" s="53" t="s">
        <v>929</v>
      </c>
      <c r="D954" s="53">
        <v>1</v>
      </c>
      <c r="E954" s="53" t="s">
        <v>2554</v>
      </c>
      <c r="F954" s="53" t="s">
        <v>1885</v>
      </c>
      <c r="G954" s="53" t="s">
        <v>901</v>
      </c>
      <c r="H954" s="53" t="s">
        <v>902</v>
      </c>
      <c r="I954" s="53" t="s">
        <v>656</v>
      </c>
      <c r="J954" s="53" t="s">
        <v>2555</v>
      </c>
    </row>
    <row r="955" spans="1:10" ht="15" customHeight="1" x14ac:dyDescent="0.35">
      <c r="A955" s="53" t="s">
        <v>896</v>
      </c>
      <c r="B955" s="53" t="s">
        <v>2556</v>
      </c>
      <c r="C955" s="53" t="s">
        <v>1240</v>
      </c>
      <c r="D955" s="53">
        <v>1</v>
      </c>
      <c r="E955" s="53" t="s">
        <v>2557</v>
      </c>
      <c r="F955" s="53" t="s">
        <v>1885</v>
      </c>
      <c r="G955" s="53" t="s">
        <v>901</v>
      </c>
      <c r="H955" s="53" t="s">
        <v>902</v>
      </c>
      <c r="I955" s="53" t="s">
        <v>656</v>
      </c>
      <c r="J955" s="53" t="s">
        <v>2168</v>
      </c>
    </row>
    <row r="956" spans="1:10" ht="15" customHeight="1" x14ac:dyDescent="0.35">
      <c r="A956" s="53" t="s">
        <v>896</v>
      </c>
      <c r="B956" s="53" t="s">
        <v>2558</v>
      </c>
      <c r="C956" s="53" t="s">
        <v>1817</v>
      </c>
      <c r="D956" s="53">
        <v>1</v>
      </c>
      <c r="E956" s="53" t="s">
        <v>2559</v>
      </c>
      <c r="F956" s="53" t="s">
        <v>1885</v>
      </c>
      <c r="G956" s="53" t="s">
        <v>901</v>
      </c>
      <c r="H956" s="53" t="s">
        <v>902</v>
      </c>
      <c r="I956" s="53" t="s">
        <v>656</v>
      </c>
      <c r="J956" s="53" t="s">
        <v>2560</v>
      </c>
    </row>
    <row r="957" spans="1:10" ht="15" customHeight="1" x14ac:dyDescent="0.35">
      <c r="A957" s="53" t="s">
        <v>896</v>
      </c>
      <c r="B957" s="53" t="s">
        <v>2561</v>
      </c>
      <c r="C957" s="53" t="s">
        <v>1299</v>
      </c>
      <c r="D957" s="53">
        <v>1</v>
      </c>
      <c r="E957" s="53" t="s">
        <v>2562</v>
      </c>
      <c r="F957" s="53" t="s">
        <v>1885</v>
      </c>
      <c r="G957" s="53" t="s">
        <v>901</v>
      </c>
      <c r="H957" s="53" t="s">
        <v>902</v>
      </c>
      <c r="I957" s="53" t="s">
        <v>656</v>
      </c>
      <c r="J957" s="53" t="s">
        <v>2563</v>
      </c>
    </row>
    <row r="958" spans="1:10" ht="15" customHeight="1" x14ac:dyDescent="0.35">
      <c r="A958" s="53" t="s">
        <v>896</v>
      </c>
      <c r="B958" s="53" t="s">
        <v>2564</v>
      </c>
      <c r="C958" s="53" t="s">
        <v>909</v>
      </c>
      <c r="D958" s="53">
        <v>1</v>
      </c>
      <c r="E958" s="53" t="s">
        <v>2565</v>
      </c>
      <c r="F958" s="53" t="s">
        <v>1885</v>
      </c>
      <c r="G958" s="53" t="s">
        <v>901</v>
      </c>
      <c r="H958" s="53" t="s">
        <v>902</v>
      </c>
      <c r="I958" s="53" t="s">
        <v>656</v>
      </c>
      <c r="J958" s="53" t="s">
        <v>2566</v>
      </c>
    </row>
    <row r="959" spans="1:10" ht="15" customHeight="1" x14ac:dyDescent="0.35">
      <c r="A959" s="53" t="s">
        <v>896</v>
      </c>
      <c r="B959" s="53" t="s">
        <v>2567</v>
      </c>
      <c r="C959" s="53" t="s">
        <v>1084</v>
      </c>
      <c r="D959" s="53">
        <v>1</v>
      </c>
      <c r="E959" s="53" t="s">
        <v>2568</v>
      </c>
      <c r="F959" s="53" t="s">
        <v>1885</v>
      </c>
      <c r="G959" s="53" t="s">
        <v>901</v>
      </c>
      <c r="H959" s="53" t="s">
        <v>902</v>
      </c>
      <c r="I959" s="53" t="s">
        <v>656</v>
      </c>
      <c r="J959" s="53" t="s">
        <v>2569</v>
      </c>
    </row>
    <row r="960" spans="1:10" ht="15" customHeight="1" x14ac:dyDescent="0.35">
      <c r="A960" s="53" t="s">
        <v>896</v>
      </c>
      <c r="B960" s="53" t="s">
        <v>2570</v>
      </c>
      <c r="C960" s="53" t="s">
        <v>913</v>
      </c>
      <c r="D960" s="53">
        <v>1</v>
      </c>
      <c r="E960" s="53" t="s">
        <v>2571</v>
      </c>
      <c r="F960" s="53" t="s">
        <v>1885</v>
      </c>
      <c r="G960" s="53" t="s">
        <v>901</v>
      </c>
      <c r="H960" s="53" t="s">
        <v>902</v>
      </c>
      <c r="I960" s="53" t="s">
        <v>656</v>
      </c>
      <c r="J960" s="53" t="s">
        <v>2572</v>
      </c>
    </row>
    <row r="961" spans="1:10" ht="15" customHeight="1" x14ac:dyDescent="0.35">
      <c r="A961" s="53" t="s">
        <v>896</v>
      </c>
      <c r="B961" s="53" t="s">
        <v>2573</v>
      </c>
      <c r="C961" s="53" t="s">
        <v>921</v>
      </c>
      <c r="D961" s="53">
        <v>1</v>
      </c>
      <c r="E961" s="53" t="s">
        <v>2568</v>
      </c>
      <c r="F961" s="53" t="s">
        <v>1885</v>
      </c>
      <c r="G961" s="53" t="s">
        <v>901</v>
      </c>
      <c r="H961" s="53" t="s">
        <v>902</v>
      </c>
      <c r="I961" s="53" t="s">
        <v>656</v>
      </c>
      <c r="J961" s="53" t="s">
        <v>2574</v>
      </c>
    </row>
    <row r="962" spans="1:10" ht="15" customHeight="1" x14ac:dyDescent="0.35">
      <c r="A962" s="53" t="s">
        <v>896</v>
      </c>
      <c r="B962" s="53" t="s">
        <v>2575</v>
      </c>
      <c r="C962" s="53" t="s">
        <v>1077</v>
      </c>
      <c r="D962" s="53">
        <v>1</v>
      </c>
      <c r="E962" s="53" t="s">
        <v>2576</v>
      </c>
      <c r="F962" s="53" t="s">
        <v>1885</v>
      </c>
      <c r="G962" s="53" t="s">
        <v>901</v>
      </c>
      <c r="H962" s="53" t="s">
        <v>902</v>
      </c>
      <c r="I962" s="53" t="s">
        <v>656</v>
      </c>
      <c r="J962" s="53" t="s">
        <v>2577</v>
      </c>
    </row>
    <row r="963" spans="1:10" ht="15" customHeight="1" x14ac:dyDescent="0.35">
      <c r="A963" s="53" t="s">
        <v>896</v>
      </c>
      <c r="B963" s="53" t="s">
        <v>2578</v>
      </c>
      <c r="C963" s="53" t="s">
        <v>1118</v>
      </c>
      <c r="D963" s="53">
        <v>1</v>
      </c>
      <c r="E963" s="53" t="s">
        <v>2579</v>
      </c>
      <c r="F963" s="53" t="s">
        <v>1885</v>
      </c>
      <c r="G963" s="53" t="s">
        <v>901</v>
      </c>
      <c r="H963" s="53" t="s">
        <v>902</v>
      </c>
      <c r="I963" s="53" t="s">
        <v>656</v>
      </c>
      <c r="J963" s="53" t="s">
        <v>2580</v>
      </c>
    </row>
    <row r="964" spans="1:10" ht="15" customHeight="1" x14ac:dyDescent="0.35">
      <c r="A964" s="53" t="s">
        <v>896</v>
      </c>
      <c r="B964" s="53" t="s">
        <v>2581</v>
      </c>
      <c r="C964" s="53" t="s">
        <v>1077</v>
      </c>
      <c r="D964" s="53">
        <v>1</v>
      </c>
      <c r="E964" s="53" t="s">
        <v>2582</v>
      </c>
      <c r="F964" s="53" t="s">
        <v>1885</v>
      </c>
      <c r="G964" s="53" t="s">
        <v>901</v>
      </c>
      <c r="H964" s="53" t="s">
        <v>902</v>
      </c>
      <c r="I964" s="53" t="s">
        <v>656</v>
      </c>
      <c r="J964" s="53" t="s">
        <v>2583</v>
      </c>
    </row>
    <row r="965" spans="1:10" ht="15" customHeight="1" x14ac:dyDescent="0.35">
      <c r="A965" s="53" t="s">
        <v>896</v>
      </c>
      <c r="B965" s="53" t="s">
        <v>2584</v>
      </c>
      <c r="C965" s="53" t="s">
        <v>921</v>
      </c>
      <c r="D965" s="53">
        <v>1</v>
      </c>
      <c r="E965" s="53" t="s">
        <v>2585</v>
      </c>
      <c r="F965" s="53" t="s">
        <v>1885</v>
      </c>
      <c r="G965" s="53" t="s">
        <v>901</v>
      </c>
      <c r="H965" s="53" t="s">
        <v>902</v>
      </c>
      <c r="I965" s="53" t="s">
        <v>656</v>
      </c>
      <c r="J965" s="53" t="s">
        <v>2586</v>
      </c>
    </row>
    <row r="966" spans="1:10" ht="15" customHeight="1" x14ac:dyDescent="0.35">
      <c r="A966" s="53" t="s">
        <v>896</v>
      </c>
      <c r="B966" s="53" t="s">
        <v>2587</v>
      </c>
      <c r="C966" s="53" t="s">
        <v>921</v>
      </c>
      <c r="D966" s="53">
        <v>1</v>
      </c>
      <c r="E966" s="53" t="s">
        <v>2588</v>
      </c>
      <c r="F966" s="53" t="s">
        <v>1885</v>
      </c>
      <c r="G966" s="53" t="s">
        <v>901</v>
      </c>
      <c r="H966" s="53" t="s">
        <v>902</v>
      </c>
      <c r="I966" s="53" t="s">
        <v>656</v>
      </c>
      <c r="J966" s="53" t="s">
        <v>1492</v>
      </c>
    </row>
    <row r="967" spans="1:10" ht="15" customHeight="1" x14ac:dyDescent="0.35">
      <c r="A967" s="53" t="s">
        <v>896</v>
      </c>
      <c r="B967" s="53" t="s">
        <v>2589</v>
      </c>
      <c r="C967" s="53" t="s">
        <v>1646</v>
      </c>
      <c r="D967" s="53">
        <v>1</v>
      </c>
      <c r="E967" s="53" t="s">
        <v>2590</v>
      </c>
      <c r="F967" s="53" t="s">
        <v>1885</v>
      </c>
      <c r="G967" s="53" t="s">
        <v>901</v>
      </c>
      <c r="H967" s="53" t="s">
        <v>902</v>
      </c>
      <c r="I967" s="53" t="s">
        <v>656</v>
      </c>
      <c r="J967" s="53" t="s">
        <v>2591</v>
      </c>
    </row>
    <row r="968" spans="1:10" ht="15" customHeight="1" x14ac:dyDescent="0.35">
      <c r="A968" s="53" t="s">
        <v>896</v>
      </c>
      <c r="B968" s="53" t="s">
        <v>2592</v>
      </c>
      <c r="C968" s="53" t="s">
        <v>1697</v>
      </c>
      <c r="D968" s="53">
        <v>1</v>
      </c>
      <c r="E968" s="53" t="s">
        <v>2590</v>
      </c>
      <c r="F968" s="53" t="s">
        <v>1885</v>
      </c>
      <c r="G968" s="53" t="s">
        <v>901</v>
      </c>
      <c r="H968" s="53" t="s">
        <v>902</v>
      </c>
      <c r="I968" s="53" t="s">
        <v>656</v>
      </c>
      <c r="J968" s="53" t="s">
        <v>2593</v>
      </c>
    </row>
    <row r="969" spans="1:10" ht="15" customHeight="1" x14ac:dyDescent="0.35">
      <c r="A969" s="53" t="s">
        <v>896</v>
      </c>
      <c r="B969" s="53" t="s">
        <v>2594</v>
      </c>
      <c r="C969" s="53" t="s">
        <v>1690</v>
      </c>
      <c r="D969" s="53">
        <v>1</v>
      </c>
      <c r="E969" s="53" t="s">
        <v>2595</v>
      </c>
      <c r="F969" s="53" t="s">
        <v>1885</v>
      </c>
      <c r="G969" s="53" t="s">
        <v>901</v>
      </c>
      <c r="H969" s="53" t="s">
        <v>902</v>
      </c>
      <c r="I969" s="53" t="s">
        <v>656</v>
      </c>
      <c r="J969" s="53" t="s">
        <v>2596</v>
      </c>
    </row>
    <row r="970" spans="1:10" ht="15" customHeight="1" x14ac:dyDescent="0.35">
      <c r="A970" s="53" t="s">
        <v>896</v>
      </c>
      <c r="B970" s="53" t="s">
        <v>2597</v>
      </c>
      <c r="C970" s="53" t="s">
        <v>2598</v>
      </c>
      <c r="D970" s="53">
        <v>1</v>
      </c>
      <c r="E970" s="53" t="s">
        <v>2599</v>
      </c>
      <c r="F970" s="53" t="s">
        <v>1885</v>
      </c>
      <c r="G970" s="53" t="s">
        <v>901</v>
      </c>
      <c r="H970" s="53" t="s">
        <v>902</v>
      </c>
      <c r="I970" s="53" t="s">
        <v>656</v>
      </c>
      <c r="J970" s="53" t="s">
        <v>2600</v>
      </c>
    </row>
    <row r="971" spans="1:10" ht="15" customHeight="1" x14ac:dyDescent="0.35">
      <c r="A971" s="53" t="s">
        <v>896</v>
      </c>
      <c r="B971" s="53" t="s">
        <v>2601</v>
      </c>
      <c r="C971" s="53" t="s">
        <v>2602</v>
      </c>
      <c r="D971" s="53">
        <v>1</v>
      </c>
      <c r="E971" s="53" t="s">
        <v>2603</v>
      </c>
      <c r="F971" s="53" t="s">
        <v>1885</v>
      </c>
      <c r="G971" s="53" t="s">
        <v>901</v>
      </c>
      <c r="H971" s="53" t="s">
        <v>902</v>
      </c>
      <c r="I971" s="53" t="s">
        <v>656</v>
      </c>
      <c r="J971" s="53" t="s">
        <v>2222</v>
      </c>
    </row>
    <row r="972" spans="1:10" ht="15" customHeight="1" x14ac:dyDescent="0.35">
      <c r="A972" s="53" t="s">
        <v>896</v>
      </c>
      <c r="B972" s="53" t="s">
        <v>2604</v>
      </c>
      <c r="C972" s="53" t="s">
        <v>1077</v>
      </c>
      <c r="D972" s="53">
        <v>1</v>
      </c>
      <c r="E972" s="53" t="s">
        <v>2603</v>
      </c>
      <c r="F972" s="53" t="s">
        <v>1885</v>
      </c>
      <c r="G972" s="53" t="s">
        <v>901</v>
      </c>
      <c r="H972" s="53" t="s">
        <v>902</v>
      </c>
      <c r="I972" s="53" t="s">
        <v>656</v>
      </c>
      <c r="J972" s="53" t="s">
        <v>2222</v>
      </c>
    </row>
    <row r="973" spans="1:10" ht="15" customHeight="1" x14ac:dyDescent="0.35">
      <c r="A973" s="53" t="s">
        <v>896</v>
      </c>
      <c r="B973" s="53" t="s">
        <v>2605</v>
      </c>
      <c r="C973" s="53" t="s">
        <v>1070</v>
      </c>
      <c r="D973" s="53">
        <v>1</v>
      </c>
      <c r="E973" s="53" t="s">
        <v>2606</v>
      </c>
      <c r="F973" s="53" t="s">
        <v>1885</v>
      </c>
      <c r="G973" s="53" t="s">
        <v>901</v>
      </c>
      <c r="H973" s="53" t="s">
        <v>902</v>
      </c>
      <c r="I973" s="53" t="s">
        <v>656</v>
      </c>
      <c r="J973" s="53" t="s">
        <v>2607</v>
      </c>
    </row>
    <row r="974" spans="1:10" ht="15" customHeight="1" x14ac:dyDescent="0.35">
      <c r="A974" s="53" t="s">
        <v>896</v>
      </c>
      <c r="B974" s="53" t="s">
        <v>2608</v>
      </c>
      <c r="C974" s="53" t="s">
        <v>963</v>
      </c>
      <c r="D974" s="53">
        <v>1</v>
      </c>
      <c r="E974" s="53" t="s">
        <v>2609</v>
      </c>
      <c r="F974" s="53" t="s">
        <v>1885</v>
      </c>
      <c r="G974" s="53" t="s">
        <v>901</v>
      </c>
      <c r="H974" s="53" t="s">
        <v>902</v>
      </c>
      <c r="I974" s="53" t="s">
        <v>656</v>
      </c>
      <c r="J974" s="53" t="s">
        <v>1898</v>
      </c>
    </row>
    <row r="975" spans="1:10" ht="15" customHeight="1" x14ac:dyDescent="0.35">
      <c r="A975" s="53" t="s">
        <v>896</v>
      </c>
      <c r="B975" s="53" t="s">
        <v>2610</v>
      </c>
      <c r="C975" s="53" t="s">
        <v>1143</v>
      </c>
      <c r="D975" s="53">
        <v>1</v>
      </c>
      <c r="E975" s="53" t="s">
        <v>2611</v>
      </c>
      <c r="F975" s="53" t="s">
        <v>1885</v>
      </c>
      <c r="G975" s="53" t="s">
        <v>901</v>
      </c>
      <c r="H975" s="53" t="s">
        <v>902</v>
      </c>
      <c r="I975" s="53" t="s">
        <v>656</v>
      </c>
      <c r="J975" s="53" t="s">
        <v>2612</v>
      </c>
    </row>
    <row r="976" spans="1:10" ht="15" customHeight="1" x14ac:dyDescent="0.35">
      <c r="A976" s="53" t="s">
        <v>896</v>
      </c>
      <c r="B976" s="53" t="s">
        <v>2613</v>
      </c>
      <c r="C976" s="53" t="s">
        <v>921</v>
      </c>
      <c r="D976" s="53">
        <v>1</v>
      </c>
      <c r="E976" s="53" t="s">
        <v>2614</v>
      </c>
      <c r="F976" s="53" t="s">
        <v>1885</v>
      </c>
      <c r="G976" s="53" t="s">
        <v>901</v>
      </c>
      <c r="H976" s="53" t="s">
        <v>902</v>
      </c>
      <c r="I976" s="53" t="s">
        <v>656</v>
      </c>
      <c r="J976" s="53" t="s">
        <v>2615</v>
      </c>
    </row>
    <row r="977" spans="1:10" ht="15" customHeight="1" x14ac:dyDescent="0.35">
      <c r="A977" s="53" t="s">
        <v>896</v>
      </c>
      <c r="B977" s="53" t="s">
        <v>2616</v>
      </c>
      <c r="C977" s="53" t="s">
        <v>1659</v>
      </c>
      <c r="D977" s="53">
        <v>1</v>
      </c>
      <c r="E977" s="53" t="s">
        <v>2617</v>
      </c>
      <c r="F977" s="53" t="s">
        <v>1885</v>
      </c>
      <c r="G977" s="53" t="s">
        <v>901</v>
      </c>
      <c r="H977" s="53" t="s">
        <v>902</v>
      </c>
      <c r="I977" s="53" t="s">
        <v>656</v>
      </c>
      <c r="J977" s="53" t="s">
        <v>2618</v>
      </c>
    </row>
    <row r="978" spans="1:10" ht="15" customHeight="1" x14ac:dyDescent="0.35">
      <c r="A978" s="53" t="s">
        <v>896</v>
      </c>
      <c r="B978" s="53" t="s">
        <v>2619</v>
      </c>
      <c r="C978" s="53" t="s">
        <v>1077</v>
      </c>
      <c r="D978" s="53">
        <v>1</v>
      </c>
      <c r="E978" s="53" t="s">
        <v>2620</v>
      </c>
      <c r="F978" s="53" t="s">
        <v>1885</v>
      </c>
      <c r="G978" s="53" t="s">
        <v>901</v>
      </c>
      <c r="H978" s="53" t="s">
        <v>902</v>
      </c>
      <c r="I978" s="53" t="s">
        <v>656</v>
      </c>
      <c r="J978" s="53" t="s">
        <v>2621</v>
      </c>
    </row>
    <row r="979" spans="1:10" ht="15" customHeight="1" x14ac:dyDescent="0.35">
      <c r="A979" s="53" t="s">
        <v>896</v>
      </c>
      <c r="B979" s="53" t="s">
        <v>2622</v>
      </c>
      <c r="C979" s="53" t="s">
        <v>1077</v>
      </c>
      <c r="D979" s="53">
        <v>1</v>
      </c>
      <c r="E979" s="53" t="s">
        <v>2623</v>
      </c>
      <c r="F979" s="53" t="s">
        <v>1885</v>
      </c>
      <c r="G979" s="53" t="s">
        <v>901</v>
      </c>
      <c r="H979" s="53" t="s">
        <v>902</v>
      </c>
      <c r="I979" s="53" t="s">
        <v>656</v>
      </c>
      <c r="J979" s="53" t="s">
        <v>2624</v>
      </c>
    </row>
    <row r="980" spans="1:10" ht="15" customHeight="1" x14ac:dyDescent="0.35">
      <c r="A980" s="53" t="s">
        <v>896</v>
      </c>
      <c r="B980" s="53" t="s">
        <v>2625</v>
      </c>
      <c r="C980" s="53" t="s">
        <v>921</v>
      </c>
      <c r="D980" s="53">
        <v>1</v>
      </c>
      <c r="E980" s="53" t="s">
        <v>2626</v>
      </c>
      <c r="F980" s="53" t="s">
        <v>1885</v>
      </c>
      <c r="G980" s="53" t="s">
        <v>901</v>
      </c>
      <c r="H980" s="53" t="s">
        <v>902</v>
      </c>
      <c r="I980" s="53" t="s">
        <v>656</v>
      </c>
      <c r="J980" s="53" t="s">
        <v>2627</v>
      </c>
    </row>
    <row r="981" spans="1:10" ht="15" customHeight="1" x14ac:dyDescent="0.35">
      <c r="A981" s="53" t="s">
        <v>896</v>
      </c>
      <c r="B981" s="53" t="s">
        <v>2628</v>
      </c>
      <c r="C981" s="53" t="s">
        <v>1118</v>
      </c>
      <c r="D981" s="53">
        <v>1</v>
      </c>
      <c r="E981" s="53" t="s">
        <v>2629</v>
      </c>
      <c r="F981" s="53" t="s">
        <v>1885</v>
      </c>
      <c r="G981" s="53" t="s">
        <v>901</v>
      </c>
      <c r="H981" s="53" t="s">
        <v>902</v>
      </c>
      <c r="I981" s="53" t="s">
        <v>656</v>
      </c>
      <c r="J981" s="53" t="s">
        <v>2630</v>
      </c>
    </row>
    <row r="982" spans="1:10" ht="15" customHeight="1" x14ac:dyDescent="0.35">
      <c r="A982" s="53" t="s">
        <v>896</v>
      </c>
      <c r="B982" s="53" t="s">
        <v>2631</v>
      </c>
      <c r="C982" s="53" t="s">
        <v>989</v>
      </c>
      <c r="D982" s="53">
        <v>1</v>
      </c>
      <c r="E982" s="53" t="s">
        <v>2632</v>
      </c>
      <c r="F982" s="53" t="s">
        <v>1885</v>
      </c>
      <c r="G982" s="53" t="s">
        <v>901</v>
      </c>
      <c r="H982" s="53" t="s">
        <v>902</v>
      </c>
      <c r="I982" s="53" t="s">
        <v>656</v>
      </c>
      <c r="J982" s="53" t="s">
        <v>2633</v>
      </c>
    </row>
    <row r="983" spans="1:10" ht="15" customHeight="1" x14ac:dyDescent="0.35">
      <c r="A983" s="53" t="s">
        <v>896</v>
      </c>
      <c r="B983" s="53" t="s">
        <v>2634</v>
      </c>
      <c r="C983" s="53" t="s">
        <v>1768</v>
      </c>
      <c r="D983" s="53">
        <v>1</v>
      </c>
      <c r="E983" s="53" t="s">
        <v>2635</v>
      </c>
      <c r="F983" s="53" t="s">
        <v>1885</v>
      </c>
      <c r="G983" s="53" t="s">
        <v>901</v>
      </c>
      <c r="H983" s="53" t="s">
        <v>902</v>
      </c>
      <c r="I983" s="53" t="s">
        <v>656</v>
      </c>
      <c r="J983" s="53" t="s">
        <v>2636</v>
      </c>
    </row>
    <row r="984" spans="1:10" ht="15" customHeight="1" x14ac:dyDescent="0.35">
      <c r="A984" s="53" t="s">
        <v>896</v>
      </c>
      <c r="B984" s="53" t="s">
        <v>2637</v>
      </c>
      <c r="C984" s="53" t="s">
        <v>1077</v>
      </c>
      <c r="D984" s="53">
        <v>1</v>
      </c>
      <c r="E984" s="53" t="s">
        <v>2635</v>
      </c>
      <c r="F984" s="53" t="s">
        <v>1885</v>
      </c>
      <c r="G984" s="53" t="s">
        <v>901</v>
      </c>
      <c r="H984" s="53" t="s">
        <v>902</v>
      </c>
      <c r="I984" s="53" t="s">
        <v>656</v>
      </c>
      <c r="J984" s="53" t="s">
        <v>2638</v>
      </c>
    </row>
    <row r="985" spans="1:10" ht="15" customHeight="1" x14ac:dyDescent="0.35">
      <c r="A985" s="53" t="s">
        <v>896</v>
      </c>
      <c r="B985" s="53" t="s">
        <v>2639</v>
      </c>
      <c r="C985" s="53" t="s">
        <v>929</v>
      </c>
      <c r="D985" s="53">
        <v>1</v>
      </c>
      <c r="E985" s="53" t="s">
        <v>2640</v>
      </c>
      <c r="F985" s="53" t="s">
        <v>1885</v>
      </c>
      <c r="G985" s="53" t="s">
        <v>901</v>
      </c>
      <c r="H985" s="53" t="s">
        <v>902</v>
      </c>
      <c r="I985" s="53" t="s">
        <v>656</v>
      </c>
      <c r="J985" s="53" t="s">
        <v>2641</v>
      </c>
    </row>
    <row r="986" spans="1:10" ht="15" customHeight="1" x14ac:dyDescent="0.35">
      <c r="A986" s="53" t="s">
        <v>896</v>
      </c>
      <c r="B986" s="53" t="s">
        <v>2642</v>
      </c>
      <c r="C986" s="53" t="s">
        <v>1817</v>
      </c>
      <c r="D986" s="53">
        <v>1</v>
      </c>
      <c r="E986" s="53" t="s">
        <v>2643</v>
      </c>
      <c r="F986" s="53" t="s">
        <v>1885</v>
      </c>
      <c r="G986" s="53" t="s">
        <v>901</v>
      </c>
      <c r="H986" s="53" t="s">
        <v>902</v>
      </c>
      <c r="I986" s="53" t="s">
        <v>656</v>
      </c>
      <c r="J986" s="53" t="s">
        <v>2364</v>
      </c>
    </row>
    <row r="987" spans="1:10" ht="15" customHeight="1" x14ac:dyDescent="0.35">
      <c r="A987" s="53" t="s">
        <v>896</v>
      </c>
      <c r="B987" s="53" t="s">
        <v>2644</v>
      </c>
      <c r="C987" s="53" t="s">
        <v>905</v>
      </c>
      <c r="D987" s="53">
        <v>1</v>
      </c>
      <c r="E987" s="53" t="s">
        <v>2643</v>
      </c>
      <c r="F987" s="53" t="s">
        <v>1885</v>
      </c>
      <c r="G987" s="53" t="s">
        <v>901</v>
      </c>
      <c r="H987" s="53" t="s">
        <v>902</v>
      </c>
      <c r="I987" s="53" t="s">
        <v>656</v>
      </c>
      <c r="J987" s="53" t="s">
        <v>2645</v>
      </c>
    </row>
    <row r="988" spans="1:10" ht="15" customHeight="1" x14ac:dyDescent="0.35">
      <c r="A988" s="53" t="s">
        <v>896</v>
      </c>
      <c r="B988" s="53" t="s">
        <v>2646</v>
      </c>
      <c r="C988" s="53" t="s">
        <v>1817</v>
      </c>
      <c r="D988" s="53">
        <v>1</v>
      </c>
      <c r="E988" s="53" t="s">
        <v>2647</v>
      </c>
      <c r="F988" s="53" t="s">
        <v>1885</v>
      </c>
      <c r="G988" s="53" t="s">
        <v>901</v>
      </c>
      <c r="H988" s="53" t="s">
        <v>902</v>
      </c>
      <c r="I988" s="53" t="s">
        <v>656</v>
      </c>
      <c r="J988" s="53" t="s">
        <v>2443</v>
      </c>
    </row>
    <row r="989" spans="1:10" ht="15" customHeight="1" x14ac:dyDescent="0.35">
      <c r="A989" s="53" t="s">
        <v>896</v>
      </c>
      <c r="B989" s="53" t="s">
        <v>2648</v>
      </c>
      <c r="C989" s="53" t="s">
        <v>1212</v>
      </c>
      <c r="D989" s="53">
        <v>1</v>
      </c>
      <c r="E989" s="53" t="s">
        <v>2647</v>
      </c>
      <c r="F989" s="53" t="s">
        <v>1885</v>
      </c>
      <c r="G989" s="53" t="s">
        <v>901</v>
      </c>
      <c r="H989" s="53" t="s">
        <v>902</v>
      </c>
      <c r="I989" s="53" t="s">
        <v>656</v>
      </c>
      <c r="J989" s="53" t="s">
        <v>2649</v>
      </c>
    </row>
    <row r="990" spans="1:10" ht="15" customHeight="1" x14ac:dyDescent="0.35">
      <c r="A990" s="53" t="s">
        <v>896</v>
      </c>
      <c r="B990" s="53" t="s">
        <v>2650</v>
      </c>
      <c r="C990" s="53" t="s">
        <v>989</v>
      </c>
      <c r="D990" s="53">
        <v>1</v>
      </c>
      <c r="E990" s="53" t="s">
        <v>2651</v>
      </c>
      <c r="F990" s="53" t="s">
        <v>1885</v>
      </c>
      <c r="G990" s="53" t="s">
        <v>901</v>
      </c>
      <c r="H990" s="53" t="s">
        <v>902</v>
      </c>
      <c r="I990" s="53" t="s">
        <v>656</v>
      </c>
      <c r="J990" s="53" t="s">
        <v>2652</v>
      </c>
    </row>
    <row r="991" spans="1:10" ht="15" customHeight="1" x14ac:dyDescent="0.35">
      <c r="A991" s="53" t="s">
        <v>896</v>
      </c>
      <c r="B991" s="53" t="s">
        <v>2653</v>
      </c>
      <c r="C991" s="53" t="s">
        <v>1050</v>
      </c>
      <c r="D991" s="53">
        <v>1</v>
      </c>
      <c r="E991" s="53" t="s">
        <v>2654</v>
      </c>
      <c r="F991" s="53" t="s">
        <v>1885</v>
      </c>
      <c r="G991" s="53" t="s">
        <v>901</v>
      </c>
      <c r="H991" s="53" t="s">
        <v>902</v>
      </c>
      <c r="I991" s="53" t="s">
        <v>656</v>
      </c>
      <c r="J991" s="53" t="s">
        <v>2655</v>
      </c>
    </row>
    <row r="992" spans="1:10" ht="15" customHeight="1" x14ac:dyDescent="0.35">
      <c r="A992" s="53" t="s">
        <v>896</v>
      </c>
      <c r="B992" s="53" t="s">
        <v>2656</v>
      </c>
      <c r="C992" s="53" t="s">
        <v>913</v>
      </c>
      <c r="D992" s="53">
        <v>1</v>
      </c>
      <c r="E992" s="53" t="s">
        <v>2657</v>
      </c>
      <c r="F992" s="53" t="s">
        <v>1885</v>
      </c>
      <c r="G992" s="53" t="s">
        <v>901</v>
      </c>
      <c r="H992" s="53" t="s">
        <v>902</v>
      </c>
      <c r="I992" s="53" t="s">
        <v>656</v>
      </c>
      <c r="J992" s="53" t="s">
        <v>2658</v>
      </c>
    </row>
    <row r="993" spans="1:10" ht="15" customHeight="1" x14ac:dyDescent="0.35">
      <c r="A993" s="53" t="s">
        <v>896</v>
      </c>
      <c r="B993" s="53" t="s">
        <v>2659</v>
      </c>
      <c r="C993" s="53" t="s">
        <v>1077</v>
      </c>
      <c r="D993" s="53">
        <v>1</v>
      </c>
      <c r="E993" s="53" t="s">
        <v>2660</v>
      </c>
      <c r="F993" s="53" t="s">
        <v>1885</v>
      </c>
      <c r="G993" s="53" t="s">
        <v>901</v>
      </c>
      <c r="H993" s="53" t="s">
        <v>902</v>
      </c>
      <c r="I993" s="53" t="s">
        <v>656</v>
      </c>
      <c r="J993" s="53" t="s">
        <v>2661</v>
      </c>
    </row>
    <row r="994" spans="1:10" ht="15" customHeight="1" x14ac:dyDescent="0.35">
      <c r="A994" s="53" t="s">
        <v>896</v>
      </c>
      <c r="B994" s="53" t="s">
        <v>2662</v>
      </c>
      <c r="C994" s="53" t="s">
        <v>959</v>
      </c>
      <c r="D994" s="53">
        <v>1</v>
      </c>
      <c r="E994" s="53" t="s">
        <v>2663</v>
      </c>
      <c r="F994" s="53" t="s">
        <v>1885</v>
      </c>
      <c r="G994" s="53" t="s">
        <v>901</v>
      </c>
      <c r="H994" s="53" t="s">
        <v>902</v>
      </c>
      <c r="I994" s="53" t="s">
        <v>656</v>
      </c>
      <c r="J994" s="53" t="s">
        <v>2664</v>
      </c>
    </row>
    <row r="995" spans="1:10" ht="15" customHeight="1" x14ac:dyDescent="0.35">
      <c r="A995" s="53" t="s">
        <v>896</v>
      </c>
      <c r="B995" s="53" t="s">
        <v>2665</v>
      </c>
      <c r="C995" s="53" t="s">
        <v>1118</v>
      </c>
      <c r="D995" s="53">
        <v>1</v>
      </c>
      <c r="E995" s="53" t="s">
        <v>2666</v>
      </c>
      <c r="F995" s="53" t="s">
        <v>1885</v>
      </c>
      <c r="G995" s="53" t="s">
        <v>901</v>
      </c>
      <c r="H995" s="53" t="s">
        <v>902</v>
      </c>
      <c r="I995" s="53" t="s">
        <v>656</v>
      </c>
      <c r="J995" s="53" t="s">
        <v>2667</v>
      </c>
    </row>
    <row r="996" spans="1:10" ht="15" customHeight="1" x14ac:dyDescent="0.35">
      <c r="A996" s="53" t="s">
        <v>896</v>
      </c>
      <c r="B996" s="53" t="s">
        <v>2668</v>
      </c>
      <c r="C996" s="53" t="s">
        <v>1122</v>
      </c>
      <c r="D996" s="53">
        <v>1</v>
      </c>
      <c r="E996" s="53" t="s">
        <v>2669</v>
      </c>
      <c r="F996" s="53" t="s">
        <v>1885</v>
      </c>
      <c r="G996" s="53" t="s">
        <v>901</v>
      </c>
      <c r="H996" s="53" t="s">
        <v>902</v>
      </c>
      <c r="I996" s="53" t="s">
        <v>656</v>
      </c>
      <c r="J996" s="53" t="s">
        <v>2670</v>
      </c>
    </row>
    <row r="997" spans="1:10" ht="15" customHeight="1" x14ac:dyDescent="0.35">
      <c r="A997" s="53" t="s">
        <v>896</v>
      </c>
      <c r="B997" s="53" t="s">
        <v>2671</v>
      </c>
      <c r="C997" s="53" t="s">
        <v>1077</v>
      </c>
      <c r="D997" s="53">
        <v>1</v>
      </c>
      <c r="E997" s="53" t="s">
        <v>2669</v>
      </c>
      <c r="F997" s="53" t="s">
        <v>1885</v>
      </c>
      <c r="G997" s="53" t="s">
        <v>901</v>
      </c>
      <c r="H997" s="53" t="s">
        <v>902</v>
      </c>
      <c r="I997" s="53" t="s">
        <v>656</v>
      </c>
      <c r="J997" s="53" t="s">
        <v>2146</v>
      </c>
    </row>
    <row r="998" spans="1:10" ht="15" customHeight="1" x14ac:dyDescent="0.35">
      <c r="A998" s="53" t="s">
        <v>896</v>
      </c>
      <c r="B998" s="53" t="s">
        <v>2672</v>
      </c>
      <c r="C998" s="53" t="s">
        <v>921</v>
      </c>
      <c r="D998" s="53">
        <v>1</v>
      </c>
      <c r="E998" s="53" t="s">
        <v>2673</v>
      </c>
      <c r="F998" s="53" t="s">
        <v>1885</v>
      </c>
      <c r="G998" s="53" t="s">
        <v>901</v>
      </c>
      <c r="H998" s="53" t="s">
        <v>902</v>
      </c>
      <c r="I998" s="53" t="s">
        <v>656</v>
      </c>
      <c r="J998" s="53" t="s">
        <v>2674</v>
      </c>
    </row>
    <row r="999" spans="1:10" ht="15" customHeight="1" x14ac:dyDescent="0.35">
      <c r="A999" s="53" t="s">
        <v>896</v>
      </c>
      <c r="B999" s="53" t="s">
        <v>2675</v>
      </c>
      <c r="C999" s="53" t="s">
        <v>1070</v>
      </c>
      <c r="D999" s="53">
        <v>1</v>
      </c>
      <c r="E999" s="53" t="s">
        <v>2673</v>
      </c>
      <c r="F999" s="53" t="s">
        <v>1885</v>
      </c>
      <c r="G999" s="53" t="s">
        <v>901</v>
      </c>
      <c r="H999" s="53" t="s">
        <v>902</v>
      </c>
      <c r="I999" s="53" t="s">
        <v>656</v>
      </c>
      <c r="J999" s="53" t="s">
        <v>2676</v>
      </c>
    </row>
    <row r="1000" spans="1:10" ht="15" customHeight="1" x14ac:dyDescent="0.35">
      <c r="A1000" s="53" t="s">
        <v>896</v>
      </c>
      <c r="B1000" s="53" t="s">
        <v>2677</v>
      </c>
      <c r="C1000" s="53" t="s">
        <v>2598</v>
      </c>
      <c r="D1000" s="53">
        <v>1</v>
      </c>
      <c r="E1000" s="53" t="s">
        <v>2678</v>
      </c>
      <c r="F1000" s="53" t="s">
        <v>1885</v>
      </c>
      <c r="G1000" s="53" t="s">
        <v>901</v>
      </c>
      <c r="H1000" s="53" t="s">
        <v>902</v>
      </c>
      <c r="I1000" s="53" t="s">
        <v>656</v>
      </c>
      <c r="J1000" s="53" t="s">
        <v>2679</v>
      </c>
    </row>
    <row r="1001" spans="1:10" ht="15" customHeight="1" x14ac:dyDescent="0.35">
      <c r="A1001" s="53" t="s">
        <v>896</v>
      </c>
      <c r="B1001" s="53" t="s">
        <v>2680</v>
      </c>
      <c r="C1001" s="53" t="s">
        <v>921</v>
      </c>
      <c r="D1001" s="53">
        <v>1</v>
      </c>
      <c r="E1001" s="53" t="s">
        <v>2678</v>
      </c>
      <c r="F1001" s="53" t="s">
        <v>1885</v>
      </c>
      <c r="G1001" s="53" t="s">
        <v>901</v>
      </c>
      <c r="H1001" s="53" t="s">
        <v>902</v>
      </c>
      <c r="I1001" s="53" t="s">
        <v>656</v>
      </c>
      <c r="J1001" s="53" t="s">
        <v>2681</v>
      </c>
    </row>
    <row r="1002" spans="1:10" ht="15" customHeight="1" x14ac:dyDescent="0.35">
      <c r="A1002" s="53" t="s">
        <v>896</v>
      </c>
      <c r="B1002" s="53" t="s">
        <v>2682</v>
      </c>
      <c r="C1002" s="53" t="s">
        <v>1490</v>
      </c>
      <c r="D1002" s="53">
        <v>1</v>
      </c>
      <c r="E1002" s="53" t="s">
        <v>2683</v>
      </c>
      <c r="F1002" s="53" t="s">
        <v>1885</v>
      </c>
      <c r="G1002" s="53" t="s">
        <v>901</v>
      </c>
      <c r="H1002" s="53" t="s">
        <v>902</v>
      </c>
      <c r="I1002" s="53" t="s">
        <v>656</v>
      </c>
      <c r="J1002" s="53" t="s">
        <v>2580</v>
      </c>
    </row>
    <row r="1003" spans="1:10" ht="15" customHeight="1" x14ac:dyDescent="0.35">
      <c r="A1003" s="53" t="s">
        <v>896</v>
      </c>
      <c r="B1003" s="53" t="s">
        <v>2684</v>
      </c>
      <c r="C1003" s="53" t="s">
        <v>1077</v>
      </c>
      <c r="D1003" s="53">
        <v>1</v>
      </c>
      <c r="E1003" s="53" t="s">
        <v>2683</v>
      </c>
      <c r="F1003" s="53" t="s">
        <v>1885</v>
      </c>
      <c r="G1003" s="53" t="s">
        <v>901</v>
      </c>
      <c r="H1003" s="53" t="s">
        <v>902</v>
      </c>
      <c r="I1003" s="53" t="s">
        <v>656</v>
      </c>
      <c r="J1003" s="53" t="s">
        <v>2526</v>
      </c>
    </row>
    <row r="1004" spans="1:10" ht="15" customHeight="1" x14ac:dyDescent="0.35">
      <c r="A1004" s="53" t="s">
        <v>896</v>
      </c>
      <c r="B1004" s="53" t="s">
        <v>2685</v>
      </c>
      <c r="C1004" s="53" t="s">
        <v>1212</v>
      </c>
      <c r="D1004" s="53">
        <v>1</v>
      </c>
      <c r="E1004" s="53" t="s">
        <v>2683</v>
      </c>
      <c r="F1004" s="53" t="s">
        <v>1885</v>
      </c>
      <c r="G1004" s="53" t="s">
        <v>901</v>
      </c>
      <c r="H1004" s="53" t="s">
        <v>902</v>
      </c>
      <c r="I1004" s="53" t="s">
        <v>656</v>
      </c>
      <c r="J1004" s="53" t="s">
        <v>2686</v>
      </c>
    </row>
    <row r="1005" spans="1:10" ht="15" customHeight="1" x14ac:dyDescent="0.35">
      <c r="A1005" s="53" t="s">
        <v>896</v>
      </c>
      <c r="B1005" s="53" t="s">
        <v>2687</v>
      </c>
      <c r="C1005" s="53" t="s">
        <v>989</v>
      </c>
      <c r="D1005" s="53">
        <v>1</v>
      </c>
      <c r="E1005" s="53" t="s">
        <v>2688</v>
      </c>
      <c r="F1005" s="53" t="s">
        <v>1885</v>
      </c>
      <c r="G1005" s="53" t="s">
        <v>901</v>
      </c>
      <c r="H1005" s="53" t="s">
        <v>902</v>
      </c>
      <c r="I1005" s="53" t="s">
        <v>656</v>
      </c>
      <c r="J1005" s="53" t="s">
        <v>2689</v>
      </c>
    </row>
    <row r="1006" spans="1:10" ht="15" customHeight="1" x14ac:dyDescent="0.35">
      <c r="A1006" s="53" t="s">
        <v>896</v>
      </c>
      <c r="B1006" s="53" t="s">
        <v>2690</v>
      </c>
      <c r="C1006" s="53" t="s">
        <v>913</v>
      </c>
      <c r="D1006" s="53">
        <v>1</v>
      </c>
      <c r="E1006" s="53" t="s">
        <v>2691</v>
      </c>
      <c r="F1006" s="53" t="s">
        <v>1885</v>
      </c>
      <c r="G1006" s="53" t="s">
        <v>901</v>
      </c>
      <c r="H1006" s="53" t="s">
        <v>902</v>
      </c>
      <c r="I1006" s="53" t="s">
        <v>656</v>
      </c>
      <c r="J1006" s="53" t="s">
        <v>2692</v>
      </c>
    </row>
    <row r="1007" spans="1:10" ht="15" customHeight="1" x14ac:dyDescent="0.35">
      <c r="A1007" s="53" t="s">
        <v>896</v>
      </c>
      <c r="B1007" s="53" t="s">
        <v>2693</v>
      </c>
      <c r="C1007" s="53" t="s">
        <v>1111</v>
      </c>
      <c r="D1007" s="53">
        <v>1</v>
      </c>
      <c r="E1007" s="53" t="s">
        <v>2694</v>
      </c>
      <c r="F1007" s="53" t="s">
        <v>1885</v>
      </c>
      <c r="G1007" s="53" t="s">
        <v>901</v>
      </c>
      <c r="H1007" s="53" t="s">
        <v>902</v>
      </c>
      <c r="I1007" s="53" t="s">
        <v>656</v>
      </c>
      <c r="J1007" s="53" t="s">
        <v>2695</v>
      </c>
    </row>
    <row r="1008" spans="1:10" ht="15" customHeight="1" x14ac:dyDescent="0.35">
      <c r="A1008" s="53" t="s">
        <v>896</v>
      </c>
      <c r="B1008" s="53" t="s">
        <v>2696</v>
      </c>
      <c r="C1008" s="53" t="s">
        <v>1731</v>
      </c>
      <c r="D1008" s="53">
        <v>1</v>
      </c>
      <c r="E1008" s="53" t="s">
        <v>2697</v>
      </c>
      <c r="F1008" s="53" t="s">
        <v>1885</v>
      </c>
      <c r="G1008" s="53" t="s">
        <v>901</v>
      </c>
      <c r="H1008" s="53" t="s">
        <v>902</v>
      </c>
      <c r="I1008" s="53" t="s">
        <v>656</v>
      </c>
      <c r="J1008" s="53" t="s">
        <v>2698</v>
      </c>
    </row>
    <row r="1009" spans="1:10" ht="15" customHeight="1" x14ac:dyDescent="0.35">
      <c r="A1009" s="53" t="s">
        <v>896</v>
      </c>
      <c r="B1009" s="53" t="s">
        <v>2699</v>
      </c>
      <c r="C1009" s="53" t="s">
        <v>1136</v>
      </c>
      <c r="D1009" s="53">
        <v>1</v>
      </c>
      <c r="E1009" s="53" t="s">
        <v>2700</v>
      </c>
      <c r="F1009" s="53" t="s">
        <v>1885</v>
      </c>
      <c r="G1009" s="53" t="s">
        <v>901</v>
      </c>
      <c r="H1009" s="53" t="s">
        <v>902</v>
      </c>
      <c r="I1009" s="53" t="s">
        <v>656</v>
      </c>
      <c r="J1009" s="53" t="s">
        <v>2701</v>
      </c>
    </row>
    <row r="1010" spans="1:10" ht="15" customHeight="1" x14ac:dyDescent="0.35">
      <c r="A1010" s="53" t="s">
        <v>896</v>
      </c>
      <c r="B1010" s="53" t="s">
        <v>2702</v>
      </c>
      <c r="C1010" s="53" t="s">
        <v>913</v>
      </c>
      <c r="D1010" s="53">
        <v>1</v>
      </c>
      <c r="E1010" s="53" t="s">
        <v>2703</v>
      </c>
      <c r="F1010" s="53" t="s">
        <v>1885</v>
      </c>
      <c r="G1010" s="53" t="s">
        <v>901</v>
      </c>
      <c r="H1010" s="53" t="s">
        <v>902</v>
      </c>
      <c r="I1010" s="53" t="s">
        <v>656</v>
      </c>
      <c r="J1010" s="53" t="s">
        <v>2704</v>
      </c>
    </row>
    <row r="1011" spans="1:10" ht="15" customHeight="1" x14ac:dyDescent="0.35">
      <c r="A1011" s="53" t="s">
        <v>896</v>
      </c>
      <c r="B1011" s="53" t="s">
        <v>2705</v>
      </c>
      <c r="C1011" s="53" t="s">
        <v>1077</v>
      </c>
      <c r="D1011" s="53">
        <v>1</v>
      </c>
      <c r="E1011" s="53" t="s">
        <v>2706</v>
      </c>
      <c r="F1011" s="53" t="s">
        <v>1885</v>
      </c>
      <c r="G1011" s="53" t="s">
        <v>901</v>
      </c>
      <c r="H1011" s="53" t="s">
        <v>902</v>
      </c>
      <c r="I1011" s="53" t="s">
        <v>656</v>
      </c>
      <c r="J1011" s="53" t="s">
        <v>2707</v>
      </c>
    </row>
    <row r="1012" spans="1:10" ht="15" customHeight="1" x14ac:dyDescent="0.35">
      <c r="A1012" s="53" t="s">
        <v>896</v>
      </c>
      <c r="B1012" s="53" t="s">
        <v>2708</v>
      </c>
      <c r="C1012" s="53" t="s">
        <v>1009</v>
      </c>
      <c r="D1012" s="53">
        <v>1</v>
      </c>
      <c r="E1012" s="53" t="s">
        <v>2709</v>
      </c>
      <c r="F1012" s="53" t="s">
        <v>1885</v>
      </c>
      <c r="G1012" s="53" t="s">
        <v>901</v>
      </c>
      <c r="H1012" s="53" t="s">
        <v>902</v>
      </c>
      <c r="I1012" s="53" t="s">
        <v>656</v>
      </c>
      <c r="J1012" s="53" t="s">
        <v>2710</v>
      </c>
    </row>
    <row r="1013" spans="1:10" ht="15" customHeight="1" x14ac:dyDescent="0.35">
      <c r="A1013" s="53" t="s">
        <v>896</v>
      </c>
      <c r="B1013" s="53" t="s">
        <v>2711</v>
      </c>
      <c r="C1013" s="53" t="s">
        <v>959</v>
      </c>
      <c r="D1013" s="53">
        <v>1</v>
      </c>
      <c r="E1013" s="53" t="s">
        <v>2712</v>
      </c>
      <c r="F1013" s="53" t="s">
        <v>1885</v>
      </c>
      <c r="G1013" s="53" t="s">
        <v>901</v>
      </c>
      <c r="H1013" s="53" t="s">
        <v>902</v>
      </c>
      <c r="I1013" s="53" t="s">
        <v>656</v>
      </c>
      <c r="J1013" s="53" t="s">
        <v>2713</v>
      </c>
    </row>
    <row r="1014" spans="1:10" ht="15" customHeight="1" x14ac:dyDescent="0.35">
      <c r="A1014" s="53" t="s">
        <v>896</v>
      </c>
      <c r="B1014" s="53" t="s">
        <v>2714</v>
      </c>
      <c r="C1014" s="53" t="s">
        <v>1136</v>
      </c>
      <c r="D1014" s="53">
        <v>1</v>
      </c>
      <c r="E1014" s="53" t="s">
        <v>2715</v>
      </c>
      <c r="F1014" s="53" t="s">
        <v>1885</v>
      </c>
      <c r="G1014" s="53" t="s">
        <v>901</v>
      </c>
      <c r="H1014" s="53" t="s">
        <v>902</v>
      </c>
      <c r="I1014" s="53" t="s">
        <v>656</v>
      </c>
      <c r="J1014" s="53" t="s">
        <v>2701</v>
      </c>
    </row>
    <row r="1015" spans="1:10" ht="15" customHeight="1" x14ac:dyDescent="0.35">
      <c r="A1015" s="53" t="s">
        <v>896</v>
      </c>
      <c r="B1015" s="53" t="s">
        <v>2716</v>
      </c>
      <c r="C1015" s="53" t="s">
        <v>921</v>
      </c>
      <c r="D1015" s="53">
        <v>1</v>
      </c>
      <c r="E1015" s="53" t="s">
        <v>2717</v>
      </c>
      <c r="F1015" s="53" t="s">
        <v>1885</v>
      </c>
      <c r="G1015" s="53" t="s">
        <v>901</v>
      </c>
      <c r="H1015" s="53" t="s">
        <v>902</v>
      </c>
      <c r="I1015" s="53" t="s">
        <v>656</v>
      </c>
      <c r="J1015" s="53" t="s">
        <v>2636</v>
      </c>
    </row>
    <row r="1016" spans="1:10" ht="15" customHeight="1" x14ac:dyDescent="0.35">
      <c r="A1016" s="53" t="s">
        <v>896</v>
      </c>
      <c r="B1016" s="53" t="s">
        <v>2718</v>
      </c>
      <c r="C1016" s="53" t="s">
        <v>921</v>
      </c>
      <c r="D1016" s="53">
        <v>1</v>
      </c>
      <c r="E1016" s="53" t="s">
        <v>2719</v>
      </c>
      <c r="F1016" s="53" t="s">
        <v>1885</v>
      </c>
      <c r="G1016" s="53" t="s">
        <v>901</v>
      </c>
      <c r="H1016" s="53" t="s">
        <v>902</v>
      </c>
      <c r="I1016" s="53" t="s">
        <v>656</v>
      </c>
      <c r="J1016" s="53" t="s">
        <v>2720</v>
      </c>
    </row>
    <row r="1017" spans="1:10" ht="15" customHeight="1" x14ac:dyDescent="0.35">
      <c r="A1017" s="53" t="s">
        <v>896</v>
      </c>
      <c r="B1017" s="53" t="s">
        <v>2721</v>
      </c>
      <c r="C1017" s="53" t="s">
        <v>1084</v>
      </c>
      <c r="D1017" s="53">
        <v>1</v>
      </c>
      <c r="E1017" s="53" t="s">
        <v>2719</v>
      </c>
      <c r="F1017" s="53" t="s">
        <v>1885</v>
      </c>
      <c r="G1017" s="53" t="s">
        <v>901</v>
      </c>
      <c r="H1017" s="53" t="s">
        <v>902</v>
      </c>
      <c r="I1017" s="53" t="s">
        <v>656</v>
      </c>
      <c r="J1017" s="53" t="s">
        <v>2722</v>
      </c>
    </row>
    <row r="1018" spans="1:10" ht="15" customHeight="1" x14ac:dyDescent="0.35">
      <c r="A1018" s="53" t="s">
        <v>896</v>
      </c>
      <c r="B1018" s="53" t="s">
        <v>2723</v>
      </c>
      <c r="C1018" s="53" t="s">
        <v>1659</v>
      </c>
      <c r="D1018" s="53">
        <v>1</v>
      </c>
      <c r="E1018" s="53" t="s">
        <v>2724</v>
      </c>
      <c r="F1018" s="53" t="s">
        <v>1885</v>
      </c>
      <c r="G1018" s="53" t="s">
        <v>901</v>
      </c>
      <c r="H1018" s="53" t="s">
        <v>902</v>
      </c>
      <c r="I1018" s="53" t="s">
        <v>656</v>
      </c>
      <c r="J1018" s="53" t="s">
        <v>2725</v>
      </c>
    </row>
    <row r="1019" spans="1:10" ht="15" customHeight="1" x14ac:dyDescent="0.35">
      <c r="A1019" s="53" t="s">
        <v>896</v>
      </c>
      <c r="B1019" s="53" t="s">
        <v>2726</v>
      </c>
      <c r="C1019" s="53" t="s">
        <v>921</v>
      </c>
      <c r="D1019" s="53">
        <v>1</v>
      </c>
      <c r="E1019" s="53" t="s">
        <v>2727</v>
      </c>
      <c r="F1019" s="53" t="s">
        <v>1885</v>
      </c>
      <c r="G1019" s="53" t="s">
        <v>901</v>
      </c>
      <c r="H1019" s="53" t="s">
        <v>902</v>
      </c>
      <c r="I1019" s="53" t="s">
        <v>656</v>
      </c>
      <c r="J1019" s="53" t="s">
        <v>2728</v>
      </c>
    </row>
    <row r="1020" spans="1:10" ht="15" customHeight="1" x14ac:dyDescent="0.35">
      <c r="A1020" s="53" t="s">
        <v>896</v>
      </c>
      <c r="B1020" s="53" t="s">
        <v>2729</v>
      </c>
      <c r="C1020" s="53" t="s">
        <v>1490</v>
      </c>
      <c r="D1020" s="53">
        <v>1</v>
      </c>
      <c r="E1020" s="53" t="s">
        <v>2730</v>
      </c>
      <c r="F1020" s="53" t="s">
        <v>1885</v>
      </c>
      <c r="G1020" s="53" t="s">
        <v>901</v>
      </c>
      <c r="H1020" s="53" t="s">
        <v>902</v>
      </c>
      <c r="I1020" s="53" t="s">
        <v>656</v>
      </c>
      <c r="J1020" s="53" t="s">
        <v>2731</v>
      </c>
    </row>
    <row r="1021" spans="1:10" ht="15" customHeight="1" x14ac:dyDescent="0.35">
      <c r="A1021" s="53" t="s">
        <v>896</v>
      </c>
      <c r="B1021" s="53" t="s">
        <v>2732</v>
      </c>
      <c r="C1021" s="53" t="s">
        <v>989</v>
      </c>
      <c r="D1021" s="53">
        <v>1</v>
      </c>
      <c r="E1021" s="53" t="s">
        <v>2733</v>
      </c>
      <c r="F1021" s="53" t="s">
        <v>1885</v>
      </c>
      <c r="G1021" s="53" t="s">
        <v>901</v>
      </c>
      <c r="H1021" s="53" t="s">
        <v>902</v>
      </c>
      <c r="I1021" s="53" t="s">
        <v>656</v>
      </c>
      <c r="J1021" s="53" t="s">
        <v>2734</v>
      </c>
    </row>
    <row r="1022" spans="1:10" ht="15" customHeight="1" x14ac:dyDescent="0.35">
      <c r="A1022" s="53" t="s">
        <v>896</v>
      </c>
      <c r="B1022" s="53" t="s">
        <v>2735</v>
      </c>
      <c r="C1022" s="53" t="s">
        <v>929</v>
      </c>
      <c r="D1022" s="53">
        <v>1</v>
      </c>
      <c r="E1022" s="53" t="s">
        <v>2736</v>
      </c>
      <c r="F1022" s="53" t="s">
        <v>1885</v>
      </c>
      <c r="G1022" s="53" t="s">
        <v>901</v>
      </c>
      <c r="H1022" s="53" t="s">
        <v>902</v>
      </c>
      <c r="I1022" s="53" t="s">
        <v>656</v>
      </c>
      <c r="J1022" s="53" t="s">
        <v>2222</v>
      </c>
    </row>
    <row r="1023" spans="1:10" ht="15" customHeight="1" x14ac:dyDescent="0.35">
      <c r="A1023" s="53" t="s">
        <v>896</v>
      </c>
      <c r="B1023" s="53" t="s">
        <v>2737</v>
      </c>
      <c r="C1023" s="53" t="s">
        <v>1136</v>
      </c>
      <c r="D1023" s="53">
        <v>1</v>
      </c>
      <c r="E1023" s="53" t="s">
        <v>2738</v>
      </c>
      <c r="F1023" s="53" t="s">
        <v>1885</v>
      </c>
      <c r="G1023" s="53" t="s">
        <v>901</v>
      </c>
      <c r="H1023" s="53" t="s">
        <v>902</v>
      </c>
      <c r="I1023" s="53" t="s">
        <v>656</v>
      </c>
      <c r="J1023" s="53" t="s">
        <v>2146</v>
      </c>
    </row>
    <row r="1024" spans="1:10" ht="15" customHeight="1" x14ac:dyDescent="0.35">
      <c r="A1024" s="53" t="s">
        <v>896</v>
      </c>
      <c r="B1024" s="53" t="s">
        <v>2739</v>
      </c>
      <c r="C1024" s="53" t="s">
        <v>913</v>
      </c>
      <c r="D1024" s="53">
        <v>1</v>
      </c>
      <c r="E1024" s="53" t="s">
        <v>2740</v>
      </c>
      <c r="F1024" s="53" t="s">
        <v>1885</v>
      </c>
      <c r="G1024" s="53" t="s">
        <v>901</v>
      </c>
      <c r="H1024" s="53" t="s">
        <v>902</v>
      </c>
      <c r="I1024" s="53" t="s">
        <v>656</v>
      </c>
      <c r="J1024" s="53" t="s">
        <v>2741</v>
      </c>
    </row>
    <row r="1025" spans="1:10" ht="15" customHeight="1" x14ac:dyDescent="0.35">
      <c r="A1025" s="53" t="s">
        <v>896</v>
      </c>
      <c r="B1025" s="53" t="s">
        <v>2742</v>
      </c>
      <c r="C1025" s="53" t="s">
        <v>1050</v>
      </c>
      <c r="D1025" s="53">
        <v>1</v>
      </c>
      <c r="E1025" s="53" t="s">
        <v>2743</v>
      </c>
      <c r="F1025" s="53" t="s">
        <v>1885</v>
      </c>
      <c r="G1025" s="53" t="s">
        <v>901</v>
      </c>
      <c r="H1025" s="53" t="s">
        <v>902</v>
      </c>
      <c r="I1025" s="53" t="s">
        <v>656</v>
      </c>
      <c r="J1025" s="53" t="s">
        <v>2734</v>
      </c>
    </row>
    <row r="1026" spans="1:10" ht="15" customHeight="1" x14ac:dyDescent="0.35">
      <c r="A1026" s="53" t="s">
        <v>896</v>
      </c>
      <c r="B1026" s="53" t="s">
        <v>2744</v>
      </c>
      <c r="C1026" s="53" t="s">
        <v>1646</v>
      </c>
      <c r="D1026" s="53">
        <v>1</v>
      </c>
      <c r="E1026" s="53" t="s">
        <v>2745</v>
      </c>
      <c r="F1026" s="53" t="s">
        <v>1885</v>
      </c>
      <c r="G1026" s="53" t="s">
        <v>901</v>
      </c>
      <c r="H1026" s="53" t="s">
        <v>902</v>
      </c>
      <c r="I1026" s="53" t="s">
        <v>656</v>
      </c>
      <c r="J1026" s="53" t="s">
        <v>2746</v>
      </c>
    </row>
    <row r="1027" spans="1:10" ht="15" customHeight="1" x14ac:dyDescent="0.35">
      <c r="A1027" s="53" t="s">
        <v>896</v>
      </c>
      <c r="B1027" s="53" t="s">
        <v>2747</v>
      </c>
      <c r="C1027" s="53" t="s">
        <v>1136</v>
      </c>
      <c r="D1027" s="53">
        <v>1</v>
      </c>
      <c r="E1027" s="53" t="s">
        <v>2748</v>
      </c>
      <c r="F1027" s="53" t="s">
        <v>1885</v>
      </c>
      <c r="G1027" s="53" t="s">
        <v>901</v>
      </c>
      <c r="H1027" s="53" t="s">
        <v>902</v>
      </c>
      <c r="I1027" s="53" t="s">
        <v>656</v>
      </c>
      <c r="J1027" s="53" t="s">
        <v>2521</v>
      </c>
    </row>
    <row r="1028" spans="1:10" ht="15" customHeight="1" x14ac:dyDescent="0.35">
      <c r="A1028" s="53" t="s">
        <v>896</v>
      </c>
      <c r="B1028" s="53" t="s">
        <v>2749</v>
      </c>
      <c r="C1028" s="53" t="s">
        <v>1009</v>
      </c>
      <c r="D1028" s="53">
        <v>1</v>
      </c>
      <c r="E1028" s="53" t="s">
        <v>2750</v>
      </c>
      <c r="F1028" s="53" t="s">
        <v>1885</v>
      </c>
      <c r="G1028" s="53" t="s">
        <v>901</v>
      </c>
      <c r="H1028" s="53" t="s">
        <v>902</v>
      </c>
      <c r="I1028" s="53" t="s">
        <v>656</v>
      </c>
      <c r="J1028" s="53" t="s">
        <v>2751</v>
      </c>
    </row>
    <row r="1029" spans="1:10" ht="15" customHeight="1" x14ac:dyDescent="0.35">
      <c r="A1029" s="53" t="s">
        <v>896</v>
      </c>
      <c r="B1029" s="53" t="s">
        <v>2752</v>
      </c>
      <c r="C1029" s="53" t="s">
        <v>1077</v>
      </c>
      <c r="D1029" s="53">
        <v>1</v>
      </c>
      <c r="E1029" s="53" t="s">
        <v>2753</v>
      </c>
      <c r="F1029" s="53" t="s">
        <v>1885</v>
      </c>
      <c r="G1029" s="53" t="s">
        <v>901</v>
      </c>
      <c r="H1029" s="53" t="s">
        <v>902</v>
      </c>
      <c r="I1029" s="53" t="s">
        <v>656</v>
      </c>
      <c r="J1029" s="53" t="s">
        <v>2754</v>
      </c>
    </row>
    <row r="1030" spans="1:10" ht="15" customHeight="1" x14ac:dyDescent="0.35">
      <c r="A1030" s="53" t="s">
        <v>896</v>
      </c>
      <c r="B1030" s="53" t="s">
        <v>2755</v>
      </c>
      <c r="C1030" s="53" t="s">
        <v>1077</v>
      </c>
      <c r="D1030" s="53">
        <v>1</v>
      </c>
      <c r="E1030" s="53" t="s">
        <v>2756</v>
      </c>
      <c r="F1030" s="53" t="s">
        <v>1885</v>
      </c>
      <c r="G1030" s="53" t="s">
        <v>901</v>
      </c>
      <c r="H1030" s="53" t="s">
        <v>902</v>
      </c>
      <c r="I1030" s="53" t="s">
        <v>656</v>
      </c>
      <c r="J1030" s="53" t="s">
        <v>2757</v>
      </c>
    </row>
    <row r="1031" spans="1:10" ht="15" customHeight="1" x14ac:dyDescent="0.35">
      <c r="A1031" s="53" t="s">
        <v>896</v>
      </c>
      <c r="B1031" s="53" t="s">
        <v>2758</v>
      </c>
      <c r="C1031" s="53" t="s">
        <v>917</v>
      </c>
      <c r="D1031" s="53">
        <v>1</v>
      </c>
      <c r="E1031" s="53" t="s">
        <v>2759</v>
      </c>
      <c r="F1031" s="53" t="s">
        <v>1885</v>
      </c>
      <c r="G1031" s="53" t="s">
        <v>901</v>
      </c>
      <c r="H1031" s="53" t="s">
        <v>902</v>
      </c>
      <c r="I1031" s="53" t="s">
        <v>656</v>
      </c>
      <c r="J1031" s="53" t="s">
        <v>2760</v>
      </c>
    </row>
    <row r="1032" spans="1:10" ht="15" customHeight="1" x14ac:dyDescent="0.35">
      <c r="A1032" s="53" t="s">
        <v>896</v>
      </c>
      <c r="B1032" s="53" t="s">
        <v>2761</v>
      </c>
      <c r="C1032" s="53" t="s">
        <v>946</v>
      </c>
      <c r="D1032" s="53">
        <v>1</v>
      </c>
      <c r="E1032" s="53" t="s">
        <v>2762</v>
      </c>
      <c r="F1032" s="53" t="s">
        <v>1885</v>
      </c>
      <c r="G1032" s="53" t="s">
        <v>901</v>
      </c>
      <c r="H1032" s="53" t="s">
        <v>902</v>
      </c>
      <c r="I1032" s="53" t="s">
        <v>656</v>
      </c>
      <c r="J1032" s="53" t="s">
        <v>2763</v>
      </c>
    </row>
    <row r="1033" spans="1:10" ht="15" customHeight="1" x14ac:dyDescent="0.35">
      <c r="A1033" s="53" t="s">
        <v>896</v>
      </c>
      <c r="B1033" s="53" t="s">
        <v>2764</v>
      </c>
      <c r="C1033" s="53" t="s">
        <v>1077</v>
      </c>
      <c r="D1033" s="53">
        <v>1</v>
      </c>
      <c r="E1033" s="53" t="s">
        <v>2748</v>
      </c>
      <c r="F1033" s="53" t="s">
        <v>1885</v>
      </c>
      <c r="G1033" s="53" t="s">
        <v>901</v>
      </c>
      <c r="H1033" s="53" t="s">
        <v>902</v>
      </c>
      <c r="I1033" s="53" t="s">
        <v>656</v>
      </c>
      <c r="J1033" s="53" t="s">
        <v>2765</v>
      </c>
    </row>
    <row r="1034" spans="1:10" ht="15" customHeight="1" x14ac:dyDescent="0.35">
      <c r="A1034" s="53" t="s">
        <v>896</v>
      </c>
      <c r="B1034" s="53" t="s">
        <v>2766</v>
      </c>
      <c r="C1034" s="53" t="s">
        <v>1077</v>
      </c>
      <c r="D1034" s="53">
        <v>1</v>
      </c>
      <c r="E1034" s="53" t="s">
        <v>2767</v>
      </c>
      <c r="F1034" s="53" t="s">
        <v>1885</v>
      </c>
      <c r="G1034" s="53" t="s">
        <v>901</v>
      </c>
      <c r="H1034" s="53" t="s">
        <v>902</v>
      </c>
      <c r="I1034" s="53" t="s">
        <v>656</v>
      </c>
      <c r="J1034" s="53" t="s">
        <v>2768</v>
      </c>
    </row>
    <row r="1035" spans="1:10" ht="15" customHeight="1" x14ac:dyDescent="0.35">
      <c r="A1035" s="53" t="s">
        <v>896</v>
      </c>
      <c r="B1035" s="53" t="s">
        <v>2769</v>
      </c>
      <c r="C1035" s="53" t="s">
        <v>1122</v>
      </c>
      <c r="D1035" s="53">
        <v>1</v>
      </c>
      <c r="E1035" s="53" t="s">
        <v>2745</v>
      </c>
      <c r="F1035" s="53" t="s">
        <v>1885</v>
      </c>
      <c r="G1035" s="53" t="s">
        <v>901</v>
      </c>
      <c r="H1035" s="53" t="s">
        <v>902</v>
      </c>
      <c r="I1035" s="53" t="s">
        <v>656</v>
      </c>
      <c r="J1035" s="53" t="s">
        <v>2770</v>
      </c>
    </row>
    <row r="1036" spans="1:10" ht="15" customHeight="1" x14ac:dyDescent="0.35">
      <c r="A1036" s="53" t="s">
        <v>896</v>
      </c>
      <c r="B1036" s="53" t="s">
        <v>2771</v>
      </c>
      <c r="C1036" s="53" t="s">
        <v>1143</v>
      </c>
      <c r="D1036" s="53">
        <v>1</v>
      </c>
      <c r="E1036" s="53" t="s">
        <v>2772</v>
      </c>
      <c r="F1036" s="53" t="s">
        <v>1885</v>
      </c>
      <c r="G1036" s="53" t="s">
        <v>901</v>
      </c>
      <c r="H1036" s="53" t="s">
        <v>902</v>
      </c>
      <c r="I1036" s="53" t="s">
        <v>656</v>
      </c>
      <c r="J1036" s="53" t="s">
        <v>2773</v>
      </c>
    </row>
    <row r="1037" spans="1:10" ht="15" customHeight="1" x14ac:dyDescent="0.35">
      <c r="A1037" s="53" t="s">
        <v>896</v>
      </c>
      <c r="B1037" s="53" t="s">
        <v>2774</v>
      </c>
      <c r="C1037" s="53" t="s">
        <v>1009</v>
      </c>
      <c r="D1037" s="53">
        <v>1</v>
      </c>
      <c r="E1037" s="53" t="s">
        <v>2772</v>
      </c>
      <c r="F1037" s="53" t="s">
        <v>1885</v>
      </c>
      <c r="G1037" s="53" t="s">
        <v>901</v>
      </c>
      <c r="H1037" s="53" t="s">
        <v>902</v>
      </c>
      <c r="I1037" s="53" t="s">
        <v>656</v>
      </c>
      <c r="J1037" s="53" t="s">
        <v>2560</v>
      </c>
    </row>
    <row r="1038" spans="1:10" ht="15" customHeight="1" x14ac:dyDescent="0.35">
      <c r="A1038" s="53" t="s">
        <v>896</v>
      </c>
      <c r="B1038" s="53" t="s">
        <v>2775</v>
      </c>
      <c r="C1038" s="53" t="s">
        <v>1077</v>
      </c>
      <c r="D1038" s="53">
        <v>1</v>
      </c>
      <c r="E1038" s="53" t="s">
        <v>2772</v>
      </c>
      <c r="F1038" s="53" t="s">
        <v>1885</v>
      </c>
      <c r="G1038" s="53" t="s">
        <v>901</v>
      </c>
      <c r="H1038" s="53" t="s">
        <v>902</v>
      </c>
      <c r="I1038" s="53" t="s">
        <v>656</v>
      </c>
      <c r="J1038" s="53" t="s">
        <v>2776</v>
      </c>
    </row>
    <row r="1039" spans="1:10" ht="15" customHeight="1" x14ac:dyDescent="0.35">
      <c r="A1039" s="53" t="s">
        <v>896</v>
      </c>
      <c r="B1039" s="53" t="s">
        <v>2777</v>
      </c>
      <c r="C1039" s="53" t="s">
        <v>1659</v>
      </c>
      <c r="D1039" s="53">
        <v>1</v>
      </c>
      <c r="E1039" s="53" t="s">
        <v>2778</v>
      </c>
      <c r="F1039" s="53" t="s">
        <v>1885</v>
      </c>
      <c r="G1039" s="53" t="s">
        <v>901</v>
      </c>
      <c r="H1039" s="53" t="s">
        <v>902</v>
      </c>
      <c r="I1039" s="53" t="s">
        <v>656</v>
      </c>
      <c r="J1039" s="53" t="s">
        <v>2779</v>
      </c>
    </row>
    <row r="1040" spans="1:10" ht="15" customHeight="1" x14ac:dyDescent="0.35">
      <c r="A1040" s="53" t="s">
        <v>896</v>
      </c>
      <c r="B1040" s="53" t="s">
        <v>2780</v>
      </c>
      <c r="C1040" s="53" t="s">
        <v>1490</v>
      </c>
      <c r="D1040" s="53">
        <v>1</v>
      </c>
      <c r="E1040" s="53" t="s">
        <v>2778</v>
      </c>
      <c r="F1040" s="53" t="s">
        <v>1885</v>
      </c>
      <c r="G1040" s="53" t="s">
        <v>901</v>
      </c>
      <c r="H1040" s="53" t="s">
        <v>902</v>
      </c>
      <c r="I1040" s="53" t="s">
        <v>656</v>
      </c>
      <c r="J1040" s="53" t="s">
        <v>2781</v>
      </c>
    </row>
    <row r="1041" spans="1:10" ht="15" customHeight="1" x14ac:dyDescent="0.35">
      <c r="A1041" s="53" t="s">
        <v>896</v>
      </c>
      <c r="B1041" s="53" t="s">
        <v>2782</v>
      </c>
      <c r="C1041" s="53" t="s">
        <v>1582</v>
      </c>
      <c r="D1041" s="53">
        <v>1</v>
      </c>
      <c r="E1041" s="53" t="s">
        <v>2778</v>
      </c>
      <c r="F1041" s="53" t="s">
        <v>1885</v>
      </c>
      <c r="G1041" s="53" t="s">
        <v>901</v>
      </c>
      <c r="H1041" s="53" t="s">
        <v>902</v>
      </c>
      <c r="I1041" s="53" t="s">
        <v>656</v>
      </c>
      <c r="J1041" s="53" t="s">
        <v>2439</v>
      </c>
    </row>
    <row r="1042" spans="1:10" ht="15" customHeight="1" x14ac:dyDescent="0.35">
      <c r="A1042" s="53" t="s">
        <v>896</v>
      </c>
      <c r="B1042" s="53" t="s">
        <v>2783</v>
      </c>
      <c r="C1042" s="53" t="s">
        <v>1136</v>
      </c>
      <c r="D1042" s="53">
        <v>1</v>
      </c>
      <c r="E1042" s="53" t="s">
        <v>2784</v>
      </c>
      <c r="F1042" s="53" t="s">
        <v>1885</v>
      </c>
      <c r="G1042" s="53" t="s">
        <v>901</v>
      </c>
      <c r="H1042" s="53" t="s">
        <v>902</v>
      </c>
      <c r="I1042" s="53" t="s">
        <v>656</v>
      </c>
      <c r="J1042" s="53" t="s">
        <v>2785</v>
      </c>
    </row>
    <row r="1043" spans="1:10" ht="15" customHeight="1" x14ac:dyDescent="0.35">
      <c r="A1043" s="53" t="s">
        <v>896</v>
      </c>
      <c r="B1043" s="53" t="s">
        <v>2786</v>
      </c>
      <c r="C1043" s="53" t="s">
        <v>1009</v>
      </c>
      <c r="D1043" s="53">
        <v>1</v>
      </c>
      <c r="E1043" s="53" t="s">
        <v>2784</v>
      </c>
      <c r="F1043" s="53" t="s">
        <v>1885</v>
      </c>
      <c r="G1043" s="53" t="s">
        <v>901</v>
      </c>
      <c r="H1043" s="53" t="s">
        <v>902</v>
      </c>
      <c r="I1043" s="53" t="s">
        <v>656</v>
      </c>
      <c r="J1043" s="53" t="s">
        <v>2787</v>
      </c>
    </row>
    <row r="1044" spans="1:10" ht="15" customHeight="1" x14ac:dyDescent="0.35">
      <c r="A1044" s="53" t="s">
        <v>896</v>
      </c>
      <c r="B1044" s="53" t="s">
        <v>2788</v>
      </c>
      <c r="C1044" s="53" t="s">
        <v>1490</v>
      </c>
      <c r="D1044" s="53">
        <v>1</v>
      </c>
      <c r="E1044" s="53" t="s">
        <v>2784</v>
      </c>
      <c r="F1044" s="53" t="s">
        <v>1885</v>
      </c>
      <c r="G1044" s="53" t="s">
        <v>901</v>
      </c>
      <c r="H1044" s="53" t="s">
        <v>902</v>
      </c>
      <c r="I1044" s="53" t="s">
        <v>656</v>
      </c>
      <c r="J1044" s="53" t="s">
        <v>2720</v>
      </c>
    </row>
    <row r="1045" spans="1:10" ht="15" customHeight="1" x14ac:dyDescent="0.35">
      <c r="A1045" s="53" t="s">
        <v>896</v>
      </c>
      <c r="B1045" s="53" t="s">
        <v>2789</v>
      </c>
      <c r="C1045" s="53" t="s">
        <v>921</v>
      </c>
      <c r="D1045" s="53">
        <v>1</v>
      </c>
      <c r="E1045" s="53" t="s">
        <v>2784</v>
      </c>
      <c r="F1045" s="53" t="s">
        <v>1885</v>
      </c>
      <c r="G1045" s="53" t="s">
        <v>901</v>
      </c>
      <c r="H1045" s="53" t="s">
        <v>902</v>
      </c>
      <c r="I1045" s="53" t="s">
        <v>656</v>
      </c>
      <c r="J1045" s="53" t="s">
        <v>2790</v>
      </c>
    </row>
    <row r="1046" spans="1:10" ht="15" customHeight="1" x14ac:dyDescent="0.35">
      <c r="A1046" s="53" t="s">
        <v>896</v>
      </c>
      <c r="B1046" s="53" t="s">
        <v>2791</v>
      </c>
      <c r="C1046" s="53" t="s">
        <v>2792</v>
      </c>
      <c r="D1046" s="53">
        <v>1</v>
      </c>
      <c r="E1046" s="53" t="s">
        <v>2793</v>
      </c>
      <c r="F1046" s="53" t="s">
        <v>1885</v>
      </c>
      <c r="G1046" s="53" t="s">
        <v>901</v>
      </c>
      <c r="H1046" s="53" t="s">
        <v>902</v>
      </c>
      <c r="I1046" s="53" t="s">
        <v>656</v>
      </c>
      <c r="J1046" s="53" t="s">
        <v>2794</v>
      </c>
    </row>
    <row r="1047" spans="1:10" ht="15" customHeight="1" x14ac:dyDescent="0.35">
      <c r="A1047" s="53" t="s">
        <v>896</v>
      </c>
      <c r="B1047" s="53" t="s">
        <v>2795</v>
      </c>
      <c r="C1047" s="53" t="s">
        <v>1050</v>
      </c>
      <c r="D1047" s="53">
        <v>1</v>
      </c>
      <c r="E1047" s="53" t="s">
        <v>2793</v>
      </c>
      <c r="F1047" s="53" t="s">
        <v>1885</v>
      </c>
      <c r="G1047" s="53" t="s">
        <v>901</v>
      </c>
      <c r="H1047" s="53" t="s">
        <v>902</v>
      </c>
      <c r="I1047" s="53" t="s">
        <v>656</v>
      </c>
      <c r="J1047" s="53" t="s">
        <v>2734</v>
      </c>
    </row>
    <row r="1048" spans="1:10" ht="15" customHeight="1" x14ac:dyDescent="0.35">
      <c r="A1048" s="53" t="s">
        <v>896</v>
      </c>
      <c r="B1048" s="53" t="s">
        <v>2796</v>
      </c>
      <c r="C1048" s="53" t="s">
        <v>1077</v>
      </c>
      <c r="D1048" s="53">
        <v>1</v>
      </c>
      <c r="E1048" s="53" t="s">
        <v>2793</v>
      </c>
      <c r="F1048" s="53" t="s">
        <v>1885</v>
      </c>
      <c r="G1048" s="53" t="s">
        <v>901</v>
      </c>
      <c r="H1048" s="53" t="s">
        <v>902</v>
      </c>
      <c r="I1048" s="53" t="s">
        <v>656</v>
      </c>
      <c r="J1048" s="53" t="s">
        <v>2621</v>
      </c>
    </row>
    <row r="1049" spans="1:10" ht="15" customHeight="1" x14ac:dyDescent="0.35">
      <c r="A1049" s="53" t="s">
        <v>896</v>
      </c>
      <c r="B1049" s="53" t="s">
        <v>2797</v>
      </c>
      <c r="C1049" s="53" t="s">
        <v>1077</v>
      </c>
      <c r="D1049" s="53">
        <v>1</v>
      </c>
      <c r="E1049" s="53" t="s">
        <v>2793</v>
      </c>
      <c r="F1049" s="53" t="s">
        <v>1885</v>
      </c>
      <c r="G1049" s="53" t="s">
        <v>901</v>
      </c>
      <c r="H1049" s="53" t="s">
        <v>902</v>
      </c>
      <c r="I1049" s="53" t="s">
        <v>656</v>
      </c>
      <c r="J1049" s="53" t="s">
        <v>2798</v>
      </c>
    </row>
    <row r="1050" spans="1:10" ht="15" customHeight="1" x14ac:dyDescent="0.35">
      <c r="A1050" s="53" t="s">
        <v>896</v>
      </c>
      <c r="B1050" s="53" t="s">
        <v>2799</v>
      </c>
      <c r="C1050" s="53" t="s">
        <v>1768</v>
      </c>
      <c r="D1050" s="53">
        <v>1</v>
      </c>
      <c r="E1050" s="53" t="s">
        <v>2793</v>
      </c>
      <c r="F1050" s="53" t="s">
        <v>1885</v>
      </c>
      <c r="G1050" s="53" t="s">
        <v>901</v>
      </c>
      <c r="H1050" s="53" t="s">
        <v>902</v>
      </c>
      <c r="I1050" s="53" t="s">
        <v>656</v>
      </c>
      <c r="J1050" s="53" t="s">
        <v>2800</v>
      </c>
    </row>
    <row r="1051" spans="1:10" ht="15" customHeight="1" x14ac:dyDescent="0.35">
      <c r="A1051" s="53" t="s">
        <v>896</v>
      </c>
      <c r="B1051" s="53" t="s">
        <v>2801</v>
      </c>
      <c r="C1051" s="53" t="s">
        <v>963</v>
      </c>
      <c r="D1051" s="53">
        <v>1</v>
      </c>
      <c r="E1051" s="53" t="s">
        <v>2802</v>
      </c>
      <c r="F1051" s="53" t="s">
        <v>1885</v>
      </c>
      <c r="G1051" s="53" t="s">
        <v>901</v>
      </c>
      <c r="H1051" s="53" t="s">
        <v>902</v>
      </c>
      <c r="I1051" s="53" t="s">
        <v>656</v>
      </c>
      <c r="J1051" s="53" t="s">
        <v>2803</v>
      </c>
    </row>
    <row r="1052" spans="1:10" ht="15" customHeight="1" x14ac:dyDescent="0.35">
      <c r="A1052" s="53" t="s">
        <v>896</v>
      </c>
      <c r="B1052" s="53" t="s">
        <v>2804</v>
      </c>
      <c r="C1052" s="53" t="s">
        <v>1143</v>
      </c>
      <c r="D1052" s="53">
        <v>1</v>
      </c>
      <c r="E1052" s="53" t="s">
        <v>2802</v>
      </c>
      <c r="F1052" s="53" t="s">
        <v>1885</v>
      </c>
      <c r="G1052" s="53" t="s">
        <v>901</v>
      </c>
      <c r="H1052" s="53" t="s">
        <v>902</v>
      </c>
      <c r="I1052" s="53" t="s">
        <v>656</v>
      </c>
      <c r="J1052" s="53" t="s">
        <v>2222</v>
      </c>
    </row>
    <row r="1053" spans="1:10" ht="15" customHeight="1" x14ac:dyDescent="0.35">
      <c r="A1053" s="53" t="s">
        <v>896</v>
      </c>
      <c r="B1053" s="53" t="s">
        <v>2805</v>
      </c>
      <c r="C1053" s="53" t="s">
        <v>963</v>
      </c>
      <c r="D1053" s="53">
        <v>1</v>
      </c>
      <c r="E1053" s="53" t="s">
        <v>2806</v>
      </c>
      <c r="F1053" s="53" t="s">
        <v>1885</v>
      </c>
      <c r="G1053" s="53" t="s">
        <v>901</v>
      </c>
      <c r="H1053" s="53" t="s">
        <v>902</v>
      </c>
      <c r="I1053" s="53" t="s">
        <v>656</v>
      </c>
      <c r="J1053" s="53" t="s">
        <v>1898</v>
      </c>
    </row>
    <row r="1054" spans="1:10" ht="15" customHeight="1" x14ac:dyDescent="0.35">
      <c r="A1054" s="53" t="s">
        <v>896</v>
      </c>
      <c r="B1054" s="53" t="s">
        <v>2807</v>
      </c>
      <c r="C1054" s="53" t="s">
        <v>1050</v>
      </c>
      <c r="D1054" s="53">
        <v>1</v>
      </c>
      <c r="E1054" s="53" t="s">
        <v>2806</v>
      </c>
      <c r="F1054" s="53" t="s">
        <v>1885</v>
      </c>
      <c r="G1054" s="53" t="s">
        <v>901</v>
      </c>
      <c r="H1054" s="53" t="s">
        <v>902</v>
      </c>
      <c r="I1054" s="53" t="s">
        <v>656</v>
      </c>
      <c r="J1054" s="53" t="s">
        <v>2808</v>
      </c>
    </row>
    <row r="1055" spans="1:10" ht="15" customHeight="1" x14ac:dyDescent="0.35">
      <c r="A1055" s="53" t="s">
        <v>896</v>
      </c>
      <c r="B1055" s="53" t="s">
        <v>2809</v>
      </c>
      <c r="C1055" s="53" t="s">
        <v>1659</v>
      </c>
      <c r="D1055" s="53">
        <v>1</v>
      </c>
      <c r="E1055" s="53" t="s">
        <v>2810</v>
      </c>
      <c r="F1055" s="53" t="s">
        <v>1885</v>
      </c>
      <c r="G1055" s="53" t="s">
        <v>901</v>
      </c>
      <c r="H1055" s="53" t="s">
        <v>902</v>
      </c>
      <c r="I1055" s="53" t="s">
        <v>656</v>
      </c>
      <c r="J1055" s="53" t="s">
        <v>2811</v>
      </c>
    </row>
    <row r="1056" spans="1:10" ht="15" customHeight="1" x14ac:dyDescent="0.35">
      <c r="A1056" s="53" t="s">
        <v>896</v>
      </c>
      <c r="B1056" s="53" t="s">
        <v>2812</v>
      </c>
      <c r="C1056" s="53" t="s">
        <v>989</v>
      </c>
      <c r="D1056" s="53">
        <v>1</v>
      </c>
      <c r="E1056" s="53" t="s">
        <v>2813</v>
      </c>
      <c r="F1056" s="53" t="s">
        <v>1885</v>
      </c>
      <c r="G1056" s="53" t="s">
        <v>901</v>
      </c>
      <c r="H1056" s="53" t="s">
        <v>902</v>
      </c>
      <c r="I1056" s="53" t="s">
        <v>656</v>
      </c>
      <c r="J1056" s="53" t="s">
        <v>2814</v>
      </c>
    </row>
    <row r="1057" spans="1:10" ht="15" customHeight="1" x14ac:dyDescent="0.35">
      <c r="A1057" s="53" t="s">
        <v>896</v>
      </c>
      <c r="B1057" s="53" t="s">
        <v>2815</v>
      </c>
      <c r="C1057" s="53" t="s">
        <v>921</v>
      </c>
      <c r="D1057" s="53">
        <v>1</v>
      </c>
      <c r="E1057" s="53" t="s">
        <v>2816</v>
      </c>
      <c r="F1057" s="53" t="s">
        <v>1885</v>
      </c>
      <c r="G1057" s="53" t="s">
        <v>901</v>
      </c>
      <c r="H1057" s="53" t="s">
        <v>902</v>
      </c>
      <c r="I1057" s="53" t="s">
        <v>656</v>
      </c>
      <c r="J1057" s="53" t="s">
        <v>2817</v>
      </c>
    </row>
    <row r="1058" spans="1:10" ht="15" customHeight="1" x14ac:dyDescent="0.35">
      <c r="A1058" s="53" t="s">
        <v>896</v>
      </c>
      <c r="B1058" s="53" t="s">
        <v>2818</v>
      </c>
      <c r="C1058" s="53" t="s">
        <v>1077</v>
      </c>
      <c r="D1058" s="53">
        <v>1</v>
      </c>
      <c r="E1058" s="53" t="s">
        <v>2819</v>
      </c>
      <c r="F1058" s="53" t="s">
        <v>1885</v>
      </c>
      <c r="G1058" s="53" t="s">
        <v>901</v>
      </c>
      <c r="H1058" s="53" t="s">
        <v>902</v>
      </c>
      <c r="I1058" s="53" t="s">
        <v>656</v>
      </c>
      <c r="J1058" s="53" t="s">
        <v>2820</v>
      </c>
    </row>
    <row r="1059" spans="1:10" ht="15" customHeight="1" x14ac:dyDescent="0.35">
      <c r="A1059" s="53" t="s">
        <v>896</v>
      </c>
      <c r="B1059" s="53" t="s">
        <v>2821</v>
      </c>
      <c r="C1059" s="53" t="s">
        <v>1768</v>
      </c>
      <c r="D1059" s="53">
        <v>1</v>
      </c>
      <c r="E1059" s="53" t="s">
        <v>2822</v>
      </c>
      <c r="F1059" s="53" t="s">
        <v>1885</v>
      </c>
      <c r="G1059" s="53" t="s">
        <v>901</v>
      </c>
      <c r="H1059" s="53" t="s">
        <v>902</v>
      </c>
      <c r="I1059" s="53" t="s">
        <v>656</v>
      </c>
      <c r="J1059" s="53" t="s">
        <v>2655</v>
      </c>
    </row>
    <row r="1060" spans="1:10" ht="15" customHeight="1" x14ac:dyDescent="0.35">
      <c r="A1060" s="53" t="s">
        <v>896</v>
      </c>
      <c r="B1060" s="53" t="s">
        <v>2823</v>
      </c>
      <c r="C1060" s="53" t="s">
        <v>1101</v>
      </c>
      <c r="D1060" s="53">
        <v>1</v>
      </c>
      <c r="E1060" s="53" t="s">
        <v>2824</v>
      </c>
      <c r="F1060" s="53" t="s">
        <v>1885</v>
      </c>
      <c r="G1060" s="53" t="s">
        <v>901</v>
      </c>
      <c r="H1060" s="53" t="s">
        <v>902</v>
      </c>
      <c r="I1060" s="53" t="s">
        <v>656</v>
      </c>
      <c r="J1060" s="53" t="s">
        <v>2825</v>
      </c>
    </row>
    <row r="1061" spans="1:10" ht="15" customHeight="1" x14ac:dyDescent="0.35">
      <c r="A1061" s="53" t="s">
        <v>896</v>
      </c>
      <c r="B1061" s="53" t="s">
        <v>2826</v>
      </c>
      <c r="C1061" s="53" t="s">
        <v>989</v>
      </c>
      <c r="D1061" s="53">
        <v>1</v>
      </c>
      <c r="E1061" s="53" t="s">
        <v>2827</v>
      </c>
      <c r="F1061" s="53" t="s">
        <v>1885</v>
      </c>
      <c r="G1061" s="53" t="s">
        <v>901</v>
      </c>
      <c r="H1061" s="53" t="s">
        <v>902</v>
      </c>
      <c r="I1061" s="53" t="s">
        <v>656</v>
      </c>
      <c r="J1061" s="53" t="s">
        <v>2692</v>
      </c>
    </row>
    <row r="1062" spans="1:10" ht="15" customHeight="1" x14ac:dyDescent="0.35">
      <c r="A1062" s="53" t="s">
        <v>896</v>
      </c>
      <c r="B1062" s="53" t="s">
        <v>2828</v>
      </c>
      <c r="C1062" s="53" t="s">
        <v>1731</v>
      </c>
      <c r="D1062" s="53">
        <v>1</v>
      </c>
      <c r="E1062" s="53" t="s">
        <v>2827</v>
      </c>
      <c r="F1062" s="53" t="s">
        <v>1885</v>
      </c>
      <c r="G1062" s="53" t="s">
        <v>901</v>
      </c>
      <c r="H1062" s="53" t="s">
        <v>902</v>
      </c>
      <c r="I1062" s="53" t="s">
        <v>656</v>
      </c>
      <c r="J1062" s="53" t="s">
        <v>2829</v>
      </c>
    </row>
    <row r="1063" spans="1:10" ht="15" customHeight="1" x14ac:dyDescent="0.35">
      <c r="A1063" s="53" t="s">
        <v>896</v>
      </c>
      <c r="B1063" s="53" t="s">
        <v>2830</v>
      </c>
      <c r="C1063" s="53" t="s">
        <v>1136</v>
      </c>
      <c r="D1063" s="53">
        <v>1</v>
      </c>
      <c r="E1063" s="53" t="s">
        <v>2831</v>
      </c>
      <c r="F1063" s="53" t="s">
        <v>1885</v>
      </c>
      <c r="G1063" s="53" t="s">
        <v>901</v>
      </c>
      <c r="H1063" s="53" t="s">
        <v>902</v>
      </c>
      <c r="I1063" s="53" t="s">
        <v>656</v>
      </c>
      <c r="J1063" s="53" t="s">
        <v>2252</v>
      </c>
    </row>
    <row r="1064" spans="1:10" ht="15" customHeight="1" x14ac:dyDescent="0.35">
      <c r="A1064" s="53" t="s">
        <v>896</v>
      </c>
      <c r="B1064" s="53" t="s">
        <v>2832</v>
      </c>
      <c r="C1064" s="53" t="s">
        <v>1299</v>
      </c>
      <c r="D1064" s="53">
        <v>1</v>
      </c>
      <c r="E1064" s="53" t="s">
        <v>2833</v>
      </c>
      <c r="F1064" s="53" t="s">
        <v>1885</v>
      </c>
      <c r="G1064" s="53" t="s">
        <v>901</v>
      </c>
      <c r="H1064" s="53" t="s">
        <v>902</v>
      </c>
      <c r="I1064" s="53" t="s">
        <v>656</v>
      </c>
      <c r="J1064" s="53" t="s">
        <v>2834</v>
      </c>
    </row>
    <row r="1065" spans="1:10" ht="15" customHeight="1" x14ac:dyDescent="0.35">
      <c r="A1065" s="53" t="s">
        <v>896</v>
      </c>
      <c r="B1065" s="53" t="s">
        <v>2835</v>
      </c>
      <c r="C1065" s="53" t="s">
        <v>921</v>
      </c>
      <c r="D1065" s="53">
        <v>1</v>
      </c>
      <c r="E1065" s="53" t="s">
        <v>2836</v>
      </c>
      <c r="F1065" s="53" t="s">
        <v>1885</v>
      </c>
      <c r="G1065" s="53" t="s">
        <v>901</v>
      </c>
      <c r="H1065" s="53" t="s">
        <v>902</v>
      </c>
      <c r="I1065" s="53" t="s">
        <v>656</v>
      </c>
      <c r="J1065" s="53" t="s">
        <v>2837</v>
      </c>
    </row>
    <row r="1066" spans="1:10" ht="15" customHeight="1" x14ac:dyDescent="0.35">
      <c r="A1066" s="53" t="s">
        <v>896</v>
      </c>
      <c r="B1066" s="53" t="s">
        <v>2838</v>
      </c>
      <c r="C1066" s="53" t="s">
        <v>909</v>
      </c>
      <c r="D1066" s="53">
        <v>1</v>
      </c>
      <c r="E1066" s="53" t="s">
        <v>2839</v>
      </c>
      <c r="F1066" s="53" t="s">
        <v>1885</v>
      </c>
      <c r="G1066" s="53" t="s">
        <v>901</v>
      </c>
      <c r="H1066" s="53" t="s">
        <v>902</v>
      </c>
      <c r="I1066" s="53" t="s">
        <v>656</v>
      </c>
      <c r="J1066" s="53" t="s">
        <v>2840</v>
      </c>
    </row>
    <row r="1067" spans="1:10" ht="15" customHeight="1" x14ac:dyDescent="0.35">
      <c r="A1067" s="53" t="s">
        <v>896</v>
      </c>
      <c r="B1067" s="53" t="s">
        <v>2841</v>
      </c>
      <c r="C1067" s="53" t="s">
        <v>989</v>
      </c>
      <c r="D1067" s="53">
        <v>1</v>
      </c>
      <c r="E1067" s="53" t="s">
        <v>2839</v>
      </c>
      <c r="F1067" s="53" t="s">
        <v>1885</v>
      </c>
      <c r="G1067" s="53" t="s">
        <v>901</v>
      </c>
      <c r="H1067" s="53" t="s">
        <v>902</v>
      </c>
      <c r="I1067" s="53" t="s">
        <v>656</v>
      </c>
      <c r="J1067" s="53" t="s">
        <v>2842</v>
      </c>
    </row>
    <row r="1068" spans="1:10" ht="15" customHeight="1" x14ac:dyDescent="0.35">
      <c r="A1068" s="53" t="s">
        <v>896</v>
      </c>
      <c r="B1068" s="53" t="s">
        <v>2843</v>
      </c>
      <c r="C1068" s="53" t="s">
        <v>989</v>
      </c>
      <c r="D1068" s="53">
        <v>1</v>
      </c>
      <c r="E1068" s="53" t="s">
        <v>2844</v>
      </c>
      <c r="F1068" s="53" t="s">
        <v>1885</v>
      </c>
      <c r="G1068" s="53" t="s">
        <v>901</v>
      </c>
      <c r="H1068" s="53" t="s">
        <v>902</v>
      </c>
      <c r="I1068" s="53" t="s">
        <v>656</v>
      </c>
      <c r="J1068" s="53" t="s">
        <v>2512</v>
      </c>
    </row>
    <row r="1069" spans="1:10" ht="15" customHeight="1" x14ac:dyDescent="0.35">
      <c r="A1069" s="53" t="s">
        <v>896</v>
      </c>
      <c r="B1069" s="53" t="s">
        <v>2845</v>
      </c>
      <c r="C1069" s="53" t="s">
        <v>1101</v>
      </c>
      <c r="D1069" s="53">
        <v>1</v>
      </c>
      <c r="E1069" s="53" t="s">
        <v>2846</v>
      </c>
      <c r="F1069" s="53" t="s">
        <v>1885</v>
      </c>
      <c r="G1069" s="53" t="s">
        <v>901</v>
      </c>
      <c r="H1069" s="53" t="s">
        <v>902</v>
      </c>
      <c r="I1069" s="53" t="s">
        <v>656</v>
      </c>
      <c r="J1069" s="53" t="s">
        <v>2095</v>
      </c>
    </row>
    <row r="1070" spans="1:10" ht="15" customHeight="1" x14ac:dyDescent="0.35">
      <c r="A1070" s="53" t="s">
        <v>896</v>
      </c>
      <c r="B1070" s="53" t="s">
        <v>2847</v>
      </c>
      <c r="C1070" s="53" t="s">
        <v>909</v>
      </c>
      <c r="D1070" s="53">
        <v>1</v>
      </c>
      <c r="E1070" s="53" t="s">
        <v>2846</v>
      </c>
      <c r="F1070" s="53" t="s">
        <v>1885</v>
      </c>
      <c r="G1070" s="53" t="s">
        <v>901</v>
      </c>
      <c r="H1070" s="53" t="s">
        <v>902</v>
      </c>
      <c r="I1070" s="53" t="s">
        <v>656</v>
      </c>
      <c r="J1070" s="53" t="s">
        <v>2649</v>
      </c>
    </row>
    <row r="1071" spans="1:10" ht="15" customHeight="1" x14ac:dyDescent="0.35">
      <c r="A1071" s="53" t="s">
        <v>896</v>
      </c>
      <c r="B1071" s="53" t="s">
        <v>2848</v>
      </c>
      <c r="C1071" s="53" t="s">
        <v>946</v>
      </c>
      <c r="D1071" s="53">
        <v>1</v>
      </c>
      <c r="E1071" s="53" t="s">
        <v>2849</v>
      </c>
      <c r="F1071" s="53" t="s">
        <v>1885</v>
      </c>
      <c r="G1071" s="53" t="s">
        <v>901</v>
      </c>
      <c r="H1071" s="53" t="s">
        <v>902</v>
      </c>
      <c r="I1071" s="53" t="s">
        <v>656</v>
      </c>
      <c r="J1071" s="53" t="s">
        <v>2850</v>
      </c>
    </row>
    <row r="1072" spans="1:10" ht="15" customHeight="1" x14ac:dyDescent="0.35">
      <c r="A1072" s="53" t="s">
        <v>896</v>
      </c>
      <c r="B1072" s="53" t="s">
        <v>2851</v>
      </c>
      <c r="C1072" s="53" t="s">
        <v>1136</v>
      </c>
      <c r="D1072" s="53">
        <v>1</v>
      </c>
      <c r="E1072" s="53" t="s">
        <v>2852</v>
      </c>
      <c r="F1072" s="53" t="s">
        <v>1885</v>
      </c>
      <c r="G1072" s="53" t="s">
        <v>901</v>
      </c>
      <c r="H1072" s="53" t="s">
        <v>902</v>
      </c>
      <c r="I1072" s="53" t="s">
        <v>656</v>
      </c>
      <c r="J1072" s="53" t="s">
        <v>2670</v>
      </c>
    </row>
    <row r="1073" spans="1:10" ht="15" customHeight="1" x14ac:dyDescent="0.35">
      <c r="A1073" s="53" t="s">
        <v>896</v>
      </c>
      <c r="B1073" s="53" t="s">
        <v>2853</v>
      </c>
      <c r="C1073" s="53" t="s">
        <v>1122</v>
      </c>
      <c r="D1073" s="53">
        <v>1</v>
      </c>
      <c r="E1073" s="53" t="s">
        <v>2854</v>
      </c>
      <c r="F1073" s="53" t="s">
        <v>1885</v>
      </c>
      <c r="G1073" s="53" t="s">
        <v>901</v>
      </c>
      <c r="H1073" s="53" t="s">
        <v>902</v>
      </c>
      <c r="I1073" s="53" t="s">
        <v>656</v>
      </c>
      <c r="J1073" s="53" t="s">
        <v>2855</v>
      </c>
    </row>
    <row r="1074" spans="1:10" ht="15" customHeight="1" x14ac:dyDescent="0.35">
      <c r="A1074" s="53" t="s">
        <v>896</v>
      </c>
      <c r="B1074" s="53" t="s">
        <v>2856</v>
      </c>
      <c r="C1074" s="53" t="s">
        <v>946</v>
      </c>
      <c r="D1074" s="53">
        <v>1</v>
      </c>
      <c r="E1074" s="53" t="s">
        <v>2857</v>
      </c>
      <c r="F1074" s="53" t="s">
        <v>1885</v>
      </c>
      <c r="G1074" s="53" t="s">
        <v>901</v>
      </c>
      <c r="H1074" s="53" t="s">
        <v>902</v>
      </c>
      <c r="I1074" s="53" t="s">
        <v>656</v>
      </c>
      <c r="J1074" s="53" t="s">
        <v>2222</v>
      </c>
    </row>
    <row r="1075" spans="1:10" ht="15" customHeight="1" x14ac:dyDescent="0.35">
      <c r="A1075" s="53" t="s">
        <v>896</v>
      </c>
      <c r="B1075" s="53" t="s">
        <v>2858</v>
      </c>
      <c r="C1075" s="53" t="s">
        <v>959</v>
      </c>
      <c r="D1075" s="53">
        <v>1</v>
      </c>
      <c r="E1075" s="53" t="s">
        <v>2859</v>
      </c>
      <c r="F1075" s="53" t="s">
        <v>1885</v>
      </c>
      <c r="G1075" s="53" t="s">
        <v>901</v>
      </c>
      <c r="H1075" s="53" t="s">
        <v>902</v>
      </c>
      <c r="I1075" s="53" t="s">
        <v>656</v>
      </c>
      <c r="J1075" s="53" t="s">
        <v>2860</v>
      </c>
    </row>
    <row r="1076" spans="1:10" ht="15" customHeight="1" x14ac:dyDescent="0.35">
      <c r="A1076" s="53" t="s">
        <v>896</v>
      </c>
      <c r="B1076" s="53" t="s">
        <v>2861</v>
      </c>
      <c r="C1076" s="53" t="s">
        <v>1070</v>
      </c>
      <c r="D1076" s="53">
        <v>1</v>
      </c>
      <c r="E1076" s="53" t="s">
        <v>2862</v>
      </c>
      <c r="F1076" s="53" t="s">
        <v>1885</v>
      </c>
      <c r="G1076" s="53" t="s">
        <v>901</v>
      </c>
      <c r="H1076" s="53" t="s">
        <v>902</v>
      </c>
      <c r="I1076" s="53" t="s">
        <v>656</v>
      </c>
      <c r="J1076" s="53" t="s">
        <v>2863</v>
      </c>
    </row>
    <row r="1077" spans="1:10" ht="15" customHeight="1" x14ac:dyDescent="0.35">
      <c r="A1077" s="53" t="s">
        <v>896</v>
      </c>
      <c r="B1077" s="53" t="s">
        <v>2864</v>
      </c>
      <c r="C1077" s="53" t="s">
        <v>989</v>
      </c>
      <c r="D1077" s="53">
        <v>1</v>
      </c>
      <c r="E1077" s="53" t="s">
        <v>2865</v>
      </c>
      <c r="F1077" s="53" t="s">
        <v>1885</v>
      </c>
      <c r="G1077" s="53" t="s">
        <v>901</v>
      </c>
      <c r="H1077" s="53" t="s">
        <v>902</v>
      </c>
      <c r="I1077" s="53" t="s">
        <v>656</v>
      </c>
      <c r="J1077" s="53" t="s">
        <v>2866</v>
      </c>
    </row>
    <row r="1078" spans="1:10" ht="15" customHeight="1" x14ac:dyDescent="0.35">
      <c r="A1078" s="53" t="s">
        <v>896</v>
      </c>
      <c r="B1078" s="53" t="s">
        <v>2867</v>
      </c>
      <c r="C1078" s="53" t="s">
        <v>959</v>
      </c>
      <c r="D1078" s="53">
        <v>1</v>
      </c>
      <c r="E1078" s="53" t="s">
        <v>2868</v>
      </c>
      <c r="F1078" s="53" t="s">
        <v>1885</v>
      </c>
      <c r="G1078" s="53" t="s">
        <v>901</v>
      </c>
      <c r="H1078" s="53" t="s">
        <v>902</v>
      </c>
      <c r="I1078" s="53" t="s">
        <v>656</v>
      </c>
      <c r="J1078" s="53" t="s">
        <v>2869</v>
      </c>
    </row>
    <row r="1079" spans="1:10" ht="15" customHeight="1" x14ac:dyDescent="0.35">
      <c r="A1079" s="53" t="s">
        <v>896</v>
      </c>
      <c r="B1079" s="53" t="s">
        <v>2870</v>
      </c>
      <c r="C1079" s="53" t="s">
        <v>1646</v>
      </c>
      <c r="D1079" s="53">
        <v>1</v>
      </c>
      <c r="E1079" s="53" t="s">
        <v>2871</v>
      </c>
      <c r="F1079" s="53" t="s">
        <v>1885</v>
      </c>
      <c r="G1079" s="53" t="s">
        <v>901</v>
      </c>
      <c r="H1079" s="53" t="s">
        <v>902</v>
      </c>
      <c r="I1079" s="53" t="s">
        <v>656</v>
      </c>
      <c r="J1079" s="53" t="s">
        <v>2872</v>
      </c>
    </row>
    <row r="1080" spans="1:10" ht="15" customHeight="1" x14ac:dyDescent="0.35">
      <c r="A1080" s="53" t="s">
        <v>896</v>
      </c>
      <c r="B1080" s="53" t="s">
        <v>2873</v>
      </c>
      <c r="C1080" s="53" t="s">
        <v>1077</v>
      </c>
      <c r="D1080" s="53">
        <v>1</v>
      </c>
      <c r="E1080" s="53" t="s">
        <v>2874</v>
      </c>
      <c r="F1080" s="53" t="s">
        <v>1885</v>
      </c>
      <c r="G1080" s="53" t="s">
        <v>901</v>
      </c>
      <c r="H1080" s="53" t="s">
        <v>902</v>
      </c>
      <c r="I1080" s="53" t="s">
        <v>656</v>
      </c>
      <c r="J1080" s="53" t="s">
        <v>2875</v>
      </c>
    </row>
    <row r="1081" spans="1:10" ht="15" customHeight="1" x14ac:dyDescent="0.35">
      <c r="A1081" s="53" t="s">
        <v>896</v>
      </c>
      <c r="B1081" s="53" t="s">
        <v>2876</v>
      </c>
      <c r="C1081" s="53" t="s">
        <v>989</v>
      </c>
      <c r="D1081" s="53">
        <v>1</v>
      </c>
      <c r="E1081" s="53" t="s">
        <v>2877</v>
      </c>
      <c r="F1081" s="53" t="s">
        <v>1885</v>
      </c>
      <c r="G1081" s="53" t="s">
        <v>901</v>
      </c>
      <c r="H1081" s="53" t="s">
        <v>902</v>
      </c>
      <c r="I1081" s="53" t="s">
        <v>656</v>
      </c>
      <c r="J1081" s="53" t="s">
        <v>2878</v>
      </c>
    </row>
    <row r="1082" spans="1:10" ht="15" customHeight="1" x14ac:dyDescent="0.35">
      <c r="A1082" s="53" t="s">
        <v>896</v>
      </c>
      <c r="B1082" s="53" t="s">
        <v>2879</v>
      </c>
      <c r="C1082" s="53" t="s">
        <v>909</v>
      </c>
      <c r="D1082" s="53">
        <v>1</v>
      </c>
      <c r="E1082" s="53" t="s">
        <v>2880</v>
      </c>
      <c r="F1082" s="53" t="s">
        <v>1885</v>
      </c>
      <c r="G1082" s="53" t="s">
        <v>901</v>
      </c>
      <c r="H1082" s="53" t="s">
        <v>902</v>
      </c>
      <c r="I1082" s="53" t="s">
        <v>656</v>
      </c>
      <c r="J1082" s="53" t="s">
        <v>2443</v>
      </c>
    </row>
    <row r="1083" spans="1:10" ht="15" customHeight="1" x14ac:dyDescent="0.35">
      <c r="A1083" s="53" t="s">
        <v>896</v>
      </c>
      <c r="B1083" s="53" t="s">
        <v>2881</v>
      </c>
      <c r="C1083" s="53" t="s">
        <v>1143</v>
      </c>
      <c r="D1083" s="53">
        <v>1</v>
      </c>
      <c r="E1083" s="53" t="s">
        <v>2882</v>
      </c>
      <c r="F1083" s="53" t="s">
        <v>1885</v>
      </c>
      <c r="G1083" s="53" t="s">
        <v>901</v>
      </c>
      <c r="H1083" s="53" t="s">
        <v>902</v>
      </c>
      <c r="I1083" s="53" t="s">
        <v>656</v>
      </c>
      <c r="J1083" s="53" t="s">
        <v>2883</v>
      </c>
    </row>
    <row r="1084" spans="1:10" ht="15" customHeight="1" x14ac:dyDescent="0.35">
      <c r="A1084" s="53" t="s">
        <v>896</v>
      </c>
      <c r="B1084" s="53" t="s">
        <v>2884</v>
      </c>
      <c r="C1084" s="53" t="s">
        <v>989</v>
      </c>
      <c r="D1084" s="53">
        <v>1</v>
      </c>
      <c r="E1084" s="53" t="s">
        <v>2885</v>
      </c>
      <c r="F1084" s="53" t="s">
        <v>1885</v>
      </c>
      <c r="G1084" s="53" t="s">
        <v>901</v>
      </c>
      <c r="H1084" s="53" t="s">
        <v>902</v>
      </c>
      <c r="I1084" s="53" t="s">
        <v>656</v>
      </c>
      <c r="J1084" s="53" t="s">
        <v>2886</v>
      </c>
    </row>
    <row r="1085" spans="1:10" ht="15" customHeight="1" x14ac:dyDescent="0.35">
      <c r="A1085" s="53" t="s">
        <v>896</v>
      </c>
      <c r="B1085" s="53" t="s">
        <v>2887</v>
      </c>
      <c r="C1085" s="53" t="s">
        <v>917</v>
      </c>
      <c r="D1085" s="53">
        <v>1</v>
      </c>
      <c r="E1085" s="53" t="s">
        <v>2888</v>
      </c>
      <c r="F1085" s="53" t="s">
        <v>1885</v>
      </c>
      <c r="G1085" s="53" t="s">
        <v>901</v>
      </c>
      <c r="H1085" s="53" t="s">
        <v>902</v>
      </c>
      <c r="I1085" s="53" t="s">
        <v>656</v>
      </c>
      <c r="J1085" s="53" t="s">
        <v>2889</v>
      </c>
    </row>
    <row r="1086" spans="1:10" ht="15" customHeight="1" x14ac:dyDescent="0.35">
      <c r="A1086" s="53" t="s">
        <v>896</v>
      </c>
      <c r="B1086" s="53" t="s">
        <v>2890</v>
      </c>
      <c r="C1086" s="53" t="s">
        <v>913</v>
      </c>
      <c r="D1086" s="53">
        <v>1</v>
      </c>
      <c r="E1086" s="53" t="s">
        <v>2891</v>
      </c>
      <c r="F1086" s="53" t="s">
        <v>1885</v>
      </c>
      <c r="G1086" s="53" t="s">
        <v>901</v>
      </c>
      <c r="H1086" s="53" t="s">
        <v>902</v>
      </c>
      <c r="I1086" s="53" t="s">
        <v>656</v>
      </c>
      <c r="J1086" s="53" t="s">
        <v>2892</v>
      </c>
    </row>
    <row r="1087" spans="1:10" ht="15" customHeight="1" x14ac:dyDescent="0.35">
      <c r="A1087" s="53" t="s">
        <v>896</v>
      </c>
      <c r="B1087" s="53" t="s">
        <v>2893</v>
      </c>
      <c r="C1087" s="53" t="s">
        <v>1077</v>
      </c>
      <c r="D1087" s="53">
        <v>1</v>
      </c>
      <c r="E1087" s="53" t="s">
        <v>2891</v>
      </c>
      <c r="F1087" s="53" t="s">
        <v>1885</v>
      </c>
      <c r="G1087" s="53" t="s">
        <v>901</v>
      </c>
      <c r="H1087" s="53" t="s">
        <v>902</v>
      </c>
      <c r="I1087" s="53" t="s">
        <v>656</v>
      </c>
      <c r="J1087" s="53" t="s">
        <v>2894</v>
      </c>
    </row>
    <row r="1088" spans="1:10" ht="15" customHeight="1" x14ac:dyDescent="0.35">
      <c r="A1088" s="53" t="s">
        <v>896</v>
      </c>
      <c r="B1088" s="53" t="s">
        <v>2895</v>
      </c>
      <c r="C1088" s="53" t="s">
        <v>1084</v>
      </c>
      <c r="D1088" s="53">
        <v>1</v>
      </c>
      <c r="E1088" s="53" t="s">
        <v>2882</v>
      </c>
      <c r="F1088" s="53" t="s">
        <v>1885</v>
      </c>
      <c r="G1088" s="53" t="s">
        <v>901</v>
      </c>
      <c r="H1088" s="53" t="s">
        <v>902</v>
      </c>
      <c r="I1088" s="53" t="s">
        <v>656</v>
      </c>
      <c r="J1088" s="53" t="s">
        <v>2896</v>
      </c>
    </row>
    <row r="1089" spans="1:10" ht="15" customHeight="1" x14ac:dyDescent="0.35">
      <c r="A1089" s="53" t="s">
        <v>896</v>
      </c>
      <c r="B1089" s="53" t="s">
        <v>2897</v>
      </c>
      <c r="C1089" s="53" t="s">
        <v>1077</v>
      </c>
      <c r="D1089" s="53">
        <v>1</v>
      </c>
      <c r="E1089" s="53" t="s">
        <v>2882</v>
      </c>
      <c r="F1089" s="53" t="s">
        <v>1885</v>
      </c>
      <c r="G1089" s="53" t="s">
        <v>901</v>
      </c>
      <c r="H1089" s="53" t="s">
        <v>902</v>
      </c>
      <c r="I1089" s="53" t="s">
        <v>656</v>
      </c>
      <c r="J1089" s="53" t="s">
        <v>2898</v>
      </c>
    </row>
    <row r="1090" spans="1:10" ht="15" customHeight="1" x14ac:dyDescent="0.35">
      <c r="A1090" s="53" t="s">
        <v>896</v>
      </c>
      <c r="B1090" s="53" t="s">
        <v>2899</v>
      </c>
      <c r="C1090" s="53" t="s">
        <v>1077</v>
      </c>
      <c r="D1090" s="53">
        <v>1</v>
      </c>
      <c r="E1090" s="53" t="s">
        <v>2882</v>
      </c>
      <c r="F1090" s="53" t="s">
        <v>1885</v>
      </c>
      <c r="G1090" s="53" t="s">
        <v>901</v>
      </c>
      <c r="H1090" s="53" t="s">
        <v>902</v>
      </c>
      <c r="I1090" s="53" t="s">
        <v>656</v>
      </c>
      <c r="J1090" s="53" t="s">
        <v>2900</v>
      </c>
    </row>
    <row r="1091" spans="1:10" ht="15" customHeight="1" x14ac:dyDescent="0.35">
      <c r="A1091" s="53" t="s">
        <v>896</v>
      </c>
      <c r="B1091" s="53" t="s">
        <v>2901</v>
      </c>
      <c r="C1091" s="53" t="s">
        <v>1122</v>
      </c>
      <c r="D1091" s="53">
        <v>1</v>
      </c>
      <c r="E1091" s="53" t="s">
        <v>2902</v>
      </c>
      <c r="F1091" s="53" t="s">
        <v>1885</v>
      </c>
      <c r="G1091" s="53" t="s">
        <v>901</v>
      </c>
      <c r="H1091" s="53" t="s">
        <v>902</v>
      </c>
      <c r="I1091" s="53" t="s">
        <v>656</v>
      </c>
      <c r="J1091" s="53" t="s">
        <v>2903</v>
      </c>
    </row>
    <row r="1092" spans="1:10" ht="15" customHeight="1" x14ac:dyDescent="0.35">
      <c r="A1092" s="53" t="s">
        <v>896</v>
      </c>
      <c r="B1092" s="53" t="s">
        <v>2904</v>
      </c>
      <c r="C1092" s="53" t="s">
        <v>1157</v>
      </c>
      <c r="D1092" s="53">
        <v>1</v>
      </c>
      <c r="E1092" s="53" t="s">
        <v>2905</v>
      </c>
      <c r="F1092" s="53" t="s">
        <v>1885</v>
      </c>
      <c r="G1092" s="53" t="s">
        <v>901</v>
      </c>
      <c r="H1092" s="53" t="s">
        <v>902</v>
      </c>
      <c r="I1092" s="53" t="s">
        <v>656</v>
      </c>
      <c r="J1092" s="53" t="s">
        <v>2906</v>
      </c>
    </row>
    <row r="1093" spans="1:10" ht="15" customHeight="1" x14ac:dyDescent="0.35">
      <c r="A1093" s="53" t="s">
        <v>896</v>
      </c>
      <c r="B1093" s="53" t="s">
        <v>2907</v>
      </c>
      <c r="C1093" s="53" t="s">
        <v>1129</v>
      </c>
      <c r="D1093" s="53">
        <v>1</v>
      </c>
      <c r="E1093" s="53" t="s">
        <v>2908</v>
      </c>
      <c r="F1093" s="53" t="s">
        <v>1885</v>
      </c>
      <c r="G1093" s="53" t="s">
        <v>901</v>
      </c>
      <c r="H1093" s="53" t="s">
        <v>902</v>
      </c>
      <c r="I1093" s="53" t="s">
        <v>656</v>
      </c>
      <c r="J1093" s="53" t="s">
        <v>2909</v>
      </c>
    </row>
    <row r="1094" spans="1:10" ht="15" customHeight="1" x14ac:dyDescent="0.35">
      <c r="A1094" s="53" t="s">
        <v>896</v>
      </c>
      <c r="B1094" s="53" t="s">
        <v>2910</v>
      </c>
      <c r="C1094" s="53" t="s">
        <v>921</v>
      </c>
      <c r="D1094" s="53">
        <v>1</v>
      </c>
      <c r="E1094" s="53" t="s">
        <v>2908</v>
      </c>
      <c r="F1094" s="53" t="s">
        <v>1885</v>
      </c>
      <c r="G1094" s="53" t="s">
        <v>901</v>
      </c>
      <c r="H1094" s="53" t="s">
        <v>902</v>
      </c>
      <c r="I1094" s="53" t="s">
        <v>656</v>
      </c>
      <c r="J1094" s="53" t="s">
        <v>2911</v>
      </c>
    </row>
    <row r="1095" spans="1:10" ht="15" customHeight="1" x14ac:dyDescent="0.35">
      <c r="A1095" s="53" t="s">
        <v>896</v>
      </c>
      <c r="B1095" s="53" t="s">
        <v>2912</v>
      </c>
      <c r="C1095" s="53" t="s">
        <v>921</v>
      </c>
      <c r="D1095" s="53">
        <v>1</v>
      </c>
      <c r="E1095" s="53" t="s">
        <v>2913</v>
      </c>
      <c r="F1095" s="53" t="s">
        <v>1885</v>
      </c>
      <c r="G1095" s="53" t="s">
        <v>901</v>
      </c>
      <c r="H1095" s="53" t="s">
        <v>902</v>
      </c>
      <c r="I1095" s="53" t="s">
        <v>656</v>
      </c>
      <c r="J1095" s="53" t="s">
        <v>1898</v>
      </c>
    </row>
    <row r="1096" spans="1:10" ht="15" customHeight="1" x14ac:dyDescent="0.35">
      <c r="A1096" s="53" t="s">
        <v>896</v>
      </c>
      <c r="B1096" s="53" t="s">
        <v>2914</v>
      </c>
      <c r="C1096" s="53" t="s">
        <v>921</v>
      </c>
      <c r="D1096" s="53">
        <v>1</v>
      </c>
      <c r="E1096" s="53" t="s">
        <v>2913</v>
      </c>
      <c r="F1096" s="53" t="s">
        <v>1885</v>
      </c>
      <c r="G1096" s="53" t="s">
        <v>901</v>
      </c>
      <c r="H1096" s="53" t="s">
        <v>902</v>
      </c>
      <c r="I1096" s="53" t="s">
        <v>656</v>
      </c>
      <c r="J1096" s="53" t="s">
        <v>2915</v>
      </c>
    </row>
    <row r="1097" spans="1:10" ht="15" customHeight="1" x14ac:dyDescent="0.35">
      <c r="A1097" s="53" t="s">
        <v>896</v>
      </c>
      <c r="B1097" s="53" t="s">
        <v>2916</v>
      </c>
      <c r="C1097" s="53" t="s">
        <v>1077</v>
      </c>
      <c r="D1097" s="53">
        <v>1</v>
      </c>
      <c r="E1097" s="53" t="s">
        <v>2913</v>
      </c>
      <c r="F1097" s="53" t="s">
        <v>1885</v>
      </c>
      <c r="G1097" s="53" t="s">
        <v>901</v>
      </c>
      <c r="H1097" s="53" t="s">
        <v>902</v>
      </c>
      <c r="I1097" s="53" t="s">
        <v>656</v>
      </c>
      <c r="J1097" s="53" t="s">
        <v>2574</v>
      </c>
    </row>
    <row r="1098" spans="1:10" ht="15" customHeight="1" x14ac:dyDescent="0.35">
      <c r="A1098" s="53" t="s">
        <v>896</v>
      </c>
      <c r="B1098" s="53" t="s">
        <v>2917</v>
      </c>
      <c r="C1098" s="53" t="s">
        <v>1212</v>
      </c>
      <c r="D1098" s="53">
        <v>1</v>
      </c>
      <c r="E1098" s="53" t="s">
        <v>2918</v>
      </c>
      <c r="F1098" s="53" t="s">
        <v>1885</v>
      </c>
      <c r="G1098" s="53" t="s">
        <v>901</v>
      </c>
      <c r="H1098" s="53" t="s">
        <v>902</v>
      </c>
      <c r="I1098" s="53" t="s">
        <v>656</v>
      </c>
      <c r="J1098" s="53" t="s">
        <v>2397</v>
      </c>
    </row>
    <row r="1099" spans="1:10" ht="15" customHeight="1" x14ac:dyDescent="0.35">
      <c r="A1099" s="53" t="s">
        <v>896</v>
      </c>
      <c r="B1099" s="53" t="s">
        <v>2919</v>
      </c>
      <c r="C1099" s="53" t="s">
        <v>1009</v>
      </c>
      <c r="D1099" s="53">
        <v>1</v>
      </c>
      <c r="E1099" s="53" t="s">
        <v>2918</v>
      </c>
      <c r="F1099" s="53" t="s">
        <v>1885</v>
      </c>
      <c r="G1099" s="53" t="s">
        <v>901</v>
      </c>
      <c r="H1099" s="53" t="s">
        <v>902</v>
      </c>
      <c r="I1099" s="53" t="s">
        <v>656</v>
      </c>
      <c r="J1099" s="53" t="s">
        <v>2920</v>
      </c>
    </row>
    <row r="1100" spans="1:10" ht="15" customHeight="1" x14ac:dyDescent="0.35">
      <c r="A1100" s="53" t="s">
        <v>896</v>
      </c>
      <c r="B1100" s="53" t="s">
        <v>2921</v>
      </c>
      <c r="C1100" s="53" t="s">
        <v>921</v>
      </c>
      <c r="D1100" s="53">
        <v>1</v>
      </c>
      <c r="E1100" s="53" t="s">
        <v>2918</v>
      </c>
      <c r="F1100" s="53" t="s">
        <v>1885</v>
      </c>
      <c r="G1100" s="53" t="s">
        <v>901</v>
      </c>
      <c r="H1100" s="53" t="s">
        <v>902</v>
      </c>
      <c r="I1100" s="53" t="s">
        <v>656</v>
      </c>
      <c r="J1100" s="53" t="s">
        <v>2922</v>
      </c>
    </row>
    <row r="1101" spans="1:10" ht="15" customHeight="1" x14ac:dyDescent="0.35">
      <c r="A1101" s="53" t="s">
        <v>896</v>
      </c>
      <c r="B1101" s="53" t="s">
        <v>2923</v>
      </c>
      <c r="C1101" s="53" t="s">
        <v>1122</v>
      </c>
      <c r="D1101" s="53">
        <v>1</v>
      </c>
      <c r="E1101" s="53" t="s">
        <v>2918</v>
      </c>
      <c r="F1101" s="53" t="s">
        <v>1885</v>
      </c>
      <c r="G1101" s="53" t="s">
        <v>901</v>
      </c>
      <c r="H1101" s="53" t="s">
        <v>902</v>
      </c>
      <c r="I1101" s="53" t="s">
        <v>656</v>
      </c>
      <c r="J1101" s="53" t="s">
        <v>2924</v>
      </c>
    </row>
    <row r="1102" spans="1:10" ht="15" customHeight="1" x14ac:dyDescent="0.35">
      <c r="A1102" s="53" t="s">
        <v>896</v>
      </c>
      <c r="B1102" s="53" t="s">
        <v>2925</v>
      </c>
      <c r="C1102" s="53" t="s">
        <v>921</v>
      </c>
      <c r="D1102" s="53">
        <v>1</v>
      </c>
      <c r="E1102" s="53" t="s">
        <v>2918</v>
      </c>
      <c r="F1102" s="53" t="s">
        <v>1885</v>
      </c>
      <c r="G1102" s="53" t="s">
        <v>901</v>
      </c>
      <c r="H1102" s="53" t="s">
        <v>902</v>
      </c>
      <c r="I1102" s="53" t="s">
        <v>656</v>
      </c>
      <c r="J1102" s="53" t="s">
        <v>2926</v>
      </c>
    </row>
    <row r="1103" spans="1:10" ht="15" customHeight="1" x14ac:dyDescent="0.35">
      <c r="A1103" s="53" t="s">
        <v>896</v>
      </c>
      <c r="B1103" s="53" t="s">
        <v>2927</v>
      </c>
      <c r="C1103" s="53" t="s">
        <v>1582</v>
      </c>
      <c r="D1103" s="53">
        <v>1</v>
      </c>
      <c r="E1103" s="53" t="s">
        <v>2928</v>
      </c>
      <c r="F1103" s="53" t="s">
        <v>1885</v>
      </c>
      <c r="G1103" s="53" t="s">
        <v>901</v>
      </c>
      <c r="H1103" s="53" t="s">
        <v>902</v>
      </c>
      <c r="I1103" s="53" t="s">
        <v>656</v>
      </c>
      <c r="J1103" s="53" t="s">
        <v>2168</v>
      </c>
    </row>
    <row r="1104" spans="1:10" ht="15" customHeight="1" x14ac:dyDescent="0.35">
      <c r="A1104" s="53" t="s">
        <v>896</v>
      </c>
      <c r="B1104" s="53" t="s">
        <v>2929</v>
      </c>
      <c r="C1104" s="53" t="s">
        <v>905</v>
      </c>
      <c r="D1104" s="53">
        <v>1</v>
      </c>
      <c r="E1104" s="53" t="s">
        <v>2928</v>
      </c>
      <c r="F1104" s="53" t="s">
        <v>1885</v>
      </c>
      <c r="G1104" s="53" t="s">
        <v>901</v>
      </c>
      <c r="H1104" s="53" t="s">
        <v>902</v>
      </c>
      <c r="I1104" s="53" t="s">
        <v>656</v>
      </c>
      <c r="J1104" s="53" t="s">
        <v>2580</v>
      </c>
    </row>
    <row r="1105" spans="1:10" ht="15" customHeight="1" x14ac:dyDescent="0.35">
      <c r="A1105" s="53" t="s">
        <v>896</v>
      </c>
      <c r="B1105" s="53" t="s">
        <v>2930</v>
      </c>
      <c r="C1105" s="53" t="s">
        <v>989</v>
      </c>
      <c r="D1105" s="53">
        <v>1</v>
      </c>
      <c r="E1105" s="53" t="s">
        <v>2928</v>
      </c>
      <c r="F1105" s="53" t="s">
        <v>1885</v>
      </c>
      <c r="G1105" s="53" t="s">
        <v>901</v>
      </c>
      <c r="H1105" s="53" t="s">
        <v>902</v>
      </c>
      <c r="I1105" s="53" t="s">
        <v>656</v>
      </c>
      <c r="J1105" s="53" t="s">
        <v>2931</v>
      </c>
    </row>
    <row r="1106" spans="1:10" ht="15" customHeight="1" x14ac:dyDescent="0.35">
      <c r="A1106" s="53" t="s">
        <v>896</v>
      </c>
      <c r="B1106" s="53" t="s">
        <v>2932</v>
      </c>
      <c r="C1106" s="53" t="s">
        <v>1077</v>
      </c>
      <c r="D1106" s="53">
        <v>1</v>
      </c>
      <c r="E1106" s="53" t="s">
        <v>2933</v>
      </c>
      <c r="F1106" s="53" t="s">
        <v>1885</v>
      </c>
      <c r="G1106" s="53" t="s">
        <v>901</v>
      </c>
      <c r="H1106" s="53" t="s">
        <v>902</v>
      </c>
      <c r="I1106" s="53" t="s">
        <v>656</v>
      </c>
      <c r="J1106" s="53" t="s">
        <v>2439</v>
      </c>
    </row>
    <row r="1107" spans="1:10" ht="15" customHeight="1" x14ac:dyDescent="0.35">
      <c r="A1107" s="53" t="s">
        <v>896</v>
      </c>
      <c r="B1107" s="53" t="s">
        <v>2934</v>
      </c>
      <c r="C1107" s="53" t="s">
        <v>898</v>
      </c>
      <c r="D1107" s="53">
        <v>1</v>
      </c>
      <c r="E1107" s="53" t="s">
        <v>2933</v>
      </c>
      <c r="F1107" s="53" t="s">
        <v>1885</v>
      </c>
      <c r="G1107" s="53" t="s">
        <v>901</v>
      </c>
      <c r="H1107" s="53" t="s">
        <v>902</v>
      </c>
      <c r="I1107" s="53" t="s">
        <v>656</v>
      </c>
      <c r="J1107" s="53" t="s">
        <v>2935</v>
      </c>
    </row>
    <row r="1108" spans="1:10" ht="15" customHeight="1" x14ac:dyDescent="0.35">
      <c r="A1108" s="53" t="s">
        <v>896</v>
      </c>
      <c r="B1108" s="53" t="s">
        <v>2936</v>
      </c>
      <c r="C1108" s="53" t="s">
        <v>1212</v>
      </c>
      <c r="D1108" s="53">
        <v>1</v>
      </c>
      <c r="E1108" s="53" t="s">
        <v>2933</v>
      </c>
      <c r="F1108" s="53" t="s">
        <v>1885</v>
      </c>
      <c r="G1108" s="53" t="s">
        <v>901</v>
      </c>
      <c r="H1108" s="53" t="s">
        <v>902</v>
      </c>
      <c r="I1108" s="53" t="s">
        <v>656</v>
      </c>
      <c r="J1108" s="53" t="s">
        <v>2937</v>
      </c>
    </row>
    <row r="1109" spans="1:10" ht="15" customHeight="1" x14ac:dyDescent="0.35">
      <c r="A1109" s="53" t="s">
        <v>896</v>
      </c>
      <c r="B1109" s="53" t="s">
        <v>2938</v>
      </c>
      <c r="C1109" s="53" t="s">
        <v>963</v>
      </c>
      <c r="D1109" s="53">
        <v>1</v>
      </c>
      <c r="E1109" s="53" t="s">
        <v>2939</v>
      </c>
      <c r="F1109" s="53" t="s">
        <v>1885</v>
      </c>
      <c r="G1109" s="53" t="s">
        <v>901</v>
      </c>
      <c r="H1109" s="53" t="s">
        <v>902</v>
      </c>
      <c r="I1109" s="53" t="s">
        <v>656</v>
      </c>
      <c r="J1109" s="53" t="s">
        <v>2940</v>
      </c>
    </row>
    <row r="1110" spans="1:10" ht="15" customHeight="1" x14ac:dyDescent="0.35">
      <c r="A1110" s="53" t="s">
        <v>896</v>
      </c>
      <c r="B1110" s="53" t="s">
        <v>2941</v>
      </c>
      <c r="C1110" s="53" t="s">
        <v>989</v>
      </c>
      <c r="D1110" s="53">
        <v>1</v>
      </c>
      <c r="E1110" s="53" t="s">
        <v>2939</v>
      </c>
      <c r="F1110" s="53" t="s">
        <v>1885</v>
      </c>
      <c r="G1110" s="53" t="s">
        <v>901</v>
      </c>
      <c r="H1110" s="53" t="s">
        <v>902</v>
      </c>
      <c r="I1110" s="53" t="s">
        <v>656</v>
      </c>
      <c r="J1110" s="53" t="s">
        <v>2942</v>
      </c>
    </row>
    <row r="1111" spans="1:10" ht="15" customHeight="1" x14ac:dyDescent="0.35">
      <c r="A1111" s="53" t="s">
        <v>896</v>
      </c>
      <c r="B1111" s="53" t="s">
        <v>2943</v>
      </c>
      <c r="C1111" s="53" t="s">
        <v>1136</v>
      </c>
      <c r="D1111" s="53">
        <v>1</v>
      </c>
      <c r="E1111" s="53" t="s">
        <v>2939</v>
      </c>
      <c r="F1111" s="53" t="s">
        <v>1885</v>
      </c>
      <c r="G1111" s="53" t="s">
        <v>901</v>
      </c>
      <c r="H1111" s="53" t="s">
        <v>902</v>
      </c>
      <c r="I1111" s="53" t="s">
        <v>656</v>
      </c>
      <c r="J1111" s="53" t="s">
        <v>2348</v>
      </c>
    </row>
    <row r="1112" spans="1:10" ht="15" customHeight="1" x14ac:dyDescent="0.35">
      <c r="A1112" s="53" t="s">
        <v>896</v>
      </c>
      <c r="B1112" s="53" t="s">
        <v>2944</v>
      </c>
      <c r="C1112" s="53" t="s">
        <v>959</v>
      </c>
      <c r="D1112" s="53">
        <v>1</v>
      </c>
      <c r="E1112" s="53" t="s">
        <v>2939</v>
      </c>
      <c r="F1112" s="53" t="s">
        <v>1885</v>
      </c>
      <c r="G1112" s="53" t="s">
        <v>901</v>
      </c>
      <c r="H1112" s="53" t="s">
        <v>902</v>
      </c>
      <c r="I1112" s="53" t="s">
        <v>656</v>
      </c>
      <c r="J1112" s="53" t="s">
        <v>2945</v>
      </c>
    </row>
    <row r="1113" spans="1:10" ht="15" customHeight="1" x14ac:dyDescent="0.35">
      <c r="A1113" s="53" t="s">
        <v>896</v>
      </c>
      <c r="B1113" s="53" t="s">
        <v>2946</v>
      </c>
      <c r="C1113" s="53" t="s">
        <v>921</v>
      </c>
      <c r="D1113" s="53">
        <v>1</v>
      </c>
      <c r="E1113" s="53" t="s">
        <v>2939</v>
      </c>
      <c r="F1113" s="53" t="s">
        <v>1885</v>
      </c>
      <c r="G1113" s="53" t="s">
        <v>901</v>
      </c>
      <c r="H1113" s="53" t="s">
        <v>902</v>
      </c>
      <c r="I1113" s="53" t="s">
        <v>656</v>
      </c>
      <c r="J1113" s="53" t="s">
        <v>2947</v>
      </c>
    </row>
    <row r="1114" spans="1:10" ht="15" customHeight="1" x14ac:dyDescent="0.35">
      <c r="A1114" s="53" t="s">
        <v>896</v>
      </c>
      <c r="B1114" s="53" t="s">
        <v>2948</v>
      </c>
      <c r="C1114" s="53" t="s">
        <v>1136</v>
      </c>
      <c r="D1114" s="53">
        <v>1</v>
      </c>
      <c r="E1114" s="53" t="s">
        <v>2939</v>
      </c>
      <c r="F1114" s="53" t="s">
        <v>1885</v>
      </c>
      <c r="G1114" s="53" t="s">
        <v>901</v>
      </c>
      <c r="H1114" s="53" t="s">
        <v>902</v>
      </c>
      <c r="I1114" s="53" t="s">
        <v>656</v>
      </c>
      <c r="J1114" s="53" t="s">
        <v>2949</v>
      </c>
    </row>
    <row r="1115" spans="1:10" ht="15" customHeight="1" x14ac:dyDescent="0.35">
      <c r="A1115" s="53" t="s">
        <v>896</v>
      </c>
      <c r="B1115" s="53" t="s">
        <v>2950</v>
      </c>
      <c r="C1115" s="53" t="s">
        <v>921</v>
      </c>
      <c r="D1115" s="53">
        <v>1</v>
      </c>
      <c r="E1115" s="53" t="s">
        <v>2939</v>
      </c>
      <c r="F1115" s="53" t="s">
        <v>1885</v>
      </c>
      <c r="G1115" s="53" t="s">
        <v>901</v>
      </c>
      <c r="H1115" s="53" t="s">
        <v>902</v>
      </c>
      <c r="I1115" s="53" t="s">
        <v>656</v>
      </c>
      <c r="J1115" s="53" t="s">
        <v>2947</v>
      </c>
    </row>
    <row r="1116" spans="1:10" ht="15" customHeight="1" x14ac:dyDescent="0.35">
      <c r="A1116" s="53" t="s">
        <v>896</v>
      </c>
      <c r="B1116" s="53" t="s">
        <v>2951</v>
      </c>
      <c r="C1116" s="53" t="s">
        <v>1731</v>
      </c>
      <c r="D1116" s="53">
        <v>1</v>
      </c>
      <c r="E1116" s="53" t="s">
        <v>2939</v>
      </c>
      <c r="F1116" s="53" t="s">
        <v>1885</v>
      </c>
      <c r="G1116" s="53" t="s">
        <v>901</v>
      </c>
      <c r="H1116" s="53" t="s">
        <v>902</v>
      </c>
      <c r="I1116" s="53" t="s">
        <v>656</v>
      </c>
      <c r="J1116" s="53" t="s">
        <v>2348</v>
      </c>
    </row>
    <row r="1117" spans="1:10" ht="15" customHeight="1" x14ac:dyDescent="0.35">
      <c r="A1117" s="53" t="s">
        <v>896</v>
      </c>
      <c r="B1117" s="53" t="s">
        <v>2952</v>
      </c>
      <c r="C1117" s="53" t="s">
        <v>905</v>
      </c>
      <c r="D1117" s="53">
        <v>1</v>
      </c>
      <c r="E1117" s="53" t="s">
        <v>2953</v>
      </c>
      <c r="F1117" s="53" t="s">
        <v>1885</v>
      </c>
      <c r="G1117" s="53" t="s">
        <v>901</v>
      </c>
      <c r="H1117" s="53" t="s">
        <v>902</v>
      </c>
      <c r="I1117" s="53" t="s">
        <v>656</v>
      </c>
      <c r="J1117" s="53" t="s">
        <v>2954</v>
      </c>
    </row>
    <row r="1118" spans="1:10" ht="15" customHeight="1" x14ac:dyDescent="0.35">
      <c r="A1118" s="53" t="s">
        <v>896</v>
      </c>
      <c r="B1118" s="53" t="s">
        <v>2955</v>
      </c>
      <c r="C1118" s="53" t="s">
        <v>905</v>
      </c>
      <c r="D1118" s="53">
        <v>1</v>
      </c>
      <c r="E1118" s="53" t="s">
        <v>2953</v>
      </c>
      <c r="F1118" s="53" t="s">
        <v>1885</v>
      </c>
      <c r="G1118" s="53" t="s">
        <v>901</v>
      </c>
      <c r="H1118" s="53" t="s">
        <v>902</v>
      </c>
      <c r="I1118" s="53" t="s">
        <v>656</v>
      </c>
      <c r="J1118" s="53" t="s">
        <v>2956</v>
      </c>
    </row>
    <row r="1119" spans="1:10" ht="15" customHeight="1" x14ac:dyDescent="0.35">
      <c r="A1119" s="53" t="s">
        <v>896</v>
      </c>
      <c r="B1119" s="53" t="s">
        <v>2957</v>
      </c>
      <c r="C1119" s="53" t="s">
        <v>913</v>
      </c>
      <c r="D1119" s="53">
        <v>1</v>
      </c>
      <c r="E1119" s="53" t="s">
        <v>2953</v>
      </c>
      <c r="F1119" s="53" t="s">
        <v>1885</v>
      </c>
      <c r="G1119" s="53" t="s">
        <v>901</v>
      </c>
      <c r="H1119" s="53" t="s">
        <v>902</v>
      </c>
      <c r="I1119" s="53" t="s">
        <v>656</v>
      </c>
      <c r="J1119" s="53" t="s">
        <v>2954</v>
      </c>
    </row>
    <row r="1120" spans="1:10" ht="15" customHeight="1" x14ac:dyDescent="0.35">
      <c r="A1120" s="53" t="s">
        <v>896</v>
      </c>
      <c r="B1120" s="53" t="s">
        <v>2958</v>
      </c>
      <c r="C1120" s="53" t="s">
        <v>1009</v>
      </c>
      <c r="D1120" s="53">
        <v>1</v>
      </c>
      <c r="E1120" s="53" t="s">
        <v>2953</v>
      </c>
      <c r="F1120" s="53" t="s">
        <v>1885</v>
      </c>
      <c r="G1120" s="53" t="s">
        <v>901</v>
      </c>
      <c r="H1120" s="53" t="s">
        <v>902</v>
      </c>
      <c r="I1120" s="53" t="s">
        <v>656</v>
      </c>
      <c r="J1120" s="53" t="s">
        <v>2959</v>
      </c>
    </row>
    <row r="1121" spans="1:10" ht="15" customHeight="1" x14ac:dyDescent="0.35">
      <c r="A1121" s="53" t="s">
        <v>896</v>
      </c>
      <c r="B1121" s="53" t="s">
        <v>2960</v>
      </c>
      <c r="C1121" s="53" t="s">
        <v>1009</v>
      </c>
      <c r="D1121" s="53">
        <v>1</v>
      </c>
      <c r="E1121" s="53" t="s">
        <v>2953</v>
      </c>
      <c r="F1121" s="53" t="s">
        <v>1885</v>
      </c>
      <c r="G1121" s="53" t="s">
        <v>901</v>
      </c>
      <c r="H1121" s="53" t="s">
        <v>902</v>
      </c>
      <c r="I1121" s="53" t="s">
        <v>656</v>
      </c>
      <c r="J1121" s="53" t="s">
        <v>2961</v>
      </c>
    </row>
    <row r="1122" spans="1:10" ht="15" customHeight="1" x14ac:dyDescent="0.35">
      <c r="A1122" s="53" t="s">
        <v>896</v>
      </c>
      <c r="B1122" s="53" t="s">
        <v>2962</v>
      </c>
      <c r="C1122" s="53" t="s">
        <v>1077</v>
      </c>
      <c r="D1122" s="53">
        <v>1</v>
      </c>
      <c r="E1122" s="53" t="s">
        <v>2953</v>
      </c>
      <c r="F1122" s="53" t="s">
        <v>1885</v>
      </c>
      <c r="G1122" s="53" t="s">
        <v>901</v>
      </c>
      <c r="H1122" s="53" t="s">
        <v>902</v>
      </c>
      <c r="I1122" s="53" t="s">
        <v>656</v>
      </c>
      <c r="J1122" s="53" t="s">
        <v>2621</v>
      </c>
    </row>
    <row r="1123" spans="1:10" ht="15" customHeight="1" x14ac:dyDescent="0.35">
      <c r="A1123" s="53" t="s">
        <v>896</v>
      </c>
      <c r="B1123" s="53" t="s">
        <v>2963</v>
      </c>
      <c r="C1123" s="53" t="s">
        <v>905</v>
      </c>
      <c r="D1123" s="53">
        <v>1</v>
      </c>
      <c r="E1123" s="53" t="s">
        <v>2964</v>
      </c>
      <c r="F1123" s="53" t="s">
        <v>1885</v>
      </c>
      <c r="G1123" s="53" t="s">
        <v>901</v>
      </c>
      <c r="H1123" s="53" t="s">
        <v>902</v>
      </c>
      <c r="I1123" s="53" t="s">
        <v>656</v>
      </c>
      <c r="J1123" s="53" t="s">
        <v>2965</v>
      </c>
    </row>
    <row r="1124" spans="1:10" ht="15" customHeight="1" x14ac:dyDescent="0.35">
      <c r="A1124" s="53" t="s">
        <v>896</v>
      </c>
      <c r="B1124" s="53" t="s">
        <v>2966</v>
      </c>
      <c r="C1124" s="53" t="s">
        <v>921</v>
      </c>
      <c r="D1124" s="53">
        <v>1</v>
      </c>
      <c r="E1124" s="53" t="s">
        <v>2964</v>
      </c>
      <c r="F1124" s="53" t="s">
        <v>1885</v>
      </c>
      <c r="G1124" s="53" t="s">
        <v>901</v>
      </c>
      <c r="H1124" s="53" t="s">
        <v>902</v>
      </c>
      <c r="I1124" s="53" t="s">
        <v>656</v>
      </c>
      <c r="J1124" s="53" t="s">
        <v>2095</v>
      </c>
    </row>
    <row r="1125" spans="1:10" ht="15" customHeight="1" x14ac:dyDescent="0.35">
      <c r="A1125" s="53" t="s">
        <v>896</v>
      </c>
      <c r="B1125" s="53" t="s">
        <v>2967</v>
      </c>
      <c r="C1125" s="53" t="s">
        <v>921</v>
      </c>
      <c r="D1125" s="53">
        <v>1</v>
      </c>
      <c r="E1125" s="53" t="s">
        <v>2964</v>
      </c>
      <c r="F1125" s="53" t="s">
        <v>1885</v>
      </c>
      <c r="G1125" s="53" t="s">
        <v>901</v>
      </c>
      <c r="H1125" s="53" t="s">
        <v>902</v>
      </c>
      <c r="I1125" s="53" t="s">
        <v>656</v>
      </c>
      <c r="J1125" s="53" t="s">
        <v>2222</v>
      </c>
    </row>
    <row r="1126" spans="1:10" ht="15" customHeight="1" x14ac:dyDescent="0.35">
      <c r="A1126" s="53" t="s">
        <v>896</v>
      </c>
      <c r="B1126" s="53" t="s">
        <v>2968</v>
      </c>
      <c r="C1126" s="53" t="s">
        <v>913</v>
      </c>
      <c r="D1126" s="53">
        <v>1</v>
      </c>
      <c r="E1126" s="53" t="s">
        <v>2964</v>
      </c>
      <c r="F1126" s="53" t="s">
        <v>1885</v>
      </c>
      <c r="G1126" s="53" t="s">
        <v>901</v>
      </c>
      <c r="H1126" s="53" t="s">
        <v>902</v>
      </c>
      <c r="I1126" s="53" t="s">
        <v>656</v>
      </c>
      <c r="J1126" s="53" t="s">
        <v>2692</v>
      </c>
    </row>
    <row r="1127" spans="1:10" ht="15" customHeight="1" x14ac:dyDescent="0.35">
      <c r="A1127" s="53" t="s">
        <v>896</v>
      </c>
      <c r="B1127" s="53" t="s">
        <v>2969</v>
      </c>
      <c r="C1127" s="53" t="s">
        <v>989</v>
      </c>
      <c r="D1127" s="53">
        <v>1</v>
      </c>
      <c r="E1127" s="53" t="s">
        <v>2964</v>
      </c>
      <c r="F1127" s="53" t="s">
        <v>1885</v>
      </c>
      <c r="G1127" s="53" t="s">
        <v>901</v>
      </c>
      <c r="H1127" s="53" t="s">
        <v>902</v>
      </c>
      <c r="I1127" s="53" t="s">
        <v>656</v>
      </c>
      <c r="J1127" s="53" t="s">
        <v>2866</v>
      </c>
    </row>
    <row r="1128" spans="1:10" ht="15" customHeight="1" x14ac:dyDescent="0.35">
      <c r="A1128" s="53" t="s">
        <v>896</v>
      </c>
      <c r="B1128" s="53" t="s">
        <v>2970</v>
      </c>
      <c r="C1128" s="53" t="s">
        <v>2971</v>
      </c>
      <c r="D1128" s="53">
        <v>1</v>
      </c>
      <c r="E1128" s="53" t="s">
        <v>2964</v>
      </c>
      <c r="F1128" s="53" t="s">
        <v>1885</v>
      </c>
      <c r="G1128" s="53" t="s">
        <v>901</v>
      </c>
      <c r="H1128" s="53" t="s">
        <v>902</v>
      </c>
      <c r="I1128" s="53" t="s">
        <v>656</v>
      </c>
      <c r="J1128" s="53" t="s">
        <v>2972</v>
      </c>
    </row>
    <row r="1129" spans="1:10" ht="15" customHeight="1" x14ac:dyDescent="0.35">
      <c r="A1129" s="53" t="s">
        <v>896</v>
      </c>
      <c r="B1129" s="53" t="s">
        <v>2973</v>
      </c>
      <c r="C1129" s="53" t="s">
        <v>1009</v>
      </c>
      <c r="D1129" s="53">
        <v>1</v>
      </c>
      <c r="E1129" s="53" t="s">
        <v>2964</v>
      </c>
      <c r="F1129" s="53" t="s">
        <v>1885</v>
      </c>
      <c r="G1129" s="53" t="s">
        <v>901</v>
      </c>
      <c r="H1129" s="53" t="s">
        <v>902</v>
      </c>
      <c r="I1129" s="53" t="s">
        <v>656</v>
      </c>
      <c r="J1129" s="53" t="s">
        <v>2443</v>
      </c>
    </row>
    <row r="1130" spans="1:10" ht="15" customHeight="1" x14ac:dyDescent="0.35">
      <c r="A1130" s="53" t="s">
        <v>896</v>
      </c>
      <c r="B1130" s="53" t="s">
        <v>2974</v>
      </c>
      <c r="C1130" s="53" t="s">
        <v>959</v>
      </c>
      <c r="D1130" s="53">
        <v>1</v>
      </c>
      <c r="E1130" s="53" t="s">
        <v>2933</v>
      </c>
      <c r="F1130" s="53" t="s">
        <v>1885</v>
      </c>
      <c r="G1130" s="53" t="s">
        <v>901</v>
      </c>
      <c r="H1130" s="53" t="s">
        <v>902</v>
      </c>
      <c r="I1130" s="53" t="s">
        <v>656</v>
      </c>
      <c r="J1130" s="53" t="s">
        <v>2975</v>
      </c>
    </row>
    <row r="1131" spans="1:10" ht="15" customHeight="1" x14ac:dyDescent="0.35">
      <c r="A1131" s="53" t="s">
        <v>896</v>
      </c>
      <c r="B1131" s="53" t="s">
        <v>2976</v>
      </c>
      <c r="C1131" s="53" t="s">
        <v>913</v>
      </c>
      <c r="D1131" s="53">
        <v>1</v>
      </c>
      <c r="E1131" s="53" t="s">
        <v>2977</v>
      </c>
      <c r="F1131" s="53" t="s">
        <v>1885</v>
      </c>
      <c r="G1131" s="53" t="s">
        <v>901</v>
      </c>
      <c r="H1131" s="53" t="s">
        <v>902</v>
      </c>
      <c r="I1131" s="53" t="s">
        <v>656</v>
      </c>
      <c r="J1131" s="53" t="s">
        <v>2692</v>
      </c>
    </row>
    <row r="1132" spans="1:10" ht="15" customHeight="1" x14ac:dyDescent="0.35">
      <c r="A1132" s="53" t="s">
        <v>896</v>
      </c>
      <c r="B1132" s="53" t="s">
        <v>2978</v>
      </c>
      <c r="C1132" s="53" t="s">
        <v>909</v>
      </c>
      <c r="D1132" s="53">
        <v>1</v>
      </c>
      <c r="E1132" s="53" t="s">
        <v>2977</v>
      </c>
      <c r="F1132" s="53" t="s">
        <v>1885</v>
      </c>
      <c r="G1132" s="53" t="s">
        <v>901</v>
      </c>
      <c r="H1132" s="53" t="s">
        <v>902</v>
      </c>
      <c r="I1132" s="53" t="s">
        <v>656</v>
      </c>
      <c r="J1132" s="53" t="s">
        <v>2692</v>
      </c>
    </row>
    <row r="1133" spans="1:10" ht="15" customHeight="1" x14ac:dyDescent="0.35">
      <c r="A1133" s="53" t="s">
        <v>896</v>
      </c>
      <c r="B1133" s="53" t="s">
        <v>2979</v>
      </c>
      <c r="C1133" s="53" t="s">
        <v>989</v>
      </c>
      <c r="D1133" s="53">
        <v>1</v>
      </c>
      <c r="E1133" s="53" t="s">
        <v>2977</v>
      </c>
      <c r="F1133" s="53" t="s">
        <v>1885</v>
      </c>
      <c r="G1133" s="53" t="s">
        <v>901</v>
      </c>
      <c r="H1133" s="53" t="s">
        <v>902</v>
      </c>
      <c r="I1133" s="53" t="s">
        <v>656</v>
      </c>
      <c r="J1133" s="53" t="s">
        <v>2692</v>
      </c>
    </row>
    <row r="1134" spans="1:10" ht="15" customHeight="1" x14ac:dyDescent="0.35">
      <c r="A1134" s="53" t="s">
        <v>896</v>
      </c>
      <c r="B1134" s="53" t="s">
        <v>2980</v>
      </c>
      <c r="C1134" s="53" t="s">
        <v>1143</v>
      </c>
      <c r="D1134" s="53">
        <v>1</v>
      </c>
      <c r="E1134" s="53" t="s">
        <v>2977</v>
      </c>
      <c r="F1134" s="53" t="s">
        <v>1885</v>
      </c>
      <c r="G1134" s="53" t="s">
        <v>901</v>
      </c>
      <c r="H1134" s="53" t="s">
        <v>902</v>
      </c>
      <c r="I1134" s="53" t="s">
        <v>656</v>
      </c>
      <c r="J1134" s="53" t="s">
        <v>2222</v>
      </c>
    </row>
    <row r="1135" spans="1:10" ht="15" customHeight="1" x14ac:dyDescent="0.35">
      <c r="A1135" s="53" t="s">
        <v>896</v>
      </c>
      <c r="B1135" s="53" t="s">
        <v>2981</v>
      </c>
      <c r="C1135" s="53" t="s">
        <v>1768</v>
      </c>
      <c r="D1135" s="53">
        <v>1</v>
      </c>
      <c r="E1135" s="53" t="s">
        <v>2982</v>
      </c>
      <c r="F1135" s="53" t="s">
        <v>1885</v>
      </c>
      <c r="G1135" s="53" t="s">
        <v>901</v>
      </c>
      <c r="H1135" s="53" t="s">
        <v>902</v>
      </c>
      <c r="I1135" s="53" t="s">
        <v>656</v>
      </c>
      <c r="J1135" s="53" t="s">
        <v>2549</v>
      </c>
    </row>
    <row r="1136" spans="1:10" ht="15" customHeight="1" x14ac:dyDescent="0.35">
      <c r="A1136" s="53" t="s">
        <v>896</v>
      </c>
      <c r="B1136" s="53" t="s">
        <v>2983</v>
      </c>
      <c r="C1136" s="53" t="s">
        <v>913</v>
      </c>
      <c r="D1136" s="53">
        <v>1</v>
      </c>
      <c r="E1136" s="53" t="s">
        <v>2984</v>
      </c>
      <c r="F1136" s="53" t="s">
        <v>1885</v>
      </c>
      <c r="G1136" s="53" t="s">
        <v>901</v>
      </c>
      <c r="H1136" s="53" t="s">
        <v>902</v>
      </c>
      <c r="I1136" s="53" t="s">
        <v>656</v>
      </c>
      <c r="J1136" s="53" t="s">
        <v>2985</v>
      </c>
    </row>
    <row r="1137" spans="1:10" ht="15" customHeight="1" x14ac:dyDescent="0.35">
      <c r="A1137" s="53" t="s">
        <v>896</v>
      </c>
      <c r="B1137" s="53" t="s">
        <v>2986</v>
      </c>
      <c r="C1137" s="53" t="s">
        <v>996</v>
      </c>
      <c r="D1137" s="53">
        <v>1</v>
      </c>
      <c r="E1137" s="53" t="s">
        <v>2984</v>
      </c>
      <c r="F1137" s="53" t="s">
        <v>1885</v>
      </c>
      <c r="G1137" s="53" t="s">
        <v>901</v>
      </c>
      <c r="H1137" s="53" t="s">
        <v>902</v>
      </c>
      <c r="I1137" s="53" t="s">
        <v>656</v>
      </c>
      <c r="J1137" s="53" t="s">
        <v>2095</v>
      </c>
    </row>
    <row r="1138" spans="1:10" ht="15" customHeight="1" x14ac:dyDescent="0.35">
      <c r="A1138" s="53" t="s">
        <v>896</v>
      </c>
      <c r="B1138" s="53" t="s">
        <v>2987</v>
      </c>
      <c r="C1138" s="53" t="s">
        <v>946</v>
      </c>
      <c r="D1138" s="53">
        <v>1</v>
      </c>
      <c r="E1138" s="53" t="s">
        <v>2984</v>
      </c>
      <c r="F1138" s="53" t="s">
        <v>1885</v>
      </c>
      <c r="G1138" s="53" t="s">
        <v>901</v>
      </c>
      <c r="H1138" s="53" t="s">
        <v>902</v>
      </c>
      <c r="I1138" s="53" t="s">
        <v>656</v>
      </c>
      <c r="J1138" s="53" t="s">
        <v>2972</v>
      </c>
    </row>
    <row r="1139" spans="1:10" ht="15" customHeight="1" x14ac:dyDescent="0.35">
      <c r="A1139" s="53" t="s">
        <v>896</v>
      </c>
      <c r="B1139" s="53" t="s">
        <v>2988</v>
      </c>
      <c r="C1139" s="53" t="s">
        <v>2602</v>
      </c>
      <c r="D1139" s="53">
        <v>1</v>
      </c>
      <c r="E1139" s="53" t="s">
        <v>2989</v>
      </c>
      <c r="F1139" s="53" t="s">
        <v>1885</v>
      </c>
      <c r="G1139" s="53" t="s">
        <v>901</v>
      </c>
      <c r="H1139" s="53" t="s">
        <v>902</v>
      </c>
      <c r="I1139" s="53" t="s">
        <v>656</v>
      </c>
      <c r="J1139" s="53" t="s">
        <v>2990</v>
      </c>
    </row>
    <row r="1140" spans="1:10" ht="15" customHeight="1" x14ac:dyDescent="0.35">
      <c r="A1140" s="53" t="s">
        <v>896</v>
      </c>
      <c r="B1140" s="53" t="s">
        <v>2991</v>
      </c>
      <c r="C1140" s="53" t="s">
        <v>1077</v>
      </c>
      <c r="D1140" s="53">
        <v>1</v>
      </c>
      <c r="E1140" s="53" t="s">
        <v>2992</v>
      </c>
      <c r="F1140" s="53" t="s">
        <v>1885</v>
      </c>
      <c r="G1140" s="53" t="s">
        <v>901</v>
      </c>
      <c r="H1140" s="53" t="s">
        <v>902</v>
      </c>
      <c r="I1140" s="53" t="s">
        <v>656</v>
      </c>
      <c r="J1140" s="53" t="s">
        <v>2993</v>
      </c>
    </row>
    <row r="1141" spans="1:10" ht="15" customHeight="1" x14ac:dyDescent="0.35">
      <c r="A1141" s="53" t="s">
        <v>896</v>
      </c>
      <c r="B1141" s="53" t="s">
        <v>2994</v>
      </c>
      <c r="C1141" s="53" t="s">
        <v>921</v>
      </c>
      <c r="D1141" s="53">
        <v>1</v>
      </c>
      <c r="E1141" s="53" t="s">
        <v>2995</v>
      </c>
      <c r="F1141" s="53" t="s">
        <v>1885</v>
      </c>
      <c r="G1141" s="53" t="s">
        <v>901</v>
      </c>
      <c r="H1141" s="53" t="s">
        <v>902</v>
      </c>
      <c r="I1141" s="53" t="s">
        <v>656</v>
      </c>
      <c r="J1141" s="53" t="s">
        <v>2996</v>
      </c>
    </row>
    <row r="1142" spans="1:10" ht="15" customHeight="1" x14ac:dyDescent="0.35">
      <c r="A1142" s="53" t="s">
        <v>896</v>
      </c>
      <c r="B1142" s="53" t="s">
        <v>2997</v>
      </c>
      <c r="C1142" s="53" t="s">
        <v>2257</v>
      </c>
      <c r="D1142" s="53">
        <v>1</v>
      </c>
      <c r="E1142" s="53" t="s">
        <v>2995</v>
      </c>
      <c r="F1142" s="53" t="s">
        <v>1885</v>
      </c>
      <c r="G1142" s="53" t="s">
        <v>901</v>
      </c>
      <c r="H1142" s="53" t="s">
        <v>902</v>
      </c>
      <c r="I1142" s="53" t="s">
        <v>656</v>
      </c>
      <c r="J1142" s="53" t="s">
        <v>2998</v>
      </c>
    </row>
    <row r="1143" spans="1:10" ht="15" customHeight="1" x14ac:dyDescent="0.35">
      <c r="A1143" s="53" t="s">
        <v>896</v>
      </c>
      <c r="B1143" s="53" t="s">
        <v>2999</v>
      </c>
      <c r="C1143" s="53" t="s">
        <v>921</v>
      </c>
      <c r="D1143" s="53">
        <v>1</v>
      </c>
      <c r="E1143" s="53" t="s">
        <v>3000</v>
      </c>
      <c r="F1143" s="53" t="s">
        <v>1885</v>
      </c>
      <c r="G1143" s="53" t="s">
        <v>901</v>
      </c>
      <c r="H1143" s="53" t="s">
        <v>902</v>
      </c>
      <c r="I1143" s="53" t="s">
        <v>656</v>
      </c>
      <c r="J1143" s="53" t="s">
        <v>3001</v>
      </c>
    </row>
    <row r="1144" spans="1:10" ht="15" customHeight="1" x14ac:dyDescent="0.35">
      <c r="A1144" s="53" t="s">
        <v>896</v>
      </c>
      <c r="B1144" s="53" t="s">
        <v>3002</v>
      </c>
      <c r="C1144" s="53" t="s">
        <v>1118</v>
      </c>
      <c r="D1144" s="53">
        <v>1</v>
      </c>
      <c r="E1144" s="53" t="s">
        <v>3003</v>
      </c>
      <c r="F1144" s="53" t="s">
        <v>1885</v>
      </c>
      <c r="G1144" s="53" t="s">
        <v>901</v>
      </c>
      <c r="H1144" s="53" t="s">
        <v>902</v>
      </c>
      <c r="I1144" s="53" t="s">
        <v>656</v>
      </c>
      <c r="J1144" s="53" t="s">
        <v>3004</v>
      </c>
    </row>
    <row r="1145" spans="1:10" ht="15" customHeight="1" x14ac:dyDescent="0.35">
      <c r="A1145" s="53" t="s">
        <v>896</v>
      </c>
      <c r="B1145" s="53" t="s">
        <v>3005</v>
      </c>
      <c r="C1145" s="53" t="s">
        <v>905</v>
      </c>
      <c r="D1145" s="53">
        <v>1</v>
      </c>
      <c r="E1145" s="53" t="s">
        <v>3003</v>
      </c>
      <c r="F1145" s="53" t="s">
        <v>1885</v>
      </c>
      <c r="G1145" s="53" t="s">
        <v>901</v>
      </c>
      <c r="H1145" s="53" t="s">
        <v>902</v>
      </c>
      <c r="I1145" s="53" t="s">
        <v>656</v>
      </c>
      <c r="J1145" s="53" t="s">
        <v>2630</v>
      </c>
    </row>
    <row r="1146" spans="1:10" ht="15" customHeight="1" x14ac:dyDescent="0.35">
      <c r="A1146" s="53" t="s">
        <v>896</v>
      </c>
      <c r="B1146" s="53" t="s">
        <v>3006</v>
      </c>
      <c r="C1146" s="53" t="s">
        <v>989</v>
      </c>
      <c r="D1146" s="53">
        <v>1</v>
      </c>
      <c r="E1146" s="53" t="s">
        <v>3003</v>
      </c>
      <c r="F1146" s="53" t="s">
        <v>1885</v>
      </c>
      <c r="G1146" s="53" t="s">
        <v>901</v>
      </c>
      <c r="H1146" s="53" t="s">
        <v>902</v>
      </c>
      <c r="I1146" s="53" t="s">
        <v>656</v>
      </c>
      <c r="J1146" s="53" t="s">
        <v>2572</v>
      </c>
    </row>
    <row r="1147" spans="1:10" ht="15" customHeight="1" x14ac:dyDescent="0.35">
      <c r="A1147" s="53" t="s">
        <v>896</v>
      </c>
      <c r="B1147" s="53" t="s">
        <v>3007</v>
      </c>
      <c r="C1147" s="53" t="s">
        <v>913</v>
      </c>
      <c r="D1147" s="53">
        <v>1</v>
      </c>
      <c r="E1147" s="53" t="s">
        <v>3008</v>
      </c>
      <c r="F1147" s="53" t="s">
        <v>1885</v>
      </c>
      <c r="G1147" s="53" t="s">
        <v>901</v>
      </c>
      <c r="H1147" s="53" t="s">
        <v>902</v>
      </c>
      <c r="I1147" s="53" t="s">
        <v>656</v>
      </c>
      <c r="J1147" s="53" t="s">
        <v>2720</v>
      </c>
    </row>
    <row r="1148" spans="1:10" ht="15" customHeight="1" x14ac:dyDescent="0.35">
      <c r="A1148" s="53" t="s">
        <v>896</v>
      </c>
      <c r="B1148" s="53" t="s">
        <v>3009</v>
      </c>
      <c r="C1148" s="53" t="s">
        <v>913</v>
      </c>
      <c r="D1148" s="53">
        <v>1</v>
      </c>
      <c r="E1148" s="53" t="s">
        <v>3008</v>
      </c>
      <c r="F1148" s="53" t="s">
        <v>1885</v>
      </c>
      <c r="G1148" s="53" t="s">
        <v>901</v>
      </c>
      <c r="H1148" s="53" t="s">
        <v>902</v>
      </c>
      <c r="I1148" s="53" t="s">
        <v>656</v>
      </c>
      <c r="J1148" s="53" t="s">
        <v>3010</v>
      </c>
    </row>
    <row r="1149" spans="1:10" ht="15" customHeight="1" x14ac:dyDescent="0.35">
      <c r="A1149" s="53" t="s">
        <v>896</v>
      </c>
      <c r="B1149" s="53" t="s">
        <v>3011</v>
      </c>
      <c r="C1149" s="53" t="s">
        <v>1143</v>
      </c>
      <c r="D1149" s="53">
        <v>1</v>
      </c>
      <c r="E1149" s="53" t="s">
        <v>3008</v>
      </c>
      <c r="F1149" s="53" t="s">
        <v>1885</v>
      </c>
      <c r="G1149" s="53" t="s">
        <v>901</v>
      </c>
      <c r="H1149" s="53" t="s">
        <v>902</v>
      </c>
      <c r="I1149" s="53" t="s">
        <v>656</v>
      </c>
      <c r="J1149" s="53" t="s">
        <v>2940</v>
      </c>
    </row>
    <row r="1150" spans="1:10" ht="15" customHeight="1" x14ac:dyDescent="0.35">
      <c r="A1150" s="53" t="s">
        <v>896</v>
      </c>
      <c r="B1150" s="53" t="s">
        <v>3012</v>
      </c>
      <c r="C1150" s="53" t="s">
        <v>921</v>
      </c>
      <c r="D1150" s="53">
        <v>1</v>
      </c>
      <c r="E1150" s="53" t="s">
        <v>3013</v>
      </c>
      <c r="F1150" s="53" t="s">
        <v>1885</v>
      </c>
      <c r="G1150" s="53" t="s">
        <v>901</v>
      </c>
      <c r="H1150" s="53" t="s">
        <v>902</v>
      </c>
      <c r="I1150" s="53" t="s">
        <v>656</v>
      </c>
      <c r="J1150" s="53" t="s">
        <v>2621</v>
      </c>
    </row>
    <row r="1151" spans="1:10" ht="15" customHeight="1" x14ac:dyDescent="0.35">
      <c r="A1151" s="53" t="s">
        <v>896</v>
      </c>
      <c r="B1151" s="53" t="s">
        <v>3014</v>
      </c>
      <c r="C1151" s="53" t="s">
        <v>1157</v>
      </c>
      <c r="D1151" s="53">
        <v>1</v>
      </c>
      <c r="E1151" s="53" t="s">
        <v>3013</v>
      </c>
      <c r="F1151" s="53" t="s">
        <v>1885</v>
      </c>
      <c r="G1151" s="53" t="s">
        <v>901</v>
      </c>
      <c r="H1151" s="53" t="s">
        <v>902</v>
      </c>
      <c r="I1151" s="53" t="s">
        <v>656</v>
      </c>
      <c r="J1151" s="53" t="s">
        <v>3015</v>
      </c>
    </row>
    <row r="1152" spans="1:10" ht="15" customHeight="1" x14ac:dyDescent="0.35">
      <c r="A1152" s="53" t="s">
        <v>896</v>
      </c>
      <c r="B1152" s="53" t="s">
        <v>3016</v>
      </c>
      <c r="C1152" s="53" t="s">
        <v>946</v>
      </c>
      <c r="D1152" s="53">
        <v>1</v>
      </c>
      <c r="E1152" s="53" t="s">
        <v>3017</v>
      </c>
      <c r="F1152" s="53" t="s">
        <v>1885</v>
      </c>
      <c r="G1152" s="53" t="s">
        <v>901</v>
      </c>
      <c r="H1152" s="53" t="s">
        <v>902</v>
      </c>
      <c r="I1152" s="53" t="s">
        <v>656</v>
      </c>
      <c r="J1152" s="53" t="s">
        <v>2222</v>
      </c>
    </row>
    <row r="1153" spans="1:10" ht="15" customHeight="1" x14ac:dyDescent="0.35">
      <c r="A1153" s="53" t="s">
        <v>896</v>
      </c>
      <c r="B1153" s="53" t="s">
        <v>3018</v>
      </c>
      <c r="C1153" s="53" t="s">
        <v>2792</v>
      </c>
      <c r="D1153" s="53">
        <v>1</v>
      </c>
      <c r="E1153" s="53" t="s">
        <v>3017</v>
      </c>
      <c r="F1153" s="53" t="s">
        <v>1885</v>
      </c>
      <c r="G1153" s="53" t="s">
        <v>901</v>
      </c>
      <c r="H1153" s="53" t="s">
        <v>902</v>
      </c>
      <c r="I1153" s="53" t="s">
        <v>656</v>
      </c>
      <c r="J1153" s="53" t="s">
        <v>2649</v>
      </c>
    </row>
    <row r="1154" spans="1:10" ht="15" customHeight="1" x14ac:dyDescent="0.35">
      <c r="A1154" s="53" t="s">
        <v>896</v>
      </c>
      <c r="B1154" s="53" t="s">
        <v>3019</v>
      </c>
      <c r="C1154" s="53" t="s">
        <v>973</v>
      </c>
      <c r="D1154" s="53">
        <v>1</v>
      </c>
      <c r="E1154" s="53" t="s">
        <v>3017</v>
      </c>
      <c r="F1154" s="53" t="s">
        <v>1885</v>
      </c>
      <c r="G1154" s="53" t="s">
        <v>901</v>
      </c>
      <c r="H1154" s="53" t="s">
        <v>902</v>
      </c>
      <c r="I1154" s="53" t="s">
        <v>656</v>
      </c>
      <c r="J1154" s="53" t="s">
        <v>2095</v>
      </c>
    </row>
    <row r="1155" spans="1:10" ht="15" customHeight="1" x14ac:dyDescent="0.35">
      <c r="A1155" s="53" t="s">
        <v>896</v>
      </c>
      <c r="B1155" s="53" t="s">
        <v>3020</v>
      </c>
      <c r="C1155" s="53" t="s">
        <v>929</v>
      </c>
      <c r="D1155" s="53">
        <v>1</v>
      </c>
      <c r="E1155" s="53" t="s">
        <v>3017</v>
      </c>
      <c r="F1155" s="53" t="s">
        <v>1885</v>
      </c>
      <c r="G1155" s="53" t="s">
        <v>901</v>
      </c>
      <c r="H1155" s="53" t="s">
        <v>902</v>
      </c>
      <c r="I1155" s="53" t="s">
        <v>656</v>
      </c>
      <c r="J1155" s="53" t="s">
        <v>2965</v>
      </c>
    </row>
    <row r="1156" spans="1:10" ht="15" customHeight="1" x14ac:dyDescent="0.35">
      <c r="A1156" s="53" t="s">
        <v>896</v>
      </c>
      <c r="B1156" s="53" t="s">
        <v>3021</v>
      </c>
      <c r="C1156" s="53" t="s">
        <v>946</v>
      </c>
      <c r="D1156" s="53">
        <v>1</v>
      </c>
      <c r="E1156" s="53" t="s">
        <v>3017</v>
      </c>
      <c r="F1156" s="53" t="s">
        <v>1885</v>
      </c>
      <c r="G1156" s="53" t="s">
        <v>901</v>
      </c>
      <c r="H1156" s="53" t="s">
        <v>902</v>
      </c>
      <c r="I1156" s="53" t="s">
        <v>656</v>
      </c>
      <c r="J1156" s="53" t="s">
        <v>2095</v>
      </c>
    </row>
    <row r="1157" spans="1:10" ht="15" customHeight="1" x14ac:dyDescent="0.35">
      <c r="A1157" s="53" t="s">
        <v>896</v>
      </c>
      <c r="B1157" s="53" t="s">
        <v>3022</v>
      </c>
      <c r="C1157" s="53" t="s">
        <v>1101</v>
      </c>
      <c r="D1157" s="53">
        <v>1</v>
      </c>
      <c r="E1157" s="53" t="s">
        <v>3023</v>
      </c>
      <c r="F1157" s="53" t="s">
        <v>1885</v>
      </c>
      <c r="G1157" s="53" t="s">
        <v>901</v>
      </c>
      <c r="H1157" s="53" t="s">
        <v>902</v>
      </c>
      <c r="I1157" s="53" t="s">
        <v>656</v>
      </c>
      <c r="J1157" s="53" t="s">
        <v>3024</v>
      </c>
    </row>
    <row r="1158" spans="1:10" ht="15" customHeight="1" x14ac:dyDescent="0.35">
      <c r="A1158" s="53" t="s">
        <v>896</v>
      </c>
      <c r="B1158" s="53" t="s">
        <v>3025</v>
      </c>
      <c r="C1158" s="53" t="s">
        <v>1077</v>
      </c>
      <c r="D1158" s="53">
        <v>1</v>
      </c>
      <c r="E1158" s="53" t="s">
        <v>3026</v>
      </c>
      <c r="F1158" s="53" t="s">
        <v>1885</v>
      </c>
      <c r="G1158" s="53" t="s">
        <v>901</v>
      </c>
      <c r="H1158" s="53" t="s">
        <v>902</v>
      </c>
      <c r="I1158" s="53" t="s">
        <v>656</v>
      </c>
      <c r="J1158" s="53" t="s">
        <v>3027</v>
      </c>
    </row>
    <row r="1159" spans="1:10" ht="15" customHeight="1" x14ac:dyDescent="0.35">
      <c r="A1159" s="53" t="s">
        <v>896</v>
      </c>
      <c r="B1159" s="53" t="s">
        <v>3028</v>
      </c>
      <c r="C1159" s="53" t="s">
        <v>909</v>
      </c>
      <c r="D1159" s="53">
        <v>1</v>
      </c>
      <c r="E1159" s="53" t="s">
        <v>3029</v>
      </c>
      <c r="F1159" s="53" t="s">
        <v>1885</v>
      </c>
      <c r="G1159" s="53" t="s">
        <v>901</v>
      </c>
      <c r="H1159" s="53" t="s">
        <v>902</v>
      </c>
      <c r="I1159" s="53" t="s">
        <v>656</v>
      </c>
      <c r="J1159" s="53" t="s">
        <v>2222</v>
      </c>
    </row>
    <row r="1160" spans="1:10" ht="15" customHeight="1" x14ac:dyDescent="0.35">
      <c r="A1160" s="53" t="s">
        <v>896</v>
      </c>
      <c r="B1160" s="53" t="s">
        <v>3030</v>
      </c>
      <c r="C1160" s="53" t="s">
        <v>1143</v>
      </c>
      <c r="D1160" s="53">
        <v>1</v>
      </c>
      <c r="E1160" s="53" t="s">
        <v>3029</v>
      </c>
      <c r="F1160" s="53" t="s">
        <v>1885</v>
      </c>
      <c r="G1160" s="53" t="s">
        <v>901</v>
      </c>
      <c r="H1160" s="53" t="s">
        <v>902</v>
      </c>
      <c r="I1160" s="53" t="s">
        <v>656</v>
      </c>
      <c r="J1160" s="53" t="s">
        <v>2222</v>
      </c>
    </row>
    <row r="1161" spans="1:10" ht="15" customHeight="1" x14ac:dyDescent="0.35">
      <c r="A1161" s="53" t="s">
        <v>896</v>
      </c>
      <c r="B1161" s="53" t="s">
        <v>3031</v>
      </c>
      <c r="C1161" s="53" t="s">
        <v>1136</v>
      </c>
      <c r="D1161" s="53">
        <v>1</v>
      </c>
      <c r="E1161" s="53" t="s">
        <v>3032</v>
      </c>
      <c r="F1161" s="53" t="s">
        <v>1885</v>
      </c>
      <c r="G1161" s="53" t="s">
        <v>901</v>
      </c>
      <c r="H1161" s="53" t="s">
        <v>902</v>
      </c>
      <c r="I1161" s="53" t="s">
        <v>656</v>
      </c>
      <c r="J1161" s="53" t="s">
        <v>3033</v>
      </c>
    </row>
    <row r="1162" spans="1:10" ht="15" customHeight="1" x14ac:dyDescent="0.35">
      <c r="A1162" s="53" t="s">
        <v>896</v>
      </c>
      <c r="B1162" s="53" t="s">
        <v>3034</v>
      </c>
      <c r="C1162" s="53" t="s">
        <v>1143</v>
      </c>
      <c r="D1162" s="53">
        <v>1</v>
      </c>
      <c r="E1162" s="53" t="s">
        <v>3035</v>
      </c>
      <c r="F1162" s="53" t="s">
        <v>1885</v>
      </c>
      <c r="G1162" s="53" t="s">
        <v>901</v>
      </c>
      <c r="H1162" s="53" t="s">
        <v>902</v>
      </c>
      <c r="I1162" s="53" t="s">
        <v>656</v>
      </c>
      <c r="J1162" s="53" t="s">
        <v>3036</v>
      </c>
    </row>
    <row r="1163" spans="1:10" ht="15" customHeight="1" x14ac:dyDescent="0.35">
      <c r="A1163" s="53" t="s">
        <v>896</v>
      </c>
      <c r="B1163" s="53" t="s">
        <v>3037</v>
      </c>
      <c r="C1163" s="53" t="s">
        <v>909</v>
      </c>
      <c r="D1163" s="53">
        <v>1</v>
      </c>
      <c r="E1163" s="53" t="s">
        <v>3038</v>
      </c>
      <c r="F1163" s="53" t="s">
        <v>1885</v>
      </c>
      <c r="G1163" s="53" t="s">
        <v>901</v>
      </c>
      <c r="H1163" s="53" t="s">
        <v>902</v>
      </c>
      <c r="I1163" s="53" t="s">
        <v>656</v>
      </c>
      <c r="J1163" s="53" t="s">
        <v>2222</v>
      </c>
    </row>
    <row r="1164" spans="1:10" ht="15" customHeight="1" x14ac:dyDescent="0.35">
      <c r="A1164" s="53" t="s">
        <v>896</v>
      </c>
      <c r="B1164" s="53" t="s">
        <v>3039</v>
      </c>
      <c r="C1164" s="53" t="s">
        <v>1009</v>
      </c>
      <c r="D1164" s="53">
        <v>1</v>
      </c>
      <c r="E1164" s="53" t="s">
        <v>3040</v>
      </c>
      <c r="F1164" s="53" t="s">
        <v>1885</v>
      </c>
      <c r="G1164" s="53" t="s">
        <v>901</v>
      </c>
      <c r="H1164" s="53" t="s">
        <v>902</v>
      </c>
      <c r="I1164" s="53" t="s">
        <v>656</v>
      </c>
      <c r="J1164" s="53" t="s">
        <v>2825</v>
      </c>
    </row>
    <row r="1165" spans="1:10" ht="15" customHeight="1" x14ac:dyDescent="0.35">
      <c r="A1165" s="53" t="s">
        <v>896</v>
      </c>
      <c r="B1165" s="53" t="s">
        <v>3041</v>
      </c>
      <c r="C1165" s="53" t="s">
        <v>1240</v>
      </c>
      <c r="D1165" s="53">
        <v>1</v>
      </c>
      <c r="E1165" s="53" t="s">
        <v>3038</v>
      </c>
      <c r="F1165" s="53" t="s">
        <v>1885</v>
      </c>
      <c r="G1165" s="53" t="s">
        <v>901</v>
      </c>
      <c r="H1165" s="53" t="s">
        <v>902</v>
      </c>
      <c r="I1165" s="53" t="s">
        <v>656</v>
      </c>
      <c r="J1165" s="53" t="s">
        <v>2866</v>
      </c>
    </row>
    <row r="1166" spans="1:10" ht="15" customHeight="1" x14ac:dyDescent="0.35">
      <c r="A1166" s="53" t="s">
        <v>896</v>
      </c>
      <c r="B1166" s="53" t="s">
        <v>3042</v>
      </c>
      <c r="C1166" s="53" t="s">
        <v>946</v>
      </c>
      <c r="D1166" s="53">
        <v>1</v>
      </c>
      <c r="E1166" s="53" t="s">
        <v>3043</v>
      </c>
      <c r="F1166" s="53" t="s">
        <v>1885</v>
      </c>
      <c r="G1166" s="53" t="s">
        <v>901</v>
      </c>
      <c r="H1166" s="53" t="s">
        <v>902</v>
      </c>
      <c r="I1166" s="53" t="s">
        <v>656</v>
      </c>
      <c r="J1166" s="53" t="s">
        <v>3044</v>
      </c>
    </row>
    <row r="1167" spans="1:10" ht="15" customHeight="1" x14ac:dyDescent="0.35">
      <c r="A1167" s="53" t="s">
        <v>896</v>
      </c>
      <c r="B1167" s="53" t="s">
        <v>3045</v>
      </c>
      <c r="C1167" s="53" t="s">
        <v>1582</v>
      </c>
      <c r="D1167" s="53">
        <v>1</v>
      </c>
      <c r="E1167" s="53" t="s">
        <v>3046</v>
      </c>
      <c r="F1167" s="53" t="s">
        <v>1885</v>
      </c>
      <c r="G1167" s="53" t="s">
        <v>901</v>
      </c>
      <c r="H1167" s="53" t="s">
        <v>902</v>
      </c>
      <c r="I1167" s="53" t="s">
        <v>656</v>
      </c>
      <c r="J1167" s="53" t="s">
        <v>2348</v>
      </c>
    </row>
    <row r="1168" spans="1:10" ht="15" customHeight="1" x14ac:dyDescent="0.35">
      <c r="A1168" s="53" t="s">
        <v>896</v>
      </c>
      <c r="B1168" s="53" t="s">
        <v>3047</v>
      </c>
      <c r="C1168" s="53" t="s">
        <v>905</v>
      </c>
      <c r="D1168" s="53">
        <v>1</v>
      </c>
      <c r="E1168" s="53" t="s">
        <v>3048</v>
      </c>
      <c r="F1168" s="53" t="s">
        <v>1885</v>
      </c>
      <c r="G1168" s="53" t="s">
        <v>901</v>
      </c>
      <c r="H1168" s="53" t="s">
        <v>902</v>
      </c>
      <c r="I1168" s="53" t="s">
        <v>656</v>
      </c>
      <c r="J1168" s="53" t="s">
        <v>3049</v>
      </c>
    </row>
    <row r="1169" spans="1:10" ht="15" customHeight="1" x14ac:dyDescent="0.35">
      <c r="A1169" s="53" t="s">
        <v>896</v>
      </c>
      <c r="B1169" s="53" t="s">
        <v>3050</v>
      </c>
      <c r="C1169" s="53" t="s">
        <v>929</v>
      </c>
      <c r="D1169" s="53">
        <v>1</v>
      </c>
      <c r="E1169" s="53" t="s">
        <v>3043</v>
      </c>
      <c r="F1169" s="53" t="s">
        <v>1885</v>
      </c>
      <c r="G1169" s="53" t="s">
        <v>901</v>
      </c>
      <c r="H1169" s="53" t="s">
        <v>902</v>
      </c>
      <c r="I1169" s="53" t="s">
        <v>656</v>
      </c>
      <c r="J1169" s="53" t="s">
        <v>2095</v>
      </c>
    </row>
    <row r="1170" spans="1:10" ht="15" customHeight="1" x14ac:dyDescent="0.35">
      <c r="A1170" s="53" t="s">
        <v>896</v>
      </c>
      <c r="B1170" s="53" t="s">
        <v>3051</v>
      </c>
      <c r="C1170" s="53" t="s">
        <v>3052</v>
      </c>
      <c r="D1170" s="53">
        <v>1</v>
      </c>
      <c r="E1170" s="53" t="s">
        <v>3043</v>
      </c>
      <c r="F1170" s="53" t="s">
        <v>1885</v>
      </c>
      <c r="G1170" s="53" t="s">
        <v>901</v>
      </c>
      <c r="H1170" s="53" t="s">
        <v>902</v>
      </c>
      <c r="I1170" s="53" t="s">
        <v>656</v>
      </c>
      <c r="J1170" s="53" t="s">
        <v>2222</v>
      </c>
    </row>
    <row r="1171" spans="1:10" ht="15" customHeight="1" x14ac:dyDescent="0.35">
      <c r="A1171" s="53" t="s">
        <v>896</v>
      </c>
      <c r="B1171" s="53" t="s">
        <v>3053</v>
      </c>
      <c r="C1171" s="53" t="s">
        <v>1212</v>
      </c>
      <c r="D1171" s="53">
        <v>1</v>
      </c>
      <c r="E1171" s="53" t="s">
        <v>3043</v>
      </c>
      <c r="F1171" s="53" t="s">
        <v>1885</v>
      </c>
      <c r="G1171" s="53" t="s">
        <v>901</v>
      </c>
      <c r="H1171" s="53" t="s">
        <v>902</v>
      </c>
      <c r="I1171" s="53" t="s">
        <v>656</v>
      </c>
      <c r="J1171" s="53" t="s">
        <v>2095</v>
      </c>
    </row>
    <row r="1172" spans="1:10" ht="15" customHeight="1" x14ac:dyDescent="0.35">
      <c r="A1172" s="53" t="s">
        <v>896</v>
      </c>
      <c r="B1172" s="53" t="s">
        <v>3054</v>
      </c>
      <c r="C1172" s="53" t="s">
        <v>2598</v>
      </c>
      <c r="D1172" s="53">
        <v>1</v>
      </c>
      <c r="E1172" s="53" t="s">
        <v>3055</v>
      </c>
      <c r="F1172" s="53" t="s">
        <v>1885</v>
      </c>
      <c r="G1172" s="53" t="s">
        <v>901</v>
      </c>
      <c r="H1172" s="53" t="s">
        <v>902</v>
      </c>
      <c r="I1172" s="53" t="s">
        <v>656</v>
      </c>
      <c r="J1172" s="53" t="s">
        <v>3056</v>
      </c>
    </row>
    <row r="1173" spans="1:10" ht="15" customHeight="1" x14ac:dyDescent="0.35">
      <c r="A1173" s="53" t="s">
        <v>896</v>
      </c>
      <c r="B1173" s="53" t="s">
        <v>3057</v>
      </c>
      <c r="C1173" s="53" t="s">
        <v>1118</v>
      </c>
      <c r="D1173" s="53">
        <v>1</v>
      </c>
      <c r="E1173" s="53" t="s">
        <v>3058</v>
      </c>
      <c r="F1173" s="53" t="s">
        <v>1885</v>
      </c>
      <c r="G1173" s="53" t="s">
        <v>901</v>
      </c>
      <c r="H1173" s="53" t="s">
        <v>902</v>
      </c>
      <c r="I1173" s="53" t="s">
        <v>656</v>
      </c>
      <c r="J1173" s="53" t="s">
        <v>3059</v>
      </c>
    </row>
    <row r="1174" spans="1:10" ht="15" customHeight="1" x14ac:dyDescent="0.35">
      <c r="A1174" s="53" t="s">
        <v>896</v>
      </c>
      <c r="B1174" s="53" t="s">
        <v>3060</v>
      </c>
      <c r="C1174" s="53" t="s">
        <v>3061</v>
      </c>
      <c r="D1174" s="53">
        <v>1</v>
      </c>
      <c r="E1174" s="53" t="s">
        <v>3062</v>
      </c>
      <c r="F1174" s="53" t="s">
        <v>1885</v>
      </c>
      <c r="G1174" s="53" t="s">
        <v>901</v>
      </c>
      <c r="H1174" s="53" t="s">
        <v>902</v>
      </c>
      <c r="I1174" s="53" t="s">
        <v>656</v>
      </c>
      <c r="J1174" s="53" t="s">
        <v>3063</v>
      </c>
    </row>
    <row r="1175" spans="1:10" ht="15" customHeight="1" x14ac:dyDescent="0.35">
      <c r="A1175" s="53" t="s">
        <v>896</v>
      </c>
      <c r="B1175" s="53" t="s">
        <v>3064</v>
      </c>
      <c r="C1175" s="53" t="s">
        <v>1690</v>
      </c>
      <c r="D1175" s="53">
        <v>1</v>
      </c>
      <c r="E1175" s="53" t="s">
        <v>3065</v>
      </c>
      <c r="F1175" s="53" t="s">
        <v>1885</v>
      </c>
      <c r="G1175" s="53" t="s">
        <v>901</v>
      </c>
      <c r="H1175" s="53" t="s">
        <v>902</v>
      </c>
      <c r="I1175" s="53" t="s">
        <v>656</v>
      </c>
      <c r="J1175" s="53" t="s">
        <v>3066</v>
      </c>
    </row>
    <row r="1176" spans="1:10" ht="15" customHeight="1" x14ac:dyDescent="0.35">
      <c r="A1176" s="53" t="s">
        <v>896</v>
      </c>
      <c r="B1176" s="53" t="s">
        <v>3067</v>
      </c>
      <c r="C1176" s="53" t="s">
        <v>1690</v>
      </c>
      <c r="D1176" s="53">
        <v>1</v>
      </c>
      <c r="E1176" s="53" t="s">
        <v>3065</v>
      </c>
      <c r="F1176" s="53" t="s">
        <v>1885</v>
      </c>
      <c r="G1176" s="53" t="s">
        <v>901</v>
      </c>
      <c r="H1176" s="53" t="s">
        <v>902</v>
      </c>
      <c r="I1176" s="53" t="s">
        <v>656</v>
      </c>
      <c r="J1176" s="53" t="s">
        <v>3068</v>
      </c>
    </row>
    <row r="1177" spans="1:10" ht="15" customHeight="1" x14ac:dyDescent="0.35">
      <c r="A1177" s="53" t="s">
        <v>896</v>
      </c>
      <c r="B1177" s="53" t="s">
        <v>3069</v>
      </c>
      <c r="C1177" s="53" t="s">
        <v>1143</v>
      </c>
      <c r="D1177" s="53">
        <v>1</v>
      </c>
      <c r="E1177" s="53" t="s">
        <v>3070</v>
      </c>
      <c r="F1177" s="53" t="s">
        <v>1885</v>
      </c>
      <c r="G1177" s="53" t="s">
        <v>901</v>
      </c>
      <c r="H1177" s="53" t="s">
        <v>902</v>
      </c>
      <c r="I1177" s="53" t="s">
        <v>656</v>
      </c>
      <c r="J1177" s="53" t="s">
        <v>2222</v>
      </c>
    </row>
    <row r="1178" spans="1:10" ht="15" customHeight="1" x14ac:dyDescent="0.35">
      <c r="A1178" s="53" t="s">
        <v>896</v>
      </c>
      <c r="B1178" s="53" t="s">
        <v>3071</v>
      </c>
      <c r="C1178" s="53" t="s">
        <v>1494</v>
      </c>
      <c r="D1178" s="53">
        <v>1</v>
      </c>
      <c r="E1178" s="53" t="s">
        <v>3072</v>
      </c>
      <c r="F1178" s="53" t="s">
        <v>1885</v>
      </c>
      <c r="G1178" s="53" t="s">
        <v>901</v>
      </c>
      <c r="H1178" s="53" t="s">
        <v>902</v>
      </c>
      <c r="I1178" s="53" t="s">
        <v>656</v>
      </c>
      <c r="J1178" s="53" t="s">
        <v>3073</v>
      </c>
    </row>
    <row r="1179" spans="1:10" ht="15" customHeight="1" x14ac:dyDescent="0.35">
      <c r="A1179" s="53" t="s">
        <v>896</v>
      </c>
      <c r="B1179" s="53" t="s">
        <v>3074</v>
      </c>
      <c r="C1179" s="53" t="s">
        <v>1122</v>
      </c>
      <c r="D1179" s="53">
        <v>1</v>
      </c>
      <c r="E1179" s="53" t="s">
        <v>3075</v>
      </c>
      <c r="F1179" s="53" t="s">
        <v>1885</v>
      </c>
      <c r="G1179" s="53" t="s">
        <v>901</v>
      </c>
      <c r="H1179" s="53" t="s">
        <v>902</v>
      </c>
      <c r="I1179" s="53" t="s">
        <v>656</v>
      </c>
      <c r="J1179" s="53" t="s">
        <v>3076</v>
      </c>
    </row>
    <row r="1180" spans="1:10" ht="15" customHeight="1" x14ac:dyDescent="0.35">
      <c r="A1180" s="53" t="s">
        <v>896</v>
      </c>
      <c r="B1180" s="53" t="s">
        <v>3077</v>
      </c>
      <c r="C1180" s="53" t="s">
        <v>2598</v>
      </c>
      <c r="D1180" s="53">
        <v>1</v>
      </c>
      <c r="E1180" s="53" t="s">
        <v>3078</v>
      </c>
      <c r="F1180" s="53" t="s">
        <v>1885</v>
      </c>
      <c r="G1180" s="53" t="s">
        <v>901</v>
      </c>
      <c r="H1180" s="53" t="s">
        <v>902</v>
      </c>
      <c r="I1180" s="53" t="s">
        <v>656</v>
      </c>
      <c r="J1180" s="53" t="s">
        <v>3079</v>
      </c>
    </row>
    <row r="1181" spans="1:10" ht="15" customHeight="1" x14ac:dyDescent="0.35">
      <c r="A1181" s="53" t="s">
        <v>896</v>
      </c>
      <c r="B1181" s="53" t="s">
        <v>3080</v>
      </c>
      <c r="C1181" s="53" t="s">
        <v>1690</v>
      </c>
      <c r="D1181" s="53">
        <v>1</v>
      </c>
      <c r="E1181" s="53" t="s">
        <v>3081</v>
      </c>
      <c r="F1181" s="53" t="s">
        <v>1885</v>
      </c>
      <c r="G1181" s="53" t="s">
        <v>901</v>
      </c>
      <c r="H1181" s="53" t="s">
        <v>902</v>
      </c>
      <c r="I1181" s="53" t="s">
        <v>656</v>
      </c>
      <c r="J1181" s="53" t="s">
        <v>3082</v>
      </c>
    </row>
    <row r="1182" spans="1:10" ht="15" customHeight="1" x14ac:dyDescent="0.35">
      <c r="A1182" s="53" t="s">
        <v>896</v>
      </c>
      <c r="B1182" s="53" t="s">
        <v>3083</v>
      </c>
      <c r="C1182" s="53" t="s">
        <v>1077</v>
      </c>
      <c r="D1182" s="53">
        <v>1</v>
      </c>
      <c r="E1182" s="53" t="s">
        <v>3081</v>
      </c>
      <c r="F1182" s="53" t="s">
        <v>1885</v>
      </c>
      <c r="G1182" s="53" t="s">
        <v>901</v>
      </c>
      <c r="H1182" s="53" t="s">
        <v>902</v>
      </c>
      <c r="I1182" s="53" t="s">
        <v>656</v>
      </c>
      <c r="J1182" s="53" t="s">
        <v>3084</v>
      </c>
    </row>
    <row r="1183" spans="1:10" ht="15" customHeight="1" x14ac:dyDescent="0.35">
      <c r="A1183" s="53" t="s">
        <v>896</v>
      </c>
      <c r="B1183" s="53" t="s">
        <v>3085</v>
      </c>
      <c r="C1183" s="53" t="s">
        <v>2598</v>
      </c>
      <c r="D1183" s="53">
        <v>1</v>
      </c>
      <c r="E1183" s="53" t="s">
        <v>3086</v>
      </c>
      <c r="F1183" s="53" t="s">
        <v>1885</v>
      </c>
      <c r="G1183" s="53" t="s">
        <v>901</v>
      </c>
      <c r="H1183" s="53" t="s">
        <v>902</v>
      </c>
      <c r="I1183" s="53" t="s">
        <v>656</v>
      </c>
      <c r="J1183" s="53" t="s">
        <v>3087</v>
      </c>
    </row>
    <row r="1184" spans="1:10" ht="15" customHeight="1" x14ac:dyDescent="0.35">
      <c r="A1184" s="53" t="s">
        <v>896</v>
      </c>
      <c r="B1184" s="53" t="s">
        <v>3088</v>
      </c>
      <c r="C1184" s="53" t="s">
        <v>1077</v>
      </c>
      <c r="D1184" s="53">
        <v>1</v>
      </c>
      <c r="E1184" s="53" t="s">
        <v>3089</v>
      </c>
      <c r="F1184" s="53" t="s">
        <v>1885</v>
      </c>
      <c r="G1184" s="53" t="s">
        <v>901</v>
      </c>
      <c r="H1184" s="53" t="s">
        <v>902</v>
      </c>
      <c r="I1184" s="53" t="s">
        <v>656</v>
      </c>
      <c r="J1184" s="53" t="s">
        <v>3090</v>
      </c>
    </row>
    <row r="1185" spans="1:10" ht="15" customHeight="1" x14ac:dyDescent="0.35">
      <c r="A1185" s="53" t="s">
        <v>896</v>
      </c>
      <c r="B1185" s="53" t="s">
        <v>3091</v>
      </c>
      <c r="C1185" s="53" t="s">
        <v>942</v>
      </c>
      <c r="D1185" s="53">
        <v>1</v>
      </c>
      <c r="E1185" s="53" t="s">
        <v>3089</v>
      </c>
      <c r="F1185" s="53" t="s">
        <v>1885</v>
      </c>
      <c r="G1185" s="53" t="s">
        <v>901</v>
      </c>
      <c r="H1185" s="53" t="s">
        <v>902</v>
      </c>
      <c r="I1185" s="53" t="s">
        <v>656</v>
      </c>
      <c r="J1185" s="53" t="s">
        <v>3092</v>
      </c>
    </row>
    <row r="1186" spans="1:10" ht="15" customHeight="1" x14ac:dyDescent="0.35">
      <c r="A1186" s="53" t="s">
        <v>896</v>
      </c>
      <c r="B1186" s="53" t="s">
        <v>3093</v>
      </c>
      <c r="C1186" s="53" t="s">
        <v>1122</v>
      </c>
      <c r="D1186" s="53">
        <v>1</v>
      </c>
      <c r="E1186" s="53" t="s">
        <v>3089</v>
      </c>
      <c r="F1186" s="53" t="s">
        <v>1885</v>
      </c>
      <c r="G1186" s="53" t="s">
        <v>901</v>
      </c>
      <c r="H1186" s="53" t="s">
        <v>902</v>
      </c>
      <c r="I1186" s="53" t="s">
        <v>656</v>
      </c>
      <c r="J1186" s="53" t="s">
        <v>3094</v>
      </c>
    </row>
    <row r="1187" spans="1:10" ht="15" customHeight="1" x14ac:dyDescent="0.35">
      <c r="A1187" s="53" t="s">
        <v>896</v>
      </c>
      <c r="B1187" s="53" t="s">
        <v>3095</v>
      </c>
      <c r="C1187" s="53" t="s">
        <v>1122</v>
      </c>
      <c r="D1187" s="53">
        <v>1</v>
      </c>
      <c r="E1187" s="53" t="s">
        <v>3089</v>
      </c>
      <c r="F1187" s="53" t="s">
        <v>1885</v>
      </c>
      <c r="G1187" s="53" t="s">
        <v>901</v>
      </c>
      <c r="H1187" s="53" t="s">
        <v>902</v>
      </c>
      <c r="I1187" s="53" t="s">
        <v>656</v>
      </c>
      <c r="J1187" s="53" t="s">
        <v>3096</v>
      </c>
    </row>
    <row r="1188" spans="1:10" ht="15" customHeight="1" x14ac:dyDescent="0.35">
      <c r="A1188" s="53" t="s">
        <v>896</v>
      </c>
      <c r="B1188" s="53" t="s">
        <v>3097</v>
      </c>
      <c r="C1188" s="53" t="s">
        <v>1299</v>
      </c>
      <c r="D1188" s="53">
        <v>1</v>
      </c>
      <c r="E1188" s="53" t="s">
        <v>3055</v>
      </c>
      <c r="F1188" s="53" t="s">
        <v>1885</v>
      </c>
      <c r="G1188" s="53" t="s">
        <v>901</v>
      </c>
      <c r="H1188" s="53" t="s">
        <v>902</v>
      </c>
      <c r="I1188" s="53" t="s">
        <v>656</v>
      </c>
      <c r="J1188" s="53" t="s">
        <v>3098</v>
      </c>
    </row>
    <row r="1189" spans="1:10" ht="15" customHeight="1" x14ac:dyDescent="0.35">
      <c r="A1189" s="53" t="s">
        <v>896</v>
      </c>
      <c r="B1189" s="53" t="s">
        <v>3099</v>
      </c>
      <c r="C1189" s="53" t="s">
        <v>1122</v>
      </c>
      <c r="D1189" s="53">
        <v>1</v>
      </c>
      <c r="E1189" s="53" t="s">
        <v>3055</v>
      </c>
      <c r="F1189" s="53" t="s">
        <v>1885</v>
      </c>
      <c r="G1189" s="53" t="s">
        <v>901</v>
      </c>
      <c r="H1189" s="53" t="s">
        <v>902</v>
      </c>
      <c r="I1189" s="53" t="s">
        <v>656</v>
      </c>
      <c r="J1189" s="53" t="s">
        <v>3100</v>
      </c>
    </row>
    <row r="1190" spans="1:10" ht="15" customHeight="1" x14ac:dyDescent="0.35">
      <c r="A1190" s="53" t="s">
        <v>896</v>
      </c>
      <c r="B1190" s="53" t="s">
        <v>3101</v>
      </c>
      <c r="C1190" s="53" t="s">
        <v>1077</v>
      </c>
      <c r="D1190" s="53">
        <v>1</v>
      </c>
      <c r="E1190" s="53" t="s">
        <v>3102</v>
      </c>
      <c r="F1190" s="53" t="s">
        <v>1885</v>
      </c>
      <c r="G1190" s="53" t="s">
        <v>901</v>
      </c>
      <c r="H1190" s="53" t="s">
        <v>902</v>
      </c>
      <c r="I1190" s="53" t="s">
        <v>656</v>
      </c>
      <c r="J1190" s="53" t="s">
        <v>3103</v>
      </c>
    </row>
    <row r="1191" spans="1:10" ht="15" customHeight="1" x14ac:dyDescent="0.35">
      <c r="A1191" s="53" t="s">
        <v>896</v>
      </c>
      <c r="B1191" s="53" t="s">
        <v>3104</v>
      </c>
      <c r="C1191" s="53" t="s">
        <v>921</v>
      </c>
      <c r="D1191" s="53">
        <v>1</v>
      </c>
      <c r="E1191" s="53" t="s">
        <v>3102</v>
      </c>
      <c r="F1191" s="53" t="s">
        <v>1885</v>
      </c>
      <c r="G1191" s="53" t="s">
        <v>901</v>
      </c>
      <c r="H1191" s="53" t="s">
        <v>902</v>
      </c>
      <c r="I1191" s="53" t="s">
        <v>656</v>
      </c>
      <c r="J1191" s="53" t="s">
        <v>3105</v>
      </c>
    </row>
    <row r="1192" spans="1:10" ht="15" customHeight="1" x14ac:dyDescent="0.35">
      <c r="A1192" s="53" t="s">
        <v>896</v>
      </c>
      <c r="B1192" s="53" t="s">
        <v>3106</v>
      </c>
      <c r="C1192" s="53" t="s">
        <v>2257</v>
      </c>
      <c r="D1192" s="53">
        <v>1</v>
      </c>
      <c r="E1192" s="53" t="s">
        <v>3102</v>
      </c>
      <c r="F1192" s="53" t="s">
        <v>1885</v>
      </c>
      <c r="G1192" s="53" t="s">
        <v>901</v>
      </c>
      <c r="H1192" s="53" t="s">
        <v>902</v>
      </c>
      <c r="I1192" s="53" t="s">
        <v>656</v>
      </c>
      <c r="J1192" s="53" t="s">
        <v>3107</v>
      </c>
    </row>
    <row r="1193" spans="1:10" ht="15" customHeight="1" x14ac:dyDescent="0.35">
      <c r="A1193" s="53" t="s">
        <v>896</v>
      </c>
      <c r="B1193" s="53" t="s">
        <v>3108</v>
      </c>
      <c r="C1193" s="53" t="s">
        <v>1077</v>
      </c>
      <c r="D1193" s="53">
        <v>1</v>
      </c>
      <c r="E1193" s="53" t="s">
        <v>3102</v>
      </c>
      <c r="F1193" s="53" t="s">
        <v>1885</v>
      </c>
      <c r="G1193" s="53" t="s">
        <v>901</v>
      </c>
      <c r="H1193" s="53" t="s">
        <v>902</v>
      </c>
      <c r="I1193" s="53" t="s">
        <v>656</v>
      </c>
      <c r="J1193" s="53" t="s">
        <v>3109</v>
      </c>
    </row>
    <row r="1194" spans="1:10" ht="15" customHeight="1" x14ac:dyDescent="0.35">
      <c r="A1194" s="53" t="s">
        <v>896</v>
      </c>
      <c r="B1194" s="53" t="s">
        <v>3110</v>
      </c>
      <c r="C1194" s="53" t="s">
        <v>1077</v>
      </c>
      <c r="D1194" s="53">
        <v>1</v>
      </c>
      <c r="E1194" s="53" t="s">
        <v>3102</v>
      </c>
      <c r="F1194" s="53" t="s">
        <v>1885</v>
      </c>
      <c r="G1194" s="53" t="s">
        <v>901</v>
      </c>
      <c r="H1194" s="53" t="s">
        <v>902</v>
      </c>
      <c r="I1194" s="53" t="s">
        <v>656</v>
      </c>
      <c r="J1194" s="53" t="s">
        <v>3111</v>
      </c>
    </row>
    <row r="1195" spans="1:10" ht="15" customHeight="1" x14ac:dyDescent="0.35">
      <c r="A1195" s="53" t="s">
        <v>896</v>
      </c>
      <c r="B1195" s="53" t="s">
        <v>3112</v>
      </c>
      <c r="C1195" s="53" t="s">
        <v>1077</v>
      </c>
      <c r="D1195" s="53">
        <v>1</v>
      </c>
      <c r="E1195" s="53" t="s">
        <v>3113</v>
      </c>
      <c r="F1195" s="53" t="s">
        <v>1885</v>
      </c>
      <c r="G1195" s="53" t="s">
        <v>901</v>
      </c>
      <c r="H1195" s="53" t="s">
        <v>902</v>
      </c>
      <c r="I1195" s="53" t="s">
        <v>656</v>
      </c>
      <c r="J1195" s="53" t="s">
        <v>3114</v>
      </c>
    </row>
    <row r="1196" spans="1:10" ht="15" customHeight="1" x14ac:dyDescent="0.35">
      <c r="A1196" s="53" t="s">
        <v>896</v>
      </c>
      <c r="B1196" s="53" t="s">
        <v>3115</v>
      </c>
      <c r="C1196" s="53" t="s">
        <v>963</v>
      </c>
      <c r="D1196" s="53">
        <v>1</v>
      </c>
      <c r="E1196" s="53" t="s">
        <v>3113</v>
      </c>
      <c r="F1196" s="53" t="s">
        <v>1885</v>
      </c>
      <c r="G1196" s="53" t="s">
        <v>901</v>
      </c>
      <c r="H1196" s="53" t="s">
        <v>902</v>
      </c>
      <c r="I1196" s="53" t="s">
        <v>656</v>
      </c>
      <c r="J1196" s="53" t="s">
        <v>3116</v>
      </c>
    </row>
    <row r="1197" spans="1:10" ht="15" customHeight="1" x14ac:dyDescent="0.35">
      <c r="A1197" s="53" t="s">
        <v>896</v>
      </c>
      <c r="B1197" s="53" t="s">
        <v>3117</v>
      </c>
      <c r="C1197" s="53" t="s">
        <v>921</v>
      </c>
      <c r="D1197" s="53">
        <v>1</v>
      </c>
      <c r="E1197" s="53" t="s">
        <v>3113</v>
      </c>
      <c r="F1197" s="53" t="s">
        <v>1885</v>
      </c>
      <c r="G1197" s="53" t="s">
        <v>901</v>
      </c>
      <c r="H1197" s="53" t="s">
        <v>902</v>
      </c>
      <c r="I1197" s="53" t="s">
        <v>656</v>
      </c>
      <c r="J1197" s="53" t="s">
        <v>3118</v>
      </c>
    </row>
    <row r="1198" spans="1:10" ht="15" customHeight="1" x14ac:dyDescent="0.35">
      <c r="A1198" s="53" t="s">
        <v>896</v>
      </c>
      <c r="B1198" s="53" t="s">
        <v>3119</v>
      </c>
      <c r="C1198" s="53" t="s">
        <v>1077</v>
      </c>
      <c r="D1198" s="53">
        <v>1</v>
      </c>
      <c r="E1198" s="53" t="s">
        <v>3113</v>
      </c>
      <c r="F1198" s="53" t="s">
        <v>1885</v>
      </c>
      <c r="G1198" s="53" t="s">
        <v>901</v>
      </c>
      <c r="H1198" s="53" t="s">
        <v>902</v>
      </c>
      <c r="I1198" s="53" t="s">
        <v>656</v>
      </c>
      <c r="J1198" s="53" t="s">
        <v>3120</v>
      </c>
    </row>
    <row r="1199" spans="1:10" ht="15" customHeight="1" x14ac:dyDescent="0.35">
      <c r="A1199" s="53" t="s">
        <v>896</v>
      </c>
      <c r="B1199" s="53" t="s">
        <v>3121</v>
      </c>
      <c r="C1199" s="53" t="s">
        <v>1494</v>
      </c>
      <c r="D1199" s="53">
        <v>1</v>
      </c>
      <c r="E1199" s="53" t="s">
        <v>3113</v>
      </c>
      <c r="F1199" s="53" t="s">
        <v>1885</v>
      </c>
      <c r="G1199" s="53" t="s">
        <v>901</v>
      </c>
      <c r="H1199" s="53" t="s">
        <v>902</v>
      </c>
      <c r="I1199" s="53" t="s">
        <v>656</v>
      </c>
      <c r="J1199" s="53" t="s">
        <v>1946</v>
      </c>
    </row>
    <row r="1200" spans="1:10" ht="15" customHeight="1" x14ac:dyDescent="0.35">
      <c r="A1200" s="53" t="s">
        <v>896</v>
      </c>
      <c r="B1200" s="53" t="s">
        <v>3122</v>
      </c>
      <c r="C1200" s="53" t="s">
        <v>1077</v>
      </c>
      <c r="D1200" s="53">
        <v>1</v>
      </c>
      <c r="E1200" s="53" t="s">
        <v>3123</v>
      </c>
      <c r="F1200" s="53" t="s">
        <v>1885</v>
      </c>
      <c r="G1200" s="53" t="s">
        <v>901</v>
      </c>
      <c r="H1200" s="53" t="s">
        <v>902</v>
      </c>
      <c r="I1200" s="53" t="s">
        <v>656</v>
      </c>
      <c r="J1200" s="53" t="s">
        <v>3124</v>
      </c>
    </row>
    <row r="1201" spans="1:10" ht="15" customHeight="1" x14ac:dyDescent="0.35">
      <c r="A1201" s="53" t="s">
        <v>896</v>
      </c>
      <c r="B1201" s="53" t="s">
        <v>3125</v>
      </c>
      <c r="C1201" s="53" t="s">
        <v>1077</v>
      </c>
      <c r="D1201" s="53">
        <v>1</v>
      </c>
      <c r="E1201" s="53" t="s">
        <v>3123</v>
      </c>
      <c r="F1201" s="53" t="s">
        <v>1885</v>
      </c>
      <c r="G1201" s="53" t="s">
        <v>901</v>
      </c>
      <c r="H1201" s="53" t="s">
        <v>902</v>
      </c>
      <c r="I1201" s="53" t="s">
        <v>656</v>
      </c>
      <c r="J1201" s="53" t="s">
        <v>3126</v>
      </c>
    </row>
    <row r="1202" spans="1:10" ht="15" customHeight="1" x14ac:dyDescent="0.35">
      <c r="A1202" s="53" t="s">
        <v>896</v>
      </c>
      <c r="B1202" s="53" t="s">
        <v>3127</v>
      </c>
      <c r="C1202" s="53" t="s">
        <v>1817</v>
      </c>
      <c r="D1202" s="53">
        <v>1</v>
      </c>
      <c r="E1202" s="53" t="s">
        <v>3123</v>
      </c>
      <c r="F1202" s="53" t="s">
        <v>1885</v>
      </c>
      <c r="G1202" s="53" t="s">
        <v>901</v>
      </c>
      <c r="H1202" s="53" t="s">
        <v>902</v>
      </c>
      <c r="I1202" s="53" t="s">
        <v>656</v>
      </c>
      <c r="J1202" s="53" t="s">
        <v>3128</v>
      </c>
    </row>
    <row r="1203" spans="1:10" ht="15" customHeight="1" x14ac:dyDescent="0.35">
      <c r="A1203" s="53" t="s">
        <v>896</v>
      </c>
      <c r="B1203" s="53" t="s">
        <v>3129</v>
      </c>
      <c r="C1203" s="53" t="s">
        <v>2257</v>
      </c>
      <c r="D1203" s="53">
        <v>1</v>
      </c>
      <c r="E1203" s="53" t="s">
        <v>3123</v>
      </c>
      <c r="F1203" s="53" t="s">
        <v>1885</v>
      </c>
      <c r="G1203" s="53" t="s">
        <v>901</v>
      </c>
      <c r="H1203" s="53" t="s">
        <v>902</v>
      </c>
      <c r="I1203" s="53" t="s">
        <v>656</v>
      </c>
      <c r="J1203" s="53" t="s">
        <v>3130</v>
      </c>
    </row>
    <row r="1204" spans="1:10" ht="15" customHeight="1" x14ac:dyDescent="0.35">
      <c r="A1204" s="53" t="s">
        <v>896</v>
      </c>
      <c r="B1204" s="53" t="s">
        <v>3131</v>
      </c>
      <c r="C1204" s="53" t="s">
        <v>1077</v>
      </c>
      <c r="D1204" s="53">
        <v>1</v>
      </c>
      <c r="E1204" s="53" t="s">
        <v>3123</v>
      </c>
      <c r="F1204" s="53" t="s">
        <v>1885</v>
      </c>
      <c r="G1204" s="53" t="s">
        <v>901</v>
      </c>
      <c r="H1204" s="53" t="s">
        <v>902</v>
      </c>
      <c r="I1204" s="53" t="s">
        <v>656</v>
      </c>
      <c r="J1204" s="53" t="s">
        <v>3132</v>
      </c>
    </row>
    <row r="1205" spans="1:10" ht="15" customHeight="1" x14ac:dyDescent="0.35">
      <c r="A1205" s="53" t="s">
        <v>896</v>
      </c>
      <c r="B1205" s="53" t="s">
        <v>3133</v>
      </c>
      <c r="C1205" s="53" t="s">
        <v>1122</v>
      </c>
      <c r="D1205" s="53">
        <v>1</v>
      </c>
      <c r="E1205" s="53" t="s">
        <v>3123</v>
      </c>
      <c r="F1205" s="53" t="s">
        <v>1885</v>
      </c>
      <c r="G1205" s="53" t="s">
        <v>901</v>
      </c>
      <c r="H1205" s="53" t="s">
        <v>902</v>
      </c>
      <c r="I1205" s="53" t="s">
        <v>656</v>
      </c>
      <c r="J1205" s="53" t="s">
        <v>3134</v>
      </c>
    </row>
    <row r="1206" spans="1:10" ht="15" customHeight="1" x14ac:dyDescent="0.35">
      <c r="A1206" s="53" t="s">
        <v>896</v>
      </c>
      <c r="B1206" s="53" t="s">
        <v>3135</v>
      </c>
      <c r="C1206" s="53" t="s">
        <v>1077</v>
      </c>
      <c r="D1206" s="53">
        <v>1</v>
      </c>
      <c r="E1206" s="53" t="s">
        <v>3123</v>
      </c>
      <c r="F1206" s="53" t="s">
        <v>1885</v>
      </c>
      <c r="G1206" s="53" t="s">
        <v>901</v>
      </c>
      <c r="H1206" s="53" t="s">
        <v>902</v>
      </c>
      <c r="I1206" s="53" t="s">
        <v>656</v>
      </c>
      <c r="J1206" s="53" t="s">
        <v>3136</v>
      </c>
    </row>
    <row r="1207" spans="1:10" ht="15" customHeight="1" x14ac:dyDescent="0.35">
      <c r="A1207" s="53" t="s">
        <v>896</v>
      </c>
      <c r="B1207" s="53" t="s">
        <v>3137</v>
      </c>
      <c r="C1207" s="53" t="s">
        <v>1077</v>
      </c>
      <c r="D1207" s="53">
        <v>1</v>
      </c>
      <c r="E1207" s="53" t="s">
        <v>3058</v>
      </c>
      <c r="F1207" s="53" t="s">
        <v>1885</v>
      </c>
      <c r="G1207" s="53" t="s">
        <v>901</v>
      </c>
      <c r="H1207" s="53" t="s">
        <v>902</v>
      </c>
      <c r="I1207" s="53" t="s">
        <v>656</v>
      </c>
      <c r="J1207" s="53" t="s">
        <v>3138</v>
      </c>
    </row>
    <row r="1208" spans="1:10" ht="15" customHeight="1" x14ac:dyDescent="0.35">
      <c r="A1208" s="53" t="s">
        <v>896</v>
      </c>
      <c r="B1208" s="53" t="s">
        <v>3139</v>
      </c>
      <c r="C1208" s="53" t="s">
        <v>1077</v>
      </c>
      <c r="D1208" s="53">
        <v>1</v>
      </c>
      <c r="E1208" s="53" t="s">
        <v>3058</v>
      </c>
      <c r="F1208" s="53" t="s">
        <v>1885</v>
      </c>
      <c r="G1208" s="53" t="s">
        <v>901</v>
      </c>
      <c r="H1208" s="53" t="s">
        <v>902</v>
      </c>
      <c r="I1208" s="53" t="s">
        <v>656</v>
      </c>
      <c r="J1208" s="53" t="s">
        <v>3140</v>
      </c>
    </row>
    <row r="1209" spans="1:10" ht="15" customHeight="1" x14ac:dyDescent="0.35">
      <c r="A1209" s="53" t="s">
        <v>896</v>
      </c>
      <c r="B1209" s="53" t="s">
        <v>3141</v>
      </c>
      <c r="C1209" s="53" t="s">
        <v>1690</v>
      </c>
      <c r="D1209" s="53">
        <v>1</v>
      </c>
      <c r="E1209" s="53" t="s">
        <v>3058</v>
      </c>
      <c r="F1209" s="53" t="s">
        <v>1885</v>
      </c>
      <c r="G1209" s="53" t="s">
        <v>901</v>
      </c>
      <c r="H1209" s="53" t="s">
        <v>902</v>
      </c>
      <c r="I1209" s="53" t="s">
        <v>656</v>
      </c>
      <c r="J1209" s="53" t="s">
        <v>3142</v>
      </c>
    </row>
    <row r="1210" spans="1:10" ht="15" customHeight="1" x14ac:dyDescent="0.35">
      <c r="A1210" s="53" t="s">
        <v>896</v>
      </c>
      <c r="B1210" s="53" t="s">
        <v>3143</v>
      </c>
      <c r="C1210" s="53" t="s">
        <v>1077</v>
      </c>
      <c r="D1210" s="53">
        <v>1</v>
      </c>
      <c r="E1210" s="53" t="s">
        <v>3058</v>
      </c>
      <c r="F1210" s="53" t="s">
        <v>1885</v>
      </c>
      <c r="G1210" s="53" t="s">
        <v>901</v>
      </c>
      <c r="H1210" s="53" t="s">
        <v>902</v>
      </c>
      <c r="I1210" s="53" t="s">
        <v>656</v>
      </c>
      <c r="J1210" s="53" t="s">
        <v>3144</v>
      </c>
    </row>
    <row r="1211" spans="1:10" ht="15" customHeight="1" x14ac:dyDescent="0.35">
      <c r="A1211" s="53" t="s">
        <v>896</v>
      </c>
      <c r="B1211" s="53" t="s">
        <v>3145</v>
      </c>
      <c r="C1211" s="53" t="s">
        <v>1136</v>
      </c>
      <c r="D1211" s="53">
        <v>1</v>
      </c>
      <c r="E1211" s="53" t="s">
        <v>3058</v>
      </c>
      <c r="F1211" s="53" t="s">
        <v>1885</v>
      </c>
      <c r="G1211" s="53" t="s">
        <v>901</v>
      </c>
      <c r="H1211" s="53" t="s">
        <v>902</v>
      </c>
      <c r="I1211" s="53" t="s">
        <v>656</v>
      </c>
      <c r="J1211" s="53" t="s">
        <v>1492</v>
      </c>
    </row>
    <row r="1212" spans="1:10" ht="15" customHeight="1" x14ac:dyDescent="0.35">
      <c r="A1212" s="53" t="s">
        <v>896</v>
      </c>
      <c r="B1212" s="53" t="s">
        <v>3146</v>
      </c>
      <c r="C1212" s="53" t="s">
        <v>3052</v>
      </c>
      <c r="D1212" s="53">
        <v>1</v>
      </c>
      <c r="E1212" s="53" t="s">
        <v>3058</v>
      </c>
      <c r="F1212" s="53" t="s">
        <v>1885</v>
      </c>
      <c r="G1212" s="53" t="s">
        <v>901</v>
      </c>
      <c r="H1212" s="53" t="s">
        <v>902</v>
      </c>
      <c r="I1212" s="53" t="s">
        <v>656</v>
      </c>
      <c r="J1212" s="53" t="s">
        <v>3147</v>
      </c>
    </row>
    <row r="1213" spans="1:10" ht="15" customHeight="1" x14ac:dyDescent="0.35">
      <c r="A1213" s="53" t="s">
        <v>896</v>
      </c>
      <c r="B1213" s="53" t="s">
        <v>3148</v>
      </c>
      <c r="C1213" s="53" t="s">
        <v>2598</v>
      </c>
      <c r="D1213" s="53">
        <v>1</v>
      </c>
      <c r="E1213" s="53" t="s">
        <v>3058</v>
      </c>
      <c r="F1213" s="53" t="s">
        <v>1885</v>
      </c>
      <c r="G1213" s="53" t="s">
        <v>901</v>
      </c>
      <c r="H1213" s="53" t="s">
        <v>902</v>
      </c>
      <c r="I1213" s="53" t="s">
        <v>656</v>
      </c>
      <c r="J1213" s="53" t="s">
        <v>3149</v>
      </c>
    </row>
    <row r="1214" spans="1:10" ht="15" customHeight="1" x14ac:dyDescent="0.35">
      <c r="A1214" s="53" t="s">
        <v>896</v>
      </c>
      <c r="B1214" s="53" t="s">
        <v>3150</v>
      </c>
      <c r="C1214" s="53" t="s">
        <v>1077</v>
      </c>
      <c r="D1214" s="53">
        <v>1</v>
      </c>
      <c r="E1214" s="53" t="s">
        <v>3058</v>
      </c>
      <c r="F1214" s="53" t="s">
        <v>1885</v>
      </c>
      <c r="G1214" s="53" t="s">
        <v>901</v>
      </c>
      <c r="H1214" s="53" t="s">
        <v>902</v>
      </c>
      <c r="I1214" s="53" t="s">
        <v>656</v>
      </c>
      <c r="J1214" s="53" t="s">
        <v>3151</v>
      </c>
    </row>
    <row r="1215" spans="1:10" ht="15" customHeight="1" x14ac:dyDescent="0.35">
      <c r="A1215" s="53" t="s">
        <v>896</v>
      </c>
      <c r="B1215" s="53" t="s">
        <v>3152</v>
      </c>
      <c r="C1215" s="53" t="s">
        <v>963</v>
      </c>
      <c r="D1215" s="53">
        <v>1</v>
      </c>
      <c r="E1215" s="53" t="s">
        <v>3058</v>
      </c>
      <c r="F1215" s="53" t="s">
        <v>1885</v>
      </c>
      <c r="G1215" s="53" t="s">
        <v>901</v>
      </c>
      <c r="H1215" s="53" t="s">
        <v>902</v>
      </c>
      <c r="I1215" s="53" t="s">
        <v>656</v>
      </c>
      <c r="J1215" s="53" t="s">
        <v>3153</v>
      </c>
    </row>
    <row r="1216" spans="1:10" ht="15" customHeight="1" x14ac:dyDescent="0.35">
      <c r="A1216" s="53" t="s">
        <v>896</v>
      </c>
      <c r="B1216" s="53" t="s">
        <v>3154</v>
      </c>
      <c r="C1216" s="53" t="s">
        <v>1697</v>
      </c>
      <c r="D1216" s="53">
        <v>1</v>
      </c>
      <c r="E1216" s="53" t="s">
        <v>3058</v>
      </c>
      <c r="F1216" s="53" t="s">
        <v>1885</v>
      </c>
      <c r="G1216" s="53" t="s">
        <v>901</v>
      </c>
      <c r="H1216" s="53" t="s">
        <v>902</v>
      </c>
      <c r="I1216" s="53" t="s">
        <v>656</v>
      </c>
      <c r="J1216" s="53" t="s">
        <v>3155</v>
      </c>
    </row>
    <row r="1217" spans="1:10" ht="15" customHeight="1" x14ac:dyDescent="0.35">
      <c r="A1217" s="53" t="s">
        <v>896</v>
      </c>
      <c r="B1217" s="53" t="s">
        <v>3156</v>
      </c>
      <c r="C1217" s="53" t="s">
        <v>1731</v>
      </c>
      <c r="D1217" s="53">
        <v>1</v>
      </c>
      <c r="E1217" s="53" t="s">
        <v>3058</v>
      </c>
      <c r="F1217" s="53" t="s">
        <v>1885</v>
      </c>
      <c r="G1217" s="53" t="s">
        <v>901</v>
      </c>
      <c r="H1217" s="53" t="s">
        <v>902</v>
      </c>
      <c r="I1217" s="53" t="s">
        <v>656</v>
      </c>
      <c r="J1217" s="53" t="s">
        <v>3157</v>
      </c>
    </row>
    <row r="1218" spans="1:10" ht="15" customHeight="1" x14ac:dyDescent="0.35">
      <c r="A1218" s="53" t="s">
        <v>896</v>
      </c>
      <c r="B1218" s="53" t="s">
        <v>3158</v>
      </c>
      <c r="C1218" s="53" t="s">
        <v>1118</v>
      </c>
      <c r="D1218" s="53">
        <v>1</v>
      </c>
      <c r="E1218" s="53" t="s">
        <v>3159</v>
      </c>
      <c r="F1218" s="53" t="s">
        <v>1885</v>
      </c>
      <c r="G1218" s="53" t="s">
        <v>901</v>
      </c>
      <c r="H1218" s="53" t="s">
        <v>902</v>
      </c>
      <c r="I1218" s="53" t="s">
        <v>656</v>
      </c>
      <c r="J1218" s="53" t="s">
        <v>3160</v>
      </c>
    </row>
    <row r="1219" spans="1:10" ht="15" customHeight="1" x14ac:dyDescent="0.35">
      <c r="A1219" s="53" t="s">
        <v>896</v>
      </c>
      <c r="B1219" s="53" t="s">
        <v>3161</v>
      </c>
      <c r="C1219" s="53" t="s">
        <v>2257</v>
      </c>
      <c r="D1219" s="53">
        <v>1</v>
      </c>
      <c r="E1219" s="53" t="s">
        <v>3159</v>
      </c>
      <c r="F1219" s="53" t="s">
        <v>1885</v>
      </c>
      <c r="G1219" s="53" t="s">
        <v>901</v>
      </c>
      <c r="H1219" s="53" t="s">
        <v>902</v>
      </c>
      <c r="I1219" s="53" t="s">
        <v>656</v>
      </c>
      <c r="J1219" s="53" t="s">
        <v>3162</v>
      </c>
    </row>
    <row r="1220" spans="1:10" ht="15" customHeight="1" x14ac:dyDescent="0.35">
      <c r="A1220" s="53" t="s">
        <v>896</v>
      </c>
      <c r="B1220" s="53" t="s">
        <v>3163</v>
      </c>
      <c r="C1220" s="53" t="s">
        <v>1077</v>
      </c>
      <c r="D1220" s="53">
        <v>1</v>
      </c>
      <c r="E1220" s="53" t="s">
        <v>3159</v>
      </c>
      <c r="F1220" s="53" t="s">
        <v>1885</v>
      </c>
      <c r="G1220" s="53" t="s">
        <v>901</v>
      </c>
      <c r="H1220" s="53" t="s">
        <v>902</v>
      </c>
      <c r="I1220" s="53" t="s">
        <v>656</v>
      </c>
      <c r="J1220" s="53" t="s">
        <v>2402</v>
      </c>
    </row>
    <row r="1221" spans="1:10" ht="15" customHeight="1" x14ac:dyDescent="0.35">
      <c r="A1221" s="53" t="s">
        <v>896</v>
      </c>
      <c r="B1221" s="53" t="s">
        <v>3164</v>
      </c>
      <c r="C1221" s="53" t="s">
        <v>898</v>
      </c>
      <c r="D1221" s="53">
        <v>1</v>
      </c>
      <c r="E1221" s="53" t="s">
        <v>3159</v>
      </c>
      <c r="F1221" s="53" t="s">
        <v>1885</v>
      </c>
      <c r="G1221" s="53" t="s">
        <v>901</v>
      </c>
      <c r="H1221" s="53" t="s">
        <v>902</v>
      </c>
      <c r="I1221" s="53" t="s">
        <v>656</v>
      </c>
      <c r="J1221" s="53" t="s">
        <v>3165</v>
      </c>
    </row>
    <row r="1222" spans="1:10" ht="15" customHeight="1" x14ac:dyDescent="0.35">
      <c r="A1222" s="53" t="s">
        <v>896</v>
      </c>
      <c r="B1222" s="53" t="s">
        <v>3166</v>
      </c>
      <c r="C1222" s="53" t="s">
        <v>1118</v>
      </c>
      <c r="D1222" s="53">
        <v>1</v>
      </c>
      <c r="E1222" s="53" t="s">
        <v>3159</v>
      </c>
      <c r="F1222" s="53" t="s">
        <v>1885</v>
      </c>
      <c r="G1222" s="53" t="s">
        <v>901</v>
      </c>
      <c r="H1222" s="53" t="s">
        <v>902</v>
      </c>
      <c r="I1222" s="53" t="s">
        <v>656</v>
      </c>
      <c r="J1222" s="53" t="s">
        <v>3167</v>
      </c>
    </row>
    <row r="1223" spans="1:10" ht="15" customHeight="1" x14ac:dyDescent="0.35">
      <c r="A1223" s="53" t="s">
        <v>896</v>
      </c>
      <c r="B1223" s="53" t="s">
        <v>3168</v>
      </c>
      <c r="C1223" s="53" t="s">
        <v>1084</v>
      </c>
      <c r="D1223" s="53">
        <v>1</v>
      </c>
      <c r="E1223" s="53" t="s">
        <v>3159</v>
      </c>
      <c r="F1223" s="53" t="s">
        <v>1885</v>
      </c>
      <c r="G1223" s="53" t="s">
        <v>901</v>
      </c>
      <c r="H1223" s="53" t="s">
        <v>902</v>
      </c>
      <c r="I1223" s="53" t="s">
        <v>656</v>
      </c>
      <c r="J1223" s="53" t="s">
        <v>3169</v>
      </c>
    </row>
    <row r="1224" spans="1:10" ht="15" customHeight="1" x14ac:dyDescent="0.35">
      <c r="A1224" s="53" t="s">
        <v>896</v>
      </c>
      <c r="B1224" s="53" t="s">
        <v>3170</v>
      </c>
      <c r="C1224" s="53" t="s">
        <v>1077</v>
      </c>
      <c r="D1224" s="53">
        <v>1</v>
      </c>
      <c r="E1224" s="53" t="s">
        <v>3159</v>
      </c>
      <c r="F1224" s="53" t="s">
        <v>1885</v>
      </c>
      <c r="G1224" s="53" t="s">
        <v>901</v>
      </c>
      <c r="H1224" s="53" t="s">
        <v>902</v>
      </c>
      <c r="I1224" s="53" t="s">
        <v>656</v>
      </c>
      <c r="J1224" s="53" t="s">
        <v>3171</v>
      </c>
    </row>
    <row r="1225" spans="1:10" ht="15" customHeight="1" x14ac:dyDescent="0.35">
      <c r="A1225" s="53" t="s">
        <v>896</v>
      </c>
      <c r="B1225" s="53" t="s">
        <v>3172</v>
      </c>
      <c r="C1225" s="53" t="s">
        <v>1118</v>
      </c>
      <c r="D1225" s="53">
        <v>1</v>
      </c>
      <c r="E1225" s="53" t="s">
        <v>3159</v>
      </c>
      <c r="F1225" s="53" t="s">
        <v>1885</v>
      </c>
      <c r="G1225" s="53" t="s">
        <v>901</v>
      </c>
      <c r="H1225" s="53" t="s">
        <v>902</v>
      </c>
      <c r="I1225" s="53" t="s">
        <v>656</v>
      </c>
      <c r="J1225" s="53" t="s">
        <v>3173</v>
      </c>
    </row>
    <row r="1226" spans="1:10" ht="15" customHeight="1" x14ac:dyDescent="0.35">
      <c r="A1226" s="53" t="s">
        <v>896</v>
      </c>
      <c r="B1226" s="53" t="s">
        <v>3174</v>
      </c>
      <c r="C1226" s="53" t="s">
        <v>963</v>
      </c>
      <c r="D1226" s="53">
        <v>1</v>
      </c>
      <c r="E1226" s="53" t="s">
        <v>3159</v>
      </c>
      <c r="F1226" s="53" t="s">
        <v>1885</v>
      </c>
      <c r="G1226" s="53" t="s">
        <v>901</v>
      </c>
      <c r="H1226" s="53" t="s">
        <v>902</v>
      </c>
      <c r="I1226" s="53" t="s">
        <v>656</v>
      </c>
      <c r="J1226" s="53" t="s">
        <v>3175</v>
      </c>
    </row>
    <row r="1227" spans="1:10" ht="15" customHeight="1" x14ac:dyDescent="0.35">
      <c r="A1227" s="53" t="s">
        <v>896</v>
      </c>
      <c r="B1227" s="53" t="s">
        <v>3176</v>
      </c>
      <c r="C1227" s="53" t="s">
        <v>959</v>
      </c>
      <c r="D1227" s="53">
        <v>1</v>
      </c>
      <c r="E1227" s="53" t="s">
        <v>3159</v>
      </c>
      <c r="F1227" s="53" t="s">
        <v>1885</v>
      </c>
      <c r="G1227" s="53" t="s">
        <v>901</v>
      </c>
      <c r="H1227" s="53" t="s">
        <v>902</v>
      </c>
      <c r="I1227" s="53" t="s">
        <v>656</v>
      </c>
      <c r="J1227" s="53" t="s">
        <v>3177</v>
      </c>
    </row>
    <row r="1228" spans="1:10" ht="15" customHeight="1" x14ac:dyDescent="0.35">
      <c r="A1228" s="53" t="s">
        <v>896</v>
      </c>
      <c r="B1228" s="53" t="s">
        <v>3178</v>
      </c>
      <c r="C1228" s="53" t="s">
        <v>1077</v>
      </c>
      <c r="D1228" s="53">
        <v>1</v>
      </c>
      <c r="E1228" s="53" t="s">
        <v>3159</v>
      </c>
      <c r="F1228" s="53" t="s">
        <v>1885</v>
      </c>
      <c r="G1228" s="53" t="s">
        <v>901</v>
      </c>
      <c r="H1228" s="53" t="s">
        <v>902</v>
      </c>
      <c r="I1228" s="53" t="s">
        <v>656</v>
      </c>
      <c r="J1228" s="53" t="s">
        <v>3179</v>
      </c>
    </row>
    <row r="1229" spans="1:10" ht="15" customHeight="1" x14ac:dyDescent="0.35">
      <c r="A1229" s="53" t="s">
        <v>896</v>
      </c>
      <c r="B1229" s="53" t="s">
        <v>3180</v>
      </c>
      <c r="C1229" s="53" t="s">
        <v>1077</v>
      </c>
      <c r="D1229" s="53">
        <v>1</v>
      </c>
      <c r="E1229" s="53" t="s">
        <v>3159</v>
      </c>
      <c r="F1229" s="53" t="s">
        <v>1885</v>
      </c>
      <c r="G1229" s="53" t="s">
        <v>901</v>
      </c>
      <c r="H1229" s="53" t="s">
        <v>902</v>
      </c>
      <c r="I1229" s="53" t="s">
        <v>656</v>
      </c>
      <c r="J1229" s="53" t="s">
        <v>3181</v>
      </c>
    </row>
    <row r="1230" spans="1:10" ht="15" customHeight="1" x14ac:dyDescent="0.35">
      <c r="A1230" s="53" t="s">
        <v>896</v>
      </c>
      <c r="B1230" s="53" t="s">
        <v>3182</v>
      </c>
      <c r="C1230" s="53" t="s">
        <v>1768</v>
      </c>
      <c r="D1230" s="53">
        <v>1</v>
      </c>
      <c r="E1230" s="53" t="s">
        <v>3159</v>
      </c>
      <c r="F1230" s="53" t="s">
        <v>1885</v>
      </c>
      <c r="G1230" s="53" t="s">
        <v>901</v>
      </c>
      <c r="H1230" s="53" t="s">
        <v>902</v>
      </c>
      <c r="I1230" s="53" t="s">
        <v>656</v>
      </c>
      <c r="J1230" s="53" t="s">
        <v>3183</v>
      </c>
    </row>
    <row r="1231" spans="1:10" ht="15" customHeight="1" x14ac:dyDescent="0.35">
      <c r="A1231" s="53" t="s">
        <v>896</v>
      </c>
      <c r="B1231" s="53" t="s">
        <v>3184</v>
      </c>
      <c r="C1231" s="53" t="s">
        <v>1122</v>
      </c>
      <c r="D1231" s="53">
        <v>1</v>
      </c>
      <c r="E1231" s="53" t="s">
        <v>3185</v>
      </c>
      <c r="F1231" s="53" t="s">
        <v>1885</v>
      </c>
      <c r="G1231" s="53" t="s">
        <v>901</v>
      </c>
      <c r="H1231" s="53" t="s">
        <v>902</v>
      </c>
      <c r="I1231" s="53" t="s">
        <v>656</v>
      </c>
      <c r="J1231" s="53" t="s">
        <v>3186</v>
      </c>
    </row>
    <row r="1232" spans="1:10" ht="15" customHeight="1" x14ac:dyDescent="0.35">
      <c r="A1232" s="53" t="s">
        <v>896</v>
      </c>
      <c r="B1232" s="53" t="s">
        <v>3187</v>
      </c>
      <c r="C1232" s="53" t="s">
        <v>2257</v>
      </c>
      <c r="D1232" s="53">
        <v>1</v>
      </c>
      <c r="E1232" s="53" t="s">
        <v>3185</v>
      </c>
      <c r="F1232" s="53" t="s">
        <v>1885</v>
      </c>
      <c r="G1232" s="53" t="s">
        <v>901</v>
      </c>
      <c r="H1232" s="53" t="s">
        <v>902</v>
      </c>
      <c r="I1232" s="53" t="s">
        <v>656</v>
      </c>
      <c r="J1232" s="53" t="s">
        <v>3188</v>
      </c>
    </row>
    <row r="1233" spans="1:10" ht="15" customHeight="1" x14ac:dyDescent="0.35">
      <c r="A1233" s="53" t="s">
        <v>896</v>
      </c>
      <c r="B1233" s="53" t="s">
        <v>3189</v>
      </c>
      <c r="C1233" s="53" t="s">
        <v>1817</v>
      </c>
      <c r="D1233" s="53">
        <v>1</v>
      </c>
      <c r="E1233" s="53" t="s">
        <v>3185</v>
      </c>
      <c r="F1233" s="53" t="s">
        <v>1885</v>
      </c>
      <c r="G1233" s="53" t="s">
        <v>901</v>
      </c>
      <c r="H1233" s="53" t="s">
        <v>902</v>
      </c>
      <c r="I1233" s="53" t="s">
        <v>656</v>
      </c>
      <c r="J1233" s="53" t="s">
        <v>3190</v>
      </c>
    </row>
    <row r="1234" spans="1:10" ht="15" customHeight="1" x14ac:dyDescent="0.35">
      <c r="A1234" s="53" t="s">
        <v>896</v>
      </c>
      <c r="B1234" s="53" t="s">
        <v>3191</v>
      </c>
      <c r="C1234" s="53" t="s">
        <v>1136</v>
      </c>
      <c r="D1234" s="53">
        <v>1</v>
      </c>
      <c r="E1234" s="53" t="s">
        <v>3185</v>
      </c>
      <c r="F1234" s="53" t="s">
        <v>1885</v>
      </c>
      <c r="G1234" s="53" t="s">
        <v>901</v>
      </c>
      <c r="H1234" s="53" t="s">
        <v>902</v>
      </c>
      <c r="I1234" s="53" t="s">
        <v>656</v>
      </c>
      <c r="J1234" s="53" t="s">
        <v>2168</v>
      </c>
    </row>
    <row r="1235" spans="1:10" ht="15" customHeight="1" x14ac:dyDescent="0.35">
      <c r="A1235" s="53" t="s">
        <v>896</v>
      </c>
      <c r="B1235" s="53" t="s">
        <v>3192</v>
      </c>
      <c r="C1235" s="53" t="s">
        <v>3052</v>
      </c>
      <c r="D1235" s="53">
        <v>1</v>
      </c>
      <c r="E1235" s="53" t="s">
        <v>3185</v>
      </c>
      <c r="F1235" s="53" t="s">
        <v>1885</v>
      </c>
      <c r="G1235" s="53" t="s">
        <v>901</v>
      </c>
      <c r="H1235" s="53" t="s">
        <v>902</v>
      </c>
      <c r="I1235" s="53" t="s">
        <v>656</v>
      </c>
      <c r="J1235" s="53" t="s">
        <v>3193</v>
      </c>
    </row>
    <row r="1236" spans="1:10" ht="15" customHeight="1" x14ac:dyDescent="0.35">
      <c r="A1236" s="53" t="s">
        <v>896</v>
      </c>
      <c r="B1236" s="53" t="s">
        <v>3194</v>
      </c>
      <c r="C1236" s="53" t="s">
        <v>1118</v>
      </c>
      <c r="D1236" s="53">
        <v>1</v>
      </c>
      <c r="E1236" s="53" t="s">
        <v>3185</v>
      </c>
      <c r="F1236" s="53" t="s">
        <v>1885</v>
      </c>
      <c r="G1236" s="53" t="s">
        <v>901</v>
      </c>
      <c r="H1236" s="53" t="s">
        <v>902</v>
      </c>
      <c r="I1236" s="53" t="s">
        <v>656</v>
      </c>
      <c r="J1236" s="53" t="s">
        <v>3160</v>
      </c>
    </row>
    <row r="1237" spans="1:10" ht="15" customHeight="1" x14ac:dyDescent="0.35">
      <c r="A1237" s="53" t="s">
        <v>896</v>
      </c>
      <c r="B1237" s="53" t="s">
        <v>3195</v>
      </c>
      <c r="C1237" s="53" t="s">
        <v>1122</v>
      </c>
      <c r="D1237" s="53">
        <v>1</v>
      </c>
      <c r="E1237" s="53" t="s">
        <v>3185</v>
      </c>
      <c r="F1237" s="53" t="s">
        <v>1885</v>
      </c>
      <c r="G1237" s="53" t="s">
        <v>901</v>
      </c>
      <c r="H1237" s="53" t="s">
        <v>902</v>
      </c>
      <c r="I1237" s="53" t="s">
        <v>656</v>
      </c>
      <c r="J1237" s="53" t="s">
        <v>3196</v>
      </c>
    </row>
    <row r="1238" spans="1:10" ht="15" customHeight="1" x14ac:dyDescent="0.35">
      <c r="A1238" s="53" t="s">
        <v>896</v>
      </c>
      <c r="B1238" s="53" t="s">
        <v>3197</v>
      </c>
      <c r="C1238" s="53" t="s">
        <v>3198</v>
      </c>
      <c r="D1238" s="53">
        <v>1</v>
      </c>
      <c r="E1238" s="53" t="s">
        <v>3185</v>
      </c>
      <c r="F1238" s="53" t="s">
        <v>1885</v>
      </c>
      <c r="G1238" s="53" t="s">
        <v>901</v>
      </c>
      <c r="H1238" s="53" t="s">
        <v>902</v>
      </c>
      <c r="I1238" s="53" t="s">
        <v>656</v>
      </c>
      <c r="J1238" s="53" t="s">
        <v>3199</v>
      </c>
    </row>
    <row r="1239" spans="1:10" ht="15" customHeight="1" x14ac:dyDescent="0.35">
      <c r="A1239" s="53" t="s">
        <v>896</v>
      </c>
      <c r="B1239" s="53" t="s">
        <v>3200</v>
      </c>
      <c r="C1239" s="53" t="s">
        <v>1077</v>
      </c>
      <c r="D1239" s="53">
        <v>1</v>
      </c>
      <c r="E1239" s="53" t="s">
        <v>3185</v>
      </c>
      <c r="F1239" s="53" t="s">
        <v>1885</v>
      </c>
      <c r="G1239" s="53" t="s">
        <v>901</v>
      </c>
      <c r="H1239" s="53" t="s">
        <v>902</v>
      </c>
      <c r="I1239" s="53" t="s">
        <v>656</v>
      </c>
      <c r="J1239" s="53" t="s">
        <v>3201</v>
      </c>
    </row>
    <row r="1240" spans="1:10" ht="15" customHeight="1" x14ac:dyDescent="0.35">
      <c r="A1240" s="53" t="s">
        <v>896</v>
      </c>
      <c r="B1240" s="53" t="s">
        <v>3202</v>
      </c>
      <c r="C1240" s="53" t="s">
        <v>1084</v>
      </c>
      <c r="D1240" s="53">
        <v>1</v>
      </c>
      <c r="E1240" s="53" t="s">
        <v>3185</v>
      </c>
      <c r="F1240" s="53" t="s">
        <v>1885</v>
      </c>
      <c r="G1240" s="53" t="s">
        <v>901</v>
      </c>
      <c r="H1240" s="53" t="s">
        <v>902</v>
      </c>
      <c r="I1240" s="53" t="s">
        <v>656</v>
      </c>
      <c r="J1240" s="53" t="s">
        <v>3203</v>
      </c>
    </row>
    <row r="1241" spans="1:10" ht="15" customHeight="1" x14ac:dyDescent="0.35">
      <c r="A1241" s="53" t="s">
        <v>896</v>
      </c>
      <c r="B1241" s="53" t="s">
        <v>3204</v>
      </c>
      <c r="C1241" s="53" t="s">
        <v>996</v>
      </c>
      <c r="D1241" s="53">
        <v>1</v>
      </c>
      <c r="E1241" s="53" t="s">
        <v>3185</v>
      </c>
      <c r="F1241" s="53" t="s">
        <v>1885</v>
      </c>
      <c r="G1241" s="53" t="s">
        <v>901</v>
      </c>
      <c r="H1241" s="53" t="s">
        <v>902</v>
      </c>
      <c r="I1241" s="53" t="s">
        <v>656</v>
      </c>
      <c r="J1241" s="53" t="s">
        <v>2704</v>
      </c>
    </row>
    <row r="1242" spans="1:10" ht="15" customHeight="1" x14ac:dyDescent="0.35">
      <c r="A1242" s="53" t="s">
        <v>896</v>
      </c>
      <c r="B1242" s="53" t="s">
        <v>3205</v>
      </c>
      <c r="C1242" s="53" t="s">
        <v>1122</v>
      </c>
      <c r="D1242" s="53">
        <v>1</v>
      </c>
      <c r="E1242" s="53" t="s">
        <v>3185</v>
      </c>
      <c r="F1242" s="53" t="s">
        <v>1885</v>
      </c>
      <c r="G1242" s="53" t="s">
        <v>901</v>
      </c>
      <c r="H1242" s="53" t="s">
        <v>902</v>
      </c>
      <c r="I1242" s="53" t="s">
        <v>656</v>
      </c>
      <c r="J1242" s="53" t="s">
        <v>3206</v>
      </c>
    </row>
    <row r="1243" spans="1:10" ht="15" customHeight="1" x14ac:dyDescent="0.35">
      <c r="A1243" s="53" t="s">
        <v>896</v>
      </c>
      <c r="B1243" s="53" t="s">
        <v>3207</v>
      </c>
      <c r="C1243" s="53" t="s">
        <v>1077</v>
      </c>
      <c r="D1243" s="53">
        <v>1</v>
      </c>
      <c r="E1243" s="53" t="s">
        <v>3185</v>
      </c>
      <c r="F1243" s="53" t="s">
        <v>1885</v>
      </c>
      <c r="G1243" s="53" t="s">
        <v>901</v>
      </c>
      <c r="H1243" s="53" t="s">
        <v>902</v>
      </c>
      <c r="I1243" s="53" t="s">
        <v>656</v>
      </c>
      <c r="J1243" s="53" t="s">
        <v>3208</v>
      </c>
    </row>
    <row r="1244" spans="1:10" ht="15" customHeight="1" x14ac:dyDescent="0.35">
      <c r="A1244" s="53" t="s">
        <v>896</v>
      </c>
      <c r="B1244" s="53" t="s">
        <v>3209</v>
      </c>
      <c r="C1244" s="53" t="s">
        <v>1768</v>
      </c>
      <c r="D1244" s="53">
        <v>1</v>
      </c>
      <c r="E1244" s="53" t="s">
        <v>3185</v>
      </c>
      <c r="F1244" s="53" t="s">
        <v>1885</v>
      </c>
      <c r="G1244" s="53" t="s">
        <v>901</v>
      </c>
      <c r="H1244" s="53" t="s">
        <v>902</v>
      </c>
      <c r="I1244" s="53" t="s">
        <v>656</v>
      </c>
      <c r="J1244" s="53" t="s">
        <v>3210</v>
      </c>
    </row>
    <row r="1245" spans="1:10" ht="15" customHeight="1" x14ac:dyDescent="0.35">
      <c r="A1245" s="53" t="s">
        <v>896</v>
      </c>
      <c r="B1245" s="53" t="s">
        <v>3211</v>
      </c>
      <c r="C1245" s="53" t="s">
        <v>1077</v>
      </c>
      <c r="D1245" s="53">
        <v>1</v>
      </c>
      <c r="E1245" s="53" t="s">
        <v>3212</v>
      </c>
      <c r="F1245" s="53" t="s">
        <v>1885</v>
      </c>
      <c r="G1245" s="53" t="s">
        <v>901</v>
      </c>
      <c r="H1245" s="53" t="s">
        <v>902</v>
      </c>
      <c r="I1245" s="53" t="s">
        <v>656</v>
      </c>
      <c r="J1245" s="53" t="s">
        <v>3213</v>
      </c>
    </row>
    <row r="1246" spans="1:10" ht="15" customHeight="1" x14ac:dyDescent="0.35">
      <c r="A1246" s="53" t="s">
        <v>896</v>
      </c>
      <c r="B1246" s="53" t="s">
        <v>3214</v>
      </c>
      <c r="C1246" s="53" t="s">
        <v>1077</v>
      </c>
      <c r="D1246" s="53">
        <v>1</v>
      </c>
      <c r="E1246" s="53" t="s">
        <v>3212</v>
      </c>
      <c r="F1246" s="53" t="s">
        <v>1885</v>
      </c>
      <c r="G1246" s="53" t="s">
        <v>901</v>
      </c>
      <c r="H1246" s="53" t="s">
        <v>902</v>
      </c>
      <c r="I1246" s="53" t="s">
        <v>656</v>
      </c>
      <c r="J1246" s="53" t="s">
        <v>3215</v>
      </c>
    </row>
    <row r="1247" spans="1:10" ht="15" customHeight="1" x14ac:dyDescent="0.35">
      <c r="A1247" s="53" t="s">
        <v>896</v>
      </c>
      <c r="B1247" s="53" t="s">
        <v>3216</v>
      </c>
      <c r="C1247" s="53" t="s">
        <v>2257</v>
      </c>
      <c r="D1247" s="53">
        <v>1</v>
      </c>
      <c r="E1247" s="53" t="s">
        <v>3212</v>
      </c>
      <c r="F1247" s="53" t="s">
        <v>1885</v>
      </c>
      <c r="G1247" s="53" t="s">
        <v>901</v>
      </c>
      <c r="H1247" s="53" t="s">
        <v>902</v>
      </c>
      <c r="I1247" s="53" t="s">
        <v>656</v>
      </c>
      <c r="J1247" s="53" t="s">
        <v>3217</v>
      </c>
    </row>
    <row r="1248" spans="1:10" ht="15" customHeight="1" x14ac:dyDescent="0.35">
      <c r="A1248" s="53" t="s">
        <v>896</v>
      </c>
      <c r="B1248" s="53" t="s">
        <v>3218</v>
      </c>
      <c r="C1248" s="53" t="s">
        <v>921</v>
      </c>
      <c r="D1248" s="53">
        <v>1</v>
      </c>
      <c r="E1248" s="53" t="s">
        <v>3212</v>
      </c>
      <c r="F1248" s="53" t="s">
        <v>1885</v>
      </c>
      <c r="G1248" s="53" t="s">
        <v>901</v>
      </c>
      <c r="H1248" s="53" t="s">
        <v>902</v>
      </c>
      <c r="I1248" s="53" t="s">
        <v>656</v>
      </c>
      <c r="J1248" s="53" t="s">
        <v>2439</v>
      </c>
    </row>
    <row r="1249" spans="1:10" ht="15" customHeight="1" x14ac:dyDescent="0.35">
      <c r="A1249" s="53" t="s">
        <v>896</v>
      </c>
      <c r="B1249" s="53" t="s">
        <v>3219</v>
      </c>
      <c r="C1249" s="53" t="s">
        <v>1077</v>
      </c>
      <c r="D1249" s="53">
        <v>1</v>
      </c>
      <c r="E1249" s="53" t="s">
        <v>3212</v>
      </c>
      <c r="F1249" s="53" t="s">
        <v>1885</v>
      </c>
      <c r="G1249" s="53" t="s">
        <v>901</v>
      </c>
      <c r="H1249" s="53" t="s">
        <v>902</v>
      </c>
      <c r="I1249" s="53" t="s">
        <v>656</v>
      </c>
      <c r="J1249" s="53" t="s">
        <v>3220</v>
      </c>
    </row>
    <row r="1250" spans="1:10" ht="15" customHeight="1" x14ac:dyDescent="0.35">
      <c r="A1250" s="53" t="s">
        <v>896</v>
      </c>
      <c r="B1250" s="53" t="s">
        <v>3221</v>
      </c>
      <c r="C1250" s="53" t="s">
        <v>1084</v>
      </c>
      <c r="D1250" s="53">
        <v>1</v>
      </c>
      <c r="E1250" s="53" t="s">
        <v>3212</v>
      </c>
      <c r="F1250" s="53" t="s">
        <v>1885</v>
      </c>
      <c r="G1250" s="53" t="s">
        <v>901</v>
      </c>
      <c r="H1250" s="53" t="s">
        <v>902</v>
      </c>
      <c r="I1250" s="53" t="s">
        <v>656</v>
      </c>
      <c r="J1250" s="53" t="s">
        <v>3222</v>
      </c>
    </row>
    <row r="1251" spans="1:10" ht="15" customHeight="1" x14ac:dyDescent="0.35">
      <c r="A1251" s="53" t="s">
        <v>896</v>
      </c>
      <c r="B1251" s="53" t="s">
        <v>3223</v>
      </c>
      <c r="C1251" s="53" t="s">
        <v>909</v>
      </c>
      <c r="D1251" s="53">
        <v>1</v>
      </c>
      <c r="E1251" s="53" t="s">
        <v>3212</v>
      </c>
      <c r="F1251" s="53" t="s">
        <v>1885</v>
      </c>
      <c r="G1251" s="53" t="s">
        <v>901</v>
      </c>
      <c r="H1251" s="53" t="s">
        <v>902</v>
      </c>
      <c r="I1251" s="53" t="s">
        <v>656</v>
      </c>
      <c r="J1251" s="53" t="s">
        <v>3224</v>
      </c>
    </row>
    <row r="1252" spans="1:10" ht="15" customHeight="1" x14ac:dyDescent="0.35">
      <c r="A1252" s="53" t="s">
        <v>896</v>
      </c>
      <c r="B1252" s="53" t="s">
        <v>3225</v>
      </c>
      <c r="C1252" s="53" t="s">
        <v>963</v>
      </c>
      <c r="D1252" s="53">
        <v>1</v>
      </c>
      <c r="E1252" s="53" t="s">
        <v>3212</v>
      </c>
      <c r="F1252" s="53" t="s">
        <v>1885</v>
      </c>
      <c r="G1252" s="53" t="s">
        <v>901</v>
      </c>
      <c r="H1252" s="53" t="s">
        <v>902</v>
      </c>
      <c r="I1252" s="53" t="s">
        <v>656</v>
      </c>
      <c r="J1252" s="53" t="s">
        <v>3226</v>
      </c>
    </row>
    <row r="1253" spans="1:10" ht="15" customHeight="1" x14ac:dyDescent="0.35">
      <c r="A1253" s="53" t="s">
        <v>896</v>
      </c>
      <c r="B1253" s="53" t="s">
        <v>3227</v>
      </c>
      <c r="C1253" s="53" t="s">
        <v>1817</v>
      </c>
      <c r="D1253" s="53">
        <v>1</v>
      </c>
      <c r="E1253" s="53" t="s">
        <v>3212</v>
      </c>
      <c r="F1253" s="53" t="s">
        <v>1885</v>
      </c>
      <c r="G1253" s="53" t="s">
        <v>901</v>
      </c>
      <c r="H1253" s="53" t="s">
        <v>902</v>
      </c>
      <c r="I1253" s="53" t="s">
        <v>656</v>
      </c>
      <c r="J1253" s="53" t="s">
        <v>2204</v>
      </c>
    </row>
    <row r="1254" spans="1:10" ht="15" customHeight="1" x14ac:dyDescent="0.35">
      <c r="A1254" s="53" t="s">
        <v>896</v>
      </c>
      <c r="B1254" s="53" t="s">
        <v>3228</v>
      </c>
      <c r="C1254" s="53" t="s">
        <v>989</v>
      </c>
      <c r="D1254" s="53">
        <v>1</v>
      </c>
      <c r="E1254" s="53" t="s">
        <v>3212</v>
      </c>
      <c r="F1254" s="53" t="s">
        <v>1885</v>
      </c>
      <c r="G1254" s="53" t="s">
        <v>901</v>
      </c>
      <c r="H1254" s="53" t="s">
        <v>902</v>
      </c>
      <c r="I1254" s="53" t="s">
        <v>656</v>
      </c>
      <c r="J1254" s="53" t="s">
        <v>2741</v>
      </c>
    </row>
    <row r="1255" spans="1:10" ht="15" customHeight="1" x14ac:dyDescent="0.35">
      <c r="A1255" s="53" t="s">
        <v>896</v>
      </c>
      <c r="B1255" s="53" t="s">
        <v>3229</v>
      </c>
      <c r="C1255" s="53" t="s">
        <v>921</v>
      </c>
      <c r="D1255" s="53">
        <v>1</v>
      </c>
      <c r="E1255" s="53" t="s">
        <v>3212</v>
      </c>
      <c r="F1255" s="53" t="s">
        <v>1885</v>
      </c>
      <c r="G1255" s="53" t="s">
        <v>901</v>
      </c>
      <c r="H1255" s="53" t="s">
        <v>902</v>
      </c>
      <c r="I1255" s="53" t="s">
        <v>656</v>
      </c>
      <c r="J1255" s="53" t="s">
        <v>3230</v>
      </c>
    </row>
    <row r="1256" spans="1:10" ht="15" customHeight="1" x14ac:dyDescent="0.35">
      <c r="A1256" s="53" t="s">
        <v>896</v>
      </c>
      <c r="B1256" s="53" t="s">
        <v>3231</v>
      </c>
      <c r="C1256" s="53" t="s">
        <v>1009</v>
      </c>
      <c r="D1256" s="53">
        <v>1</v>
      </c>
      <c r="E1256" s="53" t="s">
        <v>3212</v>
      </c>
      <c r="F1256" s="53" t="s">
        <v>1885</v>
      </c>
      <c r="G1256" s="53" t="s">
        <v>901</v>
      </c>
      <c r="H1256" s="53" t="s">
        <v>902</v>
      </c>
      <c r="I1256" s="53" t="s">
        <v>656</v>
      </c>
      <c r="J1256" s="53" t="s">
        <v>3217</v>
      </c>
    </row>
    <row r="1257" spans="1:10" ht="15" customHeight="1" x14ac:dyDescent="0.35">
      <c r="A1257" s="53" t="s">
        <v>896</v>
      </c>
      <c r="B1257" s="53" t="s">
        <v>3232</v>
      </c>
      <c r="C1257" s="53" t="s">
        <v>1122</v>
      </c>
      <c r="D1257" s="53">
        <v>1</v>
      </c>
      <c r="E1257" s="53" t="s">
        <v>3212</v>
      </c>
      <c r="F1257" s="53" t="s">
        <v>1885</v>
      </c>
      <c r="G1257" s="53" t="s">
        <v>901</v>
      </c>
      <c r="H1257" s="53" t="s">
        <v>902</v>
      </c>
      <c r="I1257" s="53" t="s">
        <v>656</v>
      </c>
      <c r="J1257" s="53" t="s">
        <v>3233</v>
      </c>
    </row>
    <row r="1258" spans="1:10" ht="15" customHeight="1" x14ac:dyDescent="0.35">
      <c r="A1258" s="53" t="s">
        <v>896</v>
      </c>
      <c r="B1258" s="53" t="s">
        <v>3234</v>
      </c>
      <c r="C1258" s="53" t="s">
        <v>1077</v>
      </c>
      <c r="D1258" s="53">
        <v>1</v>
      </c>
      <c r="E1258" s="53" t="s">
        <v>3212</v>
      </c>
      <c r="F1258" s="53" t="s">
        <v>1885</v>
      </c>
      <c r="G1258" s="53" t="s">
        <v>901</v>
      </c>
      <c r="H1258" s="53" t="s">
        <v>902</v>
      </c>
      <c r="I1258" s="53" t="s">
        <v>656</v>
      </c>
      <c r="J1258" s="53" t="s">
        <v>3235</v>
      </c>
    </row>
    <row r="1259" spans="1:10" ht="15" customHeight="1" x14ac:dyDescent="0.35">
      <c r="A1259" s="53" t="s">
        <v>896</v>
      </c>
      <c r="B1259" s="53" t="s">
        <v>3236</v>
      </c>
      <c r="C1259" s="53" t="s">
        <v>963</v>
      </c>
      <c r="D1259" s="53">
        <v>1</v>
      </c>
      <c r="E1259" s="53" t="s">
        <v>3212</v>
      </c>
      <c r="F1259" s="53" t="s">
        <v>1885</v>
      </c>
      <c r="G1259" s="53" t="s">
        <v>901</v>
      </c>
      <c r="H1259" s="53" t="s">
        <v>902</v>
      </c>
      <c r="I1259" s="53" t="s">
        <v>656</v>
      </c>
      <c r="J1259" s="53" t="s">
        <v>3226</v>
      </c>
    </row>
    <row r="1260" spans="1:10" ht="15" customHeight="1" x14ac:dyDescent="0.35">
      <c r="A1260" s="53" t="s">
        <v>896</v>
      </c>
      <c r="B1260" s="53" t="s">
        <v>3237</v>
      </c>
      <c r="C1260" s="53" t="s">
        <v>921</v>
      </c>
      <c r="D1260" s="53">
        <v>1</v>
      </c>
      <c r="E1260" s="53" t="s">
        <v>3212</v>
      </c>
      <c r="F1260" s="53" t="s">
        <v>1885</v>
      </c>
      <c r="G1260" s="53" t="s">
        <v>901</v>
      </c>
      <c r="H1260" s="53" t="s">
        <v>902</v>
      </c>
      <c r="I1260" s="53" t="s">
        <v>656</v>
      </c>
      <c r="J1260" s="53" t="s">
        <v>3238</v>
      </c>
    </row>
    <row r="1261" spans="1:10" ht="15" customHeight="1" x14ac:dyDescent="0.35">
      <c r="A1261" s="53" t="s">
        <v>896</v>
      </c>
      <c r="B1261" s="53" t="s">
        <v>3239</v>
      </c>
      <c r="C1261" s="53" t="s">
        <v>1122</v>
      </c>
      <c r="D1261" s="53">
        <v>1</v>
      </c>
      <c r="E1261" s="53" t="s">
        <v>3212</v>
      </c>
      <c r="F1261" s="53" t="s">
        <v>1885</v>
      </c>
      <c r="G1261" s="53" t="s">
        <v>901</v>
      </c>
      <c r="H1261" s="53" t="s">
        <v>902</v>
      </c>
      <c r="I1261" s="53" t="s">
        <v>656</v>
      </c>
      <c r="J1261" s="53" t="s">
        <v>3215</v>
      </c>
    </row>
    <row r="1262" spans="1:10" ht="15" customHeight="1" x14ac:dyDescent="0.35">
      <c r="A1262" s="53" t="s">
        <v>896</v>
      </c>
      <c r="B1262" s="53" t="s">
        <v>3240</v>
      </c>
      <c r="C1262" s="53" t="s">
        <v>1077</v>
      </c>
      <c r="D1262" s="53">
        <v>1</v>
      </c>
      <c r="E1262" s="53" t="s">
        <v>3212</v>
      </c>
      <c r="F1262" s="53" t="s">
        <v>1885</v>
      </c>
      <c r="G1262" s="53" t="s">
        <v>901</v>
      </c>
      <c r="H1262" s="53" t="s">
        <v>902</v>
      </c>
      <c r="I1262" s="53" t="s">
        <v>656</v>
      </c>
      <c r="J1262" s="53" t="s">
        <v>3241</v>
      </c>
    </row>
    <row r="1263" spans="1:10" ht="15" customHeight="1" x14ac:dyDescent="0.35">
      <c r="A1263" s="53" t="s">
        <v>896</v>
      </c>
      <c r="B1263" s="53" t="s">
        <v>3242</v>
      </c>
      <c r="C1263" s="53" t="s">
        <v>1143</v>
      </c>
      <c r="D1263" s="53">
        <v>1</v>
      </c>
      <c r="E1263" s="53" t="s">
        <v>3212</v>
      </c>
      <c r="F1263" s="53" t="s">
        <v>1885</v>
      </c>
      <c r="G1263" s="53" t="s">
        <v>901</v>
      </c>
      <c r="H1263" s="53" t="s">
        <v>902</v>
      </c>
      <c r="I1263" s="53" t="s">
        <v>656</v>
      </c>
      <c r="J1263" s="53" t="s">
        <v>3235</v>
      </c>
    </row>
    <row r="1264" spans="1:10" ht="15" customHeight="1" x14ac:dyDescent="0.35">
      <c r="A1264" s="53" t="s">
        <v>896</v>
      </c>
      <c r="B1264" s="53" t="s">
        <v>3243</v>
      </c>
      <c r="C1264" s="53" t="s">
        <v>1077</v>
      </c>
      <c r="D1264" s="53">
        <v>1</v>
      </c>
      <c r="E1264" s="53" t="s">
        <v>3212</v>
      </c>
      <c r="F1264" s="53" t="s">
        <v>1885</v>
      </c>
      <c r="G1264" s="53" t="s">
        <v>901</v>
      </c>
      <c r="H1264" s="53" t="s">
        <v>902</v>
      </c>
      <c r="I1264" s="53" t="s">
        <v>656</v>
      </c>
      <c r="J1264" s="53" t="s">
        <v>3244</v>
      </c>
    </row>
    <row r="1265" spans="1:10" ht="15" customHeight="1" x14ac:dyDescent="0.35">
      <c r="A1265" s="53" t="s">
        <v>896</v>
      </c>
      <c r="B1265" s="53" t="s">
        <v>3245</v>
      </c>
      <c r="C1265" s="53" t="s">
        <v>1077</v>
      </c>
      <c r="D1265" s="53">
        <v>1</v>
      </c>
      <c r="E1265" s="53" t="s">
        <v>3212</v>
      </c>
      <c r="F1265" s="53" t="s">
        <v>1885</v>
      </c>
      <c r="G1265" s="53" t="s">
        <v>901</v>
      </c>
      <c r="H1265" s="53" t="s">
        <v>902</v>
      </c>
      <c r="I1265" s="53" t="s">
        <v>656</v>
      </c>
      <c r="J1265" s="53" t="s">
        <v>3246</v>
      </c>
    </row>
    <row r="1266" spans="1:10" ht="15" customHeight="1" x14ac:dyDescent="0.35">
      <c r="A1266" s="53" t="s">
        <v>896</v>
      </c>
      <c r="B1266" s="53" t="s">
        <v>3247</v>
      </c>
      <c r="C1266" s="53" t="s">
        <v>1077</v>
      </c>
      <c r="D1266" s="53">
        <v>1</v>
      </c>
      <c r="E1266" s="53" t="s">
        <v>3212</v>
      </c>
      <c r="F1266" s="53" t="s">
        <v>1885</v>
      </c>
      <c r="G1266" s="53" t="s">
        <v>901</v>
      </c>
      <c r="H1266" s="53" t="s">
        <v>902</v>
      </c>
      <c r="I1266" s="53" t="s">
        <v>656</v>
      </c>
      <c r="J1266" s="53" t="s">
        <v>3248</v>
      </c>
    </row>
    <row r="1267" spans="1:10" ht="15" customHeight="1" x14ac:dyDescent="0.35">
      <c r="A1267" s="53" t="s">
        <v>896</v>
      </c>
      <c r="B1267" s="53" t="s">
        <v>3249</v>
      </c>
      <c r="C1267" s="53" t="s">
        <v>1490</v>
      </c>
      <c r="D1267" s="53">
        <v>1</v>
      </c>
      <c r="E1267" s="53" t="s">
        <v>3212</v>
      </c>
      <c r="F1267" s="53" t="s">
        <v>1885</v>
      </c>
      <c r="G1267" s="53" t="s">
        <v>901</v>
      </c>
      <c r="H1267" s="53" t="s">
        <v>902</v>
      </c>
      <c r="I1267" s="53" t="s">
        <v>656</v>
      </c>
      <c r="J1267" s="53" t="s">
        <v>3250</v>
      </c>
    </row>
    <row r="1268" spans="1:10" ht="15" customHeight="1" x14ac:dyDescent="0.35">
      <c r="A1268" s="53" t="s">
        <v>896</v>
      </c>
      <c r="B1268" s="53" t="s">
        <v>3251</v>
      </c>
      <c r="C1268" s="53" t="s">
        <v>1494</v>
      </c>
      <c r="D1268" s="53">
        <v>1</v>
      </c>
      <c r="E1268" s="53" t="s">
        <v>3212</v>
      </c>
      <c r="F1268" s="53" t="s">
        <v>1885</v>
      </c>
      <c r="G1268" s="53" t="s">
        <v>901</v>
      </c>
      <c r="H1268" s="53" t="s">
        <v>902</v>
      </c>
      <c r="I1268" s="53" t="s">
        <v>656</v>
      </c>
      <c r="J1268" s="53" t="s">
        <v>2204</v>
      </c>
    </row>
    <row r="1269" spans="1:10" ht="15" customHeight="1" x14ac:dyDescent="0.35">
      <c r="A1269" s="53" t="s">
        <v>896</v>
      </c>
      <c r="B1269" s="53" t="s">
        <v>3252</v>
      </c>
      <c r="C1269" s="53" t="s">
        <v>1768</v>
      </c>
      <c r="D1269" s="53">
        <v>1</v>
      </c>
      <c r="E1269" s="53" t="s">
        <v>3212</v>
      </c>
      <c r="F1269" s="53" t="s">
        <v>1885</v>
      </c>
      <c r="G1269" s="53" t="s">
        <v>901</v>
      </c>
      <c r="H1269" s="53" t="s">
        <v>902</v>
      </c>
      <c r="I1269" s="53" t="s">
        <v>656</v>
      </c>
      <c r="J1269" s="53" t="s">
        <v>3253</v>
      </c>
    </row>
    <row r="1270" spans="1:10" ht="15" customHeight="1" x14ac:dyDescent="0.35">
      <c r="A1270" s="53" t="s">
        <v>896</v>
      </c>
      <c r="B1270" s="53" t="s">
        <v>3254</v>
      </c>
      <c r="C1270" s="53" t="s">
        <v>1143</v>
      </c>
      <c r="D1270" s="53">
        <v>1</v>
      </c>
      <c r="E1270" s="53" t="s">
        <v>3062</v>
      </c>
      <c r="F1270" s="53" t="s">
        <v>1885</v>
      </c>
      <c r="G1270" s="53" t="s">
        <v>901</v>
      </c>
      <c r="H1270" s="53" t="s">
        <v>902</v>
      </c>
      <c r="I1270" s="53" t="s">
        <v>656</v>
      </c>
      <c r="J1270" s="53" t="s">
        <v>3255</v>
      </c>
    </row>
    <row r="1271" spans="1:10" ht="15" customHeight="1" x14ac:dyDescent="0.35">
      <c r="A1271" s="53" t="s">
        <v>896</v>
      </c>
      <c r="B1271" s="53" t="s">
        <v>3256</v>
      </c>
      <c r="C1271" s="53" t="s">
        <v>1817</v>
      </c>
      <c r="D1271" s="53">
        <v>1</v>
      </c>
      <c r="E1271" s="53" t="s">
        <v>3062</v>
      </c>
      <c r="F1271" s="53" t="s">
        <v>1885</v>
      </c>
      <c r="G1271" s="53" t="s">
        <v>901</v>
      </c>
      <c r="H1271" s="53" t="s">
        <v>902</v>
      </c>
      <c r="I1271" s="53" t="s">
        <v>656</v>
      </c>
      <c r="J1271" s="53" t="s">
        <v>2449</v>
      </c>
    </row>
    <row r="1272" spans="1:10" ht="15" customHeight="1" x14ac:dyDescent="0.35">
      <c r="A1272" s="53" t="s">
        <v>896</v>
      </c>
      <c r="B1272" s="53" t="s">
        <v>3257</v>
      </c>
      <c r="C1272" s="53" t="s">
        <v>1690</v>
      </c>
      <c r="D1272" s="53">
        <v>1</v>
      </c>
      <c r="E1272" s="53" t="s">
        <v>3062</v>
      </c>
      <c r="F1272" s="53" t="s">
        <v>1885</v>
      </c>
      <c r="G1272" s="53" t="s">
        <v>901</v>
      </c>
      <c r="H1272" s="53" t="s">
        <v>902</v>
      </c>
      <c r="I1272" s="53" t="s">
        <v>656</v>
      </c>
      <c r="J1272" s="53" t="s">
        <v>2529</v>
      </c>
    </row>
    <row r="1273" spans="1:10" ht="15" customHeight="1" x14ac:dyDescent="0.35">
      <c r="A1273" s="53" t="s">
        <v>896</v>
      </c>
      <c r="B1273" s="53" t="s">
        <v>3258</v>
      </c>
      <c r="C1273" s="53" t="s">
        <v>1697</v>
      </c>
      <c r="D1273" s="53">
        <v>1</v>
      </c>
      <c r="E1273" s="53" t="s">
        <v>3062</v>
      </c>
      <c r="F1273" s="53" t="s">
        <v>1885</v>
      </c>
      <c r="G1273" s="53" t="s">
        <v>901</v>
      </c>
      <c r="H1273" s="53" t="s">
        <v>902</v>
      </c>
      <c r="I1273" s="53" t="s">
        <v>656</v>
      </c>
      <c r="J1273" s="53" t="s">
        <v>3063</v>
      </c>
    </row>
    <row r="1274" spans="1:10" ht="15" customHeight="1" x14ac:dyDescent="0.35">
      <c r="A1274" s="53" t="s">
        <v>896</v>
      </c>
      <c r="B1274" s="53" t="s">
        <v>3259</v>
      </c>
      <c r="C1274" s="53" t="s">
        <v>1731</v>
      </c>
      <c r="D1274" s="53">
        <v>1</v>
      </c>
      <c r="E1274" s="53" t="s">
        <v>3062</v>
      </c>
      <c r="F1274" s="53" t="s">
        <v>1885</v>
      </c>
      <c r="G1274" s="53" t="s">
        <v>901</v>
      </c>
      <c r="H1274" s="53" t="s">
        <v>902</v>
      </c>
      <c r="I1274" s="53" t="s">
        <v>656</v>
      </c>
      <c r="J1274" s="53" t="s">
        <v>3260</v>
      </c>
    </row>
    <row r="1275" spans="1:10" ht="15" customHeight="1" x14ac:dyDescent="0.35">
      <c r="A1275" s="53" t="s">
        <v>896</v>
      </c>
      <c r="B1275" s="53" t="s">
        <v>3261</v>
      </c>
      <c r="C1275" s="53" t="s">
        <v>1240</v>
      </c>
      <c r="D1275" s="53">
        <v>1</v>
      </c>
      <c r="E1275" s="53" t="s">
        <v>3062</v>
      </c>
      <c r="F1275" s="53" t="s">
        <v>1885</v>
      </c>
      <c r="G1275" s="53" t="s">
        <v>901</v>
      </c>
      <c r="H1275" s="53" t="s">
        <v>902</v>
      </c>
      <c r="I1275" s="53" t="s">
        <v>656</v>
      </c>
      <c r="J1275" s="53" t="s">
        <v>3063</v>
      </c>
    </row>
    <row r="1276" spans="1:10" ht="15" customHeight="1" x14ac:dyDescent="0.35">
      <c r="A1276" s="53" t="s">
        <v>896</v>
      </c>
      <c r="B1276" s="53" t="s">
        <v>3262</v>
      </c>
      <c r="C1276" s="53" t="s">
        <v>1299</v>
      </c>
      <c r="D1276" s="53">
        <v>1</v>
      </c>
      <c r="E1276" s="53" t="s">
        <v>3062</v>
      </c>
      <c r="F1276" s="53" t="s">
        <v>1885</v>
      </c>
      <c r="G1276" s="53" t="s">
        <v>901</v>
      </c>
      <c r="H1276" s="53" t="s">
        <v>902</v>
      </c>
      <c r="I1276" s="53" t="s">
        <v>656</v>
      </c>
      <c r="J1276" s="53" t="s">
        <v>3263</v>
      </c>
    </row>
    <row r="1277" spans="1:10" ht="15" customHeight="1" x14ac:dyDescent="0.35">
      <c r="A1277" s="53" t="s">
        <v>896</v>
      </c>
      <c r="B1277" s="53" t="s">
        <v>3264</v>
      </c>
      <c r="C1277" s="53" t="s">
        <v>2602</v>
      </c>
      <c r="D1277" s="53">
        <v>1</v>
      </c>
      <c r="E1277" s="53" t="s">
        <v>3062</v>
      </c>
      <c r="F1277" s="53" t="s">
        <v>1885</v>
      </c>
      <c r="G1277" s="53" t="s">
        <v>901</v>
      </c>
      <c r="H1277" s="53" t="s">
        <v>902</v>
      </c>
      <c r="I1277" s="53" t="s">
        <v>656</v>
      </c>
      <c r="J1277" s="53" t="s">
        <v>3265</v>
      </c>
    </row>
    <row r="1278" spans="1:10" ht="15" customHeight="1" x14ac:dyDescent="0.35">
      <c r="A1278" s="53" t="s">
        <v>896</v>
      </c>
      <c r="B1278" s="53" t="s">
        <v>3266</v>
      </c>
      <c r="C1278" s="53" t="s">
        <v>1118</v>
      </c>
      <c r="D1278" s="53">
        <v>1</v>
      </c>
      <c r="E1278" s="53" t="s">
        <v>3062</v>
      </c>
      <c r="F1278" s="53" t="s">
        <v>1885</v>
      </c>
      <c r="G1278" s="53" t="s">
        <v>901</v>
      </c>
      <c r="H1278" s="53" t="s">
        <v>902</v>
      </c>
      <c r="I1278" s="53" t="s">
        <v>656</v>
      </c>
      <c r="J1278" s="53" t="s">
        <v>2940</v>
      </c>
    </row>
    <row r="1279" spans="1:10" ht="15" customHeight="1" x14ac:dyDescent="0.35">
      <c r="A1279" s="53" t="s">
        <v>896</v>
      </c>
      <c r="B1279" s="53" t="s">
        <v>3267</v>
      </c>
      <c r="C1279" s="53" t="s">
        <v>898</v>
      </c>
      <c r="D1279" s="53">
        <v>1</v>
      </c>
      <c r="E1279" s="53" t="s">
        <v>3062</v>
      </c>
      <c r="F1279" s="53" t="s">
        <v>1885</v>
      </c>
      <c r="G1279" s="53" t="s">
        <v>901</v>
      </c>
      <c r="H1279" s="53" t="s">
        <v>902</v>
      </c>
      <c r="I1279" s="53" t="s">
        <v>656</v>
      </c>
      <c r="J1279" s="53" t="s">
        <v>2940</v>
      </c>
    </row>
    <row r="1280" spans="1:10" ht="15" customHeight="1" x14ac:dyDescent="0.35">
      <c r="A1280" s="53" t="s">
        <v>896</v>
      </c>
      <c r="B1280" s="53" t="s">
        <v>3268</v>
      </c>
      <c r="C1280" s="53" t="s">
        <v>1136</v>
      </c>
      <c r="D1280" s="53">
        <v>1</v>
      </c>
      <c r="E1280" s="53" t="s">
        <v>3062</v>
      </c>
      <c r="F1280" s="53" t="s">
        <v>1885</v>
      </c>
      <c r="G1280" s="53" t="s">
        <v>901</v>
      </c>
      <c r="H1280" s="53" t="s">
        <v>902</v>
      </c>
      <c r="I1280" s="53" t="s">
        <v>656</v>
      </c>
      <c r="J1280" s="53" t="s">
        <v>2348</v>
      </c>
    </row>
    <row r="1281" spans="1:10" ht="15" customHeight="1" x14ac:dyDescent="0.35">
      <c r="A1281" s="53" t="s">
        <v>896</v>
      </c>
      <c r="B1281" s="53" t="s">
        <v>3269</v>
      </c>
      <c r="C1281" s="53" t="s">
        <v>1143</v>
      </c>
      <c r="D1281" s="53">
        <v>1</v>
      </c>
      <c r="E1281" s="53" t="s">
        <v>3062</v>
      </c>
      <c r="F1281" s="53" t="s">
        <v>1885</v>
      </c>
      <c r="G1281" s="53" t="s">
        <v>901</v>
      </c>
      <c r="H1281" s="53" t="s">
        <v>902</v>
      </c>
      <c r="I1281" s="53" t="s">
        <v>656</v>
      </c>
      <c r="J1281" s="53" t="s">
        <v>3270</v>
      </c>
    </row>
    <row r="1282" spans="1:10" ht="15" customHeight="1" x14ac:dyDescent="0.35">
      <c r="A1282" s="53" t="s">
        <v>896</v>
      </c>
      <c r="B1282" s="53" t="s">
        <v>3271</v>
      </c>
      <c r="C1282" s="53" t="s">
        <v>1299</v>
      </c>
      <c r="D1282" s="53">
        <v>1</v>
      </c>
      <c r="E1282" s="53" t="s">
        <v>3062</v>
      </c>
      <c r="F1282" s="53" t="s">
        <v>1885</v>
      </c>
      <c r="G1282" s="53" t="s">
        <v>901</v>
      </c>
      <c r="H1282" s="53" t="s">
        <v>902</v>
      </c>
      <c r="I1282" s="53" t="s">
        <v>656</v>
      </c>
      <c r="J1282" s="53" t="s">
        <v>3265</v>
      </c>
    </row>
    <row r="1283" spans="1:10" ht="15" customHeight="1" x14ac:dyDescent="0.35">
      <c r="A1283" s="53" t="s">
        <v>896</v>
      </c>
      <c r="B1283" s="53" t="s">
        <v>3272</v>
      </c>
      <c r="C1283" s="53" t="s">
        <v>1077</v>
      </c>
      <c r="D1283" s="53">
        <v>1</v>
      </c>
      <c r="E1283" s="53" t="s">
        <v>3062</v>
      </c>
      <c r="F1283" s="53" t="s">
        <v>1885</v>
      </c>
      <c r="G1283" s="53" t="s">
        <v>901</v>
      </c>
      <c r="H1283" s="53" t="s">
        <v>902</v>
      </c>
      <c r="I1283" s="53" t="s">
        <v>656</v>
      </c>
      <c r="J1283" s="53" t="s">
        <v>2348</v>
      </c>
    </row>
    <row r="1284" spans="1:10" ht="15" customHeight="1" x14ac:dyDescent="0.35">
      <c r="A1284" s="53" t="s">
        <v>896</v>
      </c>
      <c r="B1284" s="53" t="s">
        <v>3273</v>
      </c>
      <c r="C1284" s="53" t="s">
        <v>1077</v>
      </c>
      <c r="D1284" s="53">
        <v>1</v>
      </c>
      <c r="E1284" s="53" t="s">
        <v>3062</v>
      </c>
      <c r="F1284" s="53" t="s">
        <v>1885</v>
      </c>
      <c r="G1284" s="53" t="s">
        <v>901</v>
      </c>
      <c r="H1284" s="53" t="s">
        <v>902</v>
      </c>
      <c r="I1284" s="53" t="s">
        <v>656</v>
      </c>
      <c r="J1284" s="53" t="s">
        <v>3274</v>
      </c>
    </row>
    <row r="1285" spans="1:10" ht="15" customHeight="1" x14ac:dyDescent="0.35">
      <c r="A1285" s="53" t="s">
        <v>896</v>
      </c>
      <c r="B1285" s="53" t="s">
        <v>3275</v>
      </c>
      <c r="C1285" s="53" t="s">
        <v>989</v>
      </c>
      <c r="D1285" s="53">
        <v>1</v>
      </c>
      <c r="E1285" s="53" t="s">
        <v>3062</v>
      </c>
      <c r="F1285" s="53" t="s">
        <v>1885</v>
      </c>
      <c r="G1285" s="53" t="s">
        <v>901</v>
      </c>
      <c r="H1285" s="53" t="s">
        <v>902</v>
      </c>
      <c r="I1285" s="53" t="s">
        <v>656</v>
      </c>
      <c r="J1285" s="53" t="s">
        <v>3276</v>
      </c>
    </row>
    <row r="1286" spans="1:10" ht="15" customHeight="1" x14ac:dyDescent="0.35">
      <c r="A1286" s="53" t="s">
        <v>896</v>
      </c>
      <c r="B1286" s="53" t="s">
        <v>3277</v>
      </c>
      <c r="C1286" s="53" t="s">
        <v>1077</v>
      </c>
      <c r="D1286" s="53">
        <v>1</v>
      </c>
      <c r="E1286" s="53" t="s">
        <v>3062</v>
      </c>
      <c r="F1286" s="53" t="s">
        <v>1885</v>
      </c>
      <c r="G1286" s="53" t="s">
        <v>901</v>
      </c>
      <c r="H1286" s="53" t="s">
        <v>902</v>
      </c>
      <c r="I1286" s="53" t="s">
        <v>656</v>
      </c>
      <c r="J1286" s="53" t="s">
        <v>3278</v>
      </c>
    </row>
    <row r="1287" spans="1:10" ht="15" customHeight="1" x14ac:dyDescent="0.35">
      <c r="A1287" s="53" t="s">
        <v>896</v>
      </c>
      <c r="B1287" s="53" t="s">
        <v>3279</v>
      </c>
      <c r="C1287" s="53" t="s">
        <v>1077</v>
      </c>
      <c r="D1287" s="53">
        <v>1</v>
      </c>
      <c r="E1287" s="53" t="s">
        <v>3062</v>
      </c>
      <c r="F1287" s="53" t="s">
        <v>1885</v>
      </c>
      <c r="G1287" s="53" t="s">
        <v>901</v>
      </c>
      <c r="H1287" s="53" t="s">
        <v>902</v>
      </c>
      <c r="I1287" s="53" t="s">
        <v>656</v>
      </c>
      <c r="J1287" s="53" t="s">
        <v>3255</v>
      </c>
    </row>
    <row r="1288" spans="1:10" ht="15" customHeight="1" x14ac:dyDescent="0.35">
      <c r="A1288" s="53" t="s">
        <v>896</v>
      </c>
      <c r="B1288" s="53" t="s">
        <v>3280</v>
      </c>
      <c r="C1288" s="53" t="s">
        <v>921</v>
      </c>
      <c r="D1288" s="53">
        <v>1</v>
      </c>
      <c r="E1288" s="53" t="s">
        <v>3062</v>
      </c>
      <c r="F1288" s="53" t="s">
        <v>1885</v>
      </c>
      <c r="G1288" s="53" t="s">
        <v>901</v>
      </c>
      <c r="H1288" s="53" t="s">
        <v>902</v>
      </c>
      <c r="I1288" s="53" t="s">
        <v>656</v>
      </c>
      <c r="J1288" s="53" t="s">
        <v>3255</v>
      </c>
    </row>
    <row r="1289" spans="1:10" ht="15" customHeight="1" x14ac:dyDescent="0.35">
      <c r="A1289" s="53" t="s">
        <v>896</v>
      </c>
      <c r="B1289" s="53" t="s">
        <v>3281</v>
      </c>
      <c r="C1289" s="53" t="s">
        <v>1659</v>
      </c>
      <c r="D1289" s="53">
        <v>1</v>
      </c>
      <c r="E1289" s="53" t="s">
        <v>3062</v>
      </c>
      <c r="F1289" s="53" t="s">
        <v>1885</v>
      </c>
      <c r="G1289" s="53" t="s">
        <v>901</v>
      </c>
      <c r="H1289" s="53" t="s">
        <v>902</v>
      </c>
      <c r="I1289" s="53" t="s">
        <v>656</v>
      </c>
      <c r="J1289" s="53" t="s">
        <v>3282</v>
      </c>
    </row>
    <row r="1290" spans="1:10" ht="15" customHeight="1" x14ac:dyDescent="0.35">
      <c r="A1290" s="53" t="s">
        <v>896</v>
      </c>
      <c r="B1290" s="53" t="s">
        <v>3283</v>
      </c>
      <c r="C1290" s="53" t="s">
        <v>1659</v>
      </c>
      <c r="D1290" s="53">
        <v>1</v>
      </c>
      <c r="E1290" s="53" t="s">
        <v>3062</v>
      </c>
      <c r="F1290" s="53" t="s">
        <v>1885</v>
      </c>
      <c r="G1290" s="53" t="s">
        <v>901</v>
      </c>
      <c r="H1290" s="53" t="s">
        <v>902</v>
      </c>
      <c r="I1290" s="53" t="s">
        <v>656</v>
      </c>
      <c r="J1290" s="53" t="s">
        <v>3284</v>
      </c>
    </row>
    <row r="1291" spans="1:10" ht="15" customHeight="1" x14ac:dyDescent="0.35">
      <c r="A1291" s="53" t="s">
        <v>896</v>
      </c>
      <c r="B1291" s="53" t="s">
        <v>3285</v>
      </c>
      <c r="C1291" s="53" t="s">
        <v>1077</v>
      </c>
      <c r="D1291" s="53">
        <v>1</v>
      </c>
      <c r="E1291" s="53" t="s">
        <v>3062</v>
      </c>
      <c r="F1291" s="53" t="s">
        <v>1885</v>
      </c>
      <c r="G1291" s="53" t="s">
        <v>901</v>
      </c>
      <c r="H1291" s="53" t="s">
        <v>902</v>
      </c>
      <c r="I1291" s="53" t="s">
        <v>656</v>
      </c>
      <c r="J1291" s="53" t="s">
        <v>3270</v>
      </c>
    </row>
    <row r="1292" spans="1:10" ht="15" customHeight="1" x14ac:dyDescent="0.35">
      <c r="A1292" s="53" t="s">
        <v>896</v>
      </c>
      <c r="B1292" s="53" t="s">
        <v>3286</v>
      </c>
      <c r="C1292" s="53" t="s">
        <v>959</v>
      </c>
      <c r="D1292" s="53">
        <v>1</v>
      </c>
      <c r="E1292" s="53" t="s">
        <v>3062</v>
      </c>
      <c r="F1292" s="53" t="s">
        <v>1885</v>
      </c>
      <c r="G1292" s="53" t="s">
        <v>901</v>
      </c>
      <c r="H1292" s="53" t="s">
        <v>902</v>
      </c>
      <c r="I1292" s="53" t="s">
        <v>656</v>
      </c>
      <c r="J1292" s="53" t="s">
        <v>3287</v>
      </c>
    </row>
    <row r="1293" spans="1:10" ht="15" customHeight="1" x14ac:dyDescent="0.35">
      <c r="A1293" s="53" t="s">
        <v>896</v>
      </c>
      <c r="B1293" s="53" t="s">
        <v>3288</v>
      </c>
      <c r="C1293" s="53" t="s">
        <v>1070</v>
      </c>
      <c r="D1293" s="53">
        <v>1</v>
      </c>
      <c r="E1293" s="53" t="s">
        <v>3062</v>
      </c>
      <c r="F1293" s="53" t="s">
        <v>1885</v>
      </c>
      <c r="G1293" s="53" t="s">
        <v>901</v>
      </c>
      <c r="H1293" s="53" t="s">
        <v>902</v>
      </c>
      <c r="I1293" s="53" t="s">
        <v>656</v>
      </c>
      <c r="J1293" s="53" t="s">
        <v>3289</v>
      </c>
    </row>
    <row r="1294" spans="1:10" ht="15" customHeight="1" x14ac:dyDescent="0.35">
      <c r="A1294" s="53" t="s">
        <v>896</v>
      </c>
      <c r="B1294" s="53" t="s">
        <v>3290</v>
      </c>
      <c r="C1294" s="53" t="s">
        <v>996</v>
      </c>
      <c r="D1294" s="53">
        <v>1</v>
      </c>
      <c r="E1294" s="53" t="s">
        <v>3062</v>
      </c>
      <c r="F1294" s="53" t="s">
        <v>1885</v>
      </c>
      <c r="G1294" s="53" t="s">
        <v>901</v>
      </c>
      <c r="H1294" s="53" t="s">
        <v>902</v>
      </c>
      <c r="I1294" s="53" t="s">
        <v>656</v>
      </c>
      <c r="J1294" s="53" t="s">
        <v>3291</v>
      </c>
    </row>
    <row r="1295" spans="1:10" ht="15" customHeight="1" x14ac:dyDescent="0.35">
      <c r="A1295" s="53" t="s">
        <v>896</v>
      </c>
      <c r="B1295" s="53" t="s">
        <v>3292</v>
      </c>
      <c r="C1295" s="53" t="s">
        <v>959</v>
      </c>
      <c r="D1295" s="53">
        <v>1</v>
      </c>
      <c r="E1295" s="53" t="s">
        <v>3062</v>
      </c>
      <c r="F1295" s="53" t="s">
        <v>1885</v>
      </c>
      <c r="G1295" s="53" t="s">
        <v>901</v>
      </c>
      <c r="H1295" s="53" t="s">
        <v>902</v>
      </c>
      <c r="I1295" s="53" t="s">
        <v>656</v>
      </c>
      <c r="J1295" s="53" t="s">
        <v>3255</v>
      </c>
    </row>
    <row r="1296" spans="1:10" ht="15" customHeight="1" x14ac:dyDescent="0.35">
      <c r="A1296" s="53" t="s">
        <v>896</v>
      </c>
      <c r="B1296" s="53" t="s">
        <v>3293</v>
      </c>
      <c r="C1296" s="53" t="s">
        <v>1077</v>
      </c>
      <c r="D1296" s="53">
        <v>1</v>
      </c>
      <c r="E1296" s="53" t="s">
        <v>3062</v>
      </c>
      <c r="F1296" s="53" t="s">
        <v>1885</v>
      </c>
      <c r="G1296" s="53" t="s">
        <v>901</v>
      </c>
      <c r="H1296" s="53" t="s">
        <v>902</v>
      </c>
      <c r="I1296" s="53" t="s">
        <v>656</v>
      </c>
      <c r="J1296" s="53" t="s">
        <v>2348</v>
      </c>
    </row>
    <row r="1297" spans="1:10" ht="15" customHeight="1" x14ac:dyDescent="0.35">
      <c r="A1297" s="53" t="s">
        <v>896</v>
      </c>
      <c r="B1297" s="53" t="s">
        <v>3294</v>
      </c>
      <c r="C1297" s="53" t="s">
        <v>1077</v>
      </c>
      <c r="D1297" s="53">
        <v>1</v>
      </c>
      <c r="E1297" s="53" t="s">
        <v>3062</v>
      </c>
      <c r="F1297" s="53" t="s">
        <v>1885</v>
      </c>
      <c r="G1297" s="53" t="s">
        <v>901</v>
      </c>
      <c r="H1297" s="53" t="s">
        <v>902</v>
      </c>
      <c r="I1297" s="53" t="s">
        <v>656</v>
      </c>
      <c r="J1297" s="53" t="s">
        <v>3295</v>
      </c>
    </row>
    <row r="1298" spans="1:10" ht="15" customHeight="1" x14ac:dyDescent="0.35">
      <c r="A1298" s="53" t="s">
        <v>896</v>
      </c>
      <c r="B1298" s="53" t="s">
        <v>3296</v>
      </c>
      <c r="C1298" s="53" t="s">
        <v>1122</v>
      </c>
      <c r="D1298" s="53">
        <v>1</v>
      </c>
      <c r="E1298" s="53" t="s">
        <v>3062</v>
      </c>
      <c r="F1298" s="53" t="s">
        <v>1885</v>
      </c>
      <c r="G1298" s="53" t="s">
        <v>901</v>
      </c>
      <c r="H1298" s="53" t="s">
        <v>902</v>
      </c>
      <c r="I1298" s="53" t="s">
        <v>656</v>
      </c>
      <c r="J1298" s="53" t="s">
        <v>2949</v>
      </c>
    </row>
    <row r="1299" spans="1:10" ht="15" customHeight="1" x14ac:dyDescent="0.35">
      <c r="A1299" s="53" t="s">
        <v>896</v>
      </c>
      <c r="B1299" s="53" t="s">
        <v>3297</v>
      </c>
      <c r="C1299" s="53" t="s">
        <v>921</v>
      </c>
      <c r="D1299" s="53">
        <v>1</v>
      </c>
      <c r="E1299" s="53" t="s">
        <v>3062</v>
      </c>
      <c r="F1299" s="53" t="s">
        <v>1885</v>
      </c>
      <c r="G1299" s="53" t="s">
        <v>901</v>
      </c>
      <c r="H1299" s="53" t="s">
        <v>902</v>
      </c>
      <c r="I1299" s="53" t="s">
        <v>656</v>
      </c>
      <c r="J1299" s="53" t="s">
        <v>3010</v>
      </c>
    </row>
    <row r="1300" spans="1:10" ht="15" customHeight="1" x14ac:dyDescent="0.35">
      <c r="A1300" s="53" t="s">
        <v>896</v>
      </c>
      <c r="B1300" s="53" t="s">
        <v>3298</v>
      </c>
      <c r="C1300" s="53" t="s">
        <v>963</v>
      </c>
      <c r="D1300" s="53">
        <v>1</v>
      </c>
      <c r="E1300" s="53" t="s">
        <v>3062</v>
      </c>
      <c r="F1300" s="53" t="s">
        <v>1885</v>
      </c>
      <c r="G1300" s="53" t="s">
        <v>901</v>
      </c>
      <c r="H1300" s="53" t="s">
        <v>902</v>
      </c>
      <c r="I1300" s="53" t="s">
        <v>656</v>
      </c>
      <c r="J1300" s="53" t="s">
        <v>3255</v>
      </c>
    </row>
    <row r="1301" spans="1:10" ht="15" customHeight="1" x14ac:dyDescent="0.35">
      <c r="A1301" s="53" t="s">
        <v>896</v>
      </c>
      <c r="B1301" s="53" t="s">
        <v>3299</v>
      </c>
      <c r="C1301" s="53" t="s">
        <v>1122</v>
      </c>
      <c r="D1301" s="53">
        <v>1</v>
      </c>
      <c r="E1301" s="53" t="s">
        <v>3062</v>
      </c>
      <c r="F1301" s="53" t="s">
        <v>1885</v>
      </c>
      <c r="G1301" s="53" t="s">
        <v>901</v>
      </c>
      <c r="H1301" s="53" t="s">
        <v>902</v>
      </c>
      <c r="I1301" s="53" t="s">
        <v>656</v>
      </c>
      <c r="J1301" s="53" t="s">
        <v>3274</v>
      </c>
    </row>
    <row r="1302" spans="1:10" ht="15" customHeight="1" x14ac:dyDescent="0.35">
      <c r="A1302" s="53" t="s">
        <v>896</v>
      </c>
      <c r="B1302" s="53" t="s">
        <v>3300</v>
      </c>
      <c r="C1302" s="53" t="s">
        <v>1077</v>
      </c>
      <c r="D1302" s="53">
        <v>1</v>
      </c>
      <c r="E1302" s="53" t="s">
        <v>3062</v>
      </c>
      <c r="F1302" s="53" t="s">
        <v>1885</v>
      </c>
      <c r="G1302" s="53" t="s">
        <v>901</v>
      </c>
      <c r="H1302" s="53" t="s">
        <v>902</v>
      </c>
      <c r="I1302" s="53" t="s">
        <v>656</v>
      </c>
      <c r="J1302" s="53" t="s">
        <v>3301</v>
      </c>
    </row>
    <row r="1303" spans="1:10" ht="15" customHeight="1" x14ac:dyDescent="0.35">
      <c r="A1303" s="53" t="s">
        <v>896</v>
      </c>
      <c r="B1303" s="53" t="s">
        <v>3302</v>
      </c>
      <c r="C1303" s="53" t="s">
        <v>1077</v>
      </c>
      <c r="D1303" s="53">
        <v>1</v>
      </c>
      <c r="E1303" s="53" t="s">
        <v>3062</v>
      </c>
      <c r="F1303" s="53" t="s">
        <v>1885</v>
      </c>
      <c r="G1303" s="53" t="s">
        <v>901</v>
      </c>
      <c r="H1303" s="53" t="s">
        <v>902</v>
      </c>
      <c r="I1303" s="53" t="s">
        <v>656</v>
      </c>
      <c r="J1303" s="53" t="s">
        <v>3295</v>
      </c>
    </row>
    <row r="1304" spans="1:10" ht="15" customHeight="1" x14ac:dyDescent="0.35">
      <c r="A1304" s="53" t="s">
        <v>896</v>
      </c>
      <c r="B1304" s="53" t="s">
        <v>3303</v>
      </c>
      <c r="C1304" s="53" t="s">
        <v>1122</v>
      </c>
      <c r="D1304" s="53">
        <v>1</v>
      </c>
      <c r="E1304" s="53" t="s">
        <v>3062</v>
      </c>
      <c r="F1304" s="53" t="s">
        <v>1885</v>
      </c>
      <c r="G1304" s="53" t="s">
        <v>901</v>
      </c>
      <c r="H1304" s="53" t="s">
        <v>902</v>
      </c>
      <c r="I1304" s="53" t="s">
        <v>656</v>
      </c>
      <c r="J1304" s="53" t="s">
        <v>3255</v>
      </c>
    </row>
    <row r="1305" spans="1:10" ht="15" customHeight="1" x14ac:dyDescent="0.35">
      <c r="A1305" s="53" t="s">
        <v>896</v>
      </c>
      <c r="B1305" s="53" t="s">
        <v>3304</v>
      </c>
      <c r="C1305" s="53" t="s">
        <v>1077</v>
      </c>
      <c r="D1305" s="53">
        <v>1</v>
      </c>
      <c r="E1305" s="53" t="s">
        <v>3062</v>
      </c>
      <c r="F1305" s="53" t="s">
        <v>1885</v>
      </c>
      <c r="G1305" s="53" t="s">
        <v>901</v>
      </c>
      <c r="H1305" s="53" t="s">
        <v>902</v>
      </c>
      <c r="I1305" s="53" t="s">
        <v>656</v>
      </c>
      <c r="J1305" s="53" t="s">
        <v>3255</v>
      </c>
    </row>
    <row r="1306" spans="1:10" ht="15" customHeight="1" x14ac:dyDescent="0.35">
      <c r="A1306" s="53" t="s">
        <v>896</v>
      </c>
      <c r="B1306" s="53" t="s">
        <v>3305</v>
      </c>
      <c r="C1306" s="53" t="s">
        <v>1077</v>
      </c>
      <c r="D1306" s="53">
        <v>1</v>
      </c>
      <c r="E1306" s="53" t="s">
        <v>3062</v>
      </c>
      <c r="F1306" s="53" t="s">
        <v>1885</v>
      </c>
      <c r="G1306" s="53" t="s">
        <v>901</v>
      </c>
      <c r="H1306" s="53" t="s">
        <v>902</v>
      </c>
      <c r="I1306" s="53" t="s">
        <v>656</v>
      </c>
      <c r="J1306" s="53" t="s">
        <v>3274</v>
      </c>
    </row>
    <row r="1307" spans="1:10" ht="15" customHeight="1" x14ac:dyDescent="0.35">
      <c r="A1307" s="53" t="s">
        <v>896</v>
      </c>
      <c r="B1307" s="53" t="s">
        <v>3306</v>
      </c>
      <c r="C1307" s="53" t="s">
        <v>1077</v>
      </c>
      <c r="D1307" s="53">
        <v>1</v>
      </c>
      <c r="E1307" s="53" t="s">
        <v>3062</v>
      </c>
      <c r="F1307" s="53" t="s">
        <v>1885</v>
      </c>
      <c r="G1307" s="53" t="s">
        <v>901</v>
      </c>
      <c r="H1307" s="53" t="s">
        <v>902</v>
      </c>
      <c r="I1307" s="53" t="s">
        <v>656</v>
      </c>
      <c r="J1307" s="53" t="s">
        <v>3307</v>
      </c>
    </row>
    <row r="1308" spans="1:10" ht="15" customHeight="1" x14ac:dyDescent="0.35">
      <c r="A1308" s="53" t="s">
        <v>896</v>
      </c>
      <c r="B1308" s="53" t="s">
        <v>3308</v>
      </c>
      <c r="C1308" s="53" t="s">
        <v>1122</v>
      </c>
      <c r="D1308" s="53">
        <v>1</v>
      </c>
      <c r="E1308" s="53" t="s">
        <v>3062</v>
      </c>
      <c r="F1308" s="53" t="s">
        <v>1885</v>
      </c>
      <c r="G1308" s="53" t="s">
        <v>901</v>
      </c>
      <c r="H1308" s="53" t="s">
        <v>902</v>
      </c>
      <c r="I1308" s="53" t="s">
        <v>656</v>
      </c>
      <c r="J1308" s="53" t="s">
        <v>3309</v>
      </c>
    </row>
    <row r="1309" spans="1:10" ht="15" customHeight="1" x14ac:dyDescent="0.35">
      <c r="A1309" s="53" t="s">
        <v>896</v>
      </c>
      <c r="B1309" s="53" t="s">
        <v>3310</v>
      </c>
      <c r="C1309" s="53" t="s">
        <v>1817</v>
      </c>
      <c r="D1309" s="53">
        <v>1</v>
      </c>
      <c r="E1309" s="53" t="s">
        <v>3065</v>
      </c>
      <c r="F1309" s="53" t="s">
        <v>1885</v>
      </c>
      <c r="G1309" s="53" t="s">
        <v>901</v>
      </c>
      <c r="H1309" s="53" t="s">
        <v>902</v>
      </c>
      <c r="I1309" s="53" t="s">
        <v>656</v>
      </c>
      <c r="J1309" s="53" t="s">
        <v>2825</v>
      </c>
    </row>
    <row r="1310" spans="1:10" ht="15" customHeight="1" x14ac:dyDescent="0.35">
      <c r="A1310" s="53" t="s">
        <v>896</v>
      </c>
      <c r="B1310" s="53" t="s">
        <v>3311</v>
      </c>
      <c r="C1310" s="53" t="s">
        <v>909</v>
      </c>
      <c r="D1310" s="53">
        <v>1</v>
      </c>
      <c r="E1310" s="53" t="s">
        <v>3065</v>
      </c>
      <c r="F1310" s="53" t="s">
        <v>1885</v>
      </c>
      <c r="G1310" s="53" t="s">
        <v>901</v>
      </c>
      <c r="H1310" s="53" t="s">
        <v>902</v>
      </c>
      <c r="I1310" s="53" t="s">
        <v>656</v>
      </c>
      <c r="J1310" s="53" t="s">
        <v>2734</v>
      </c>
    </row>
    <row r="1311" spans="1:10" ht="15" customHeight="1" x14ac:dyDescent="0.35">
      <c r="A1311" s="53" t="s">
        <v>896</v>
      </c>
      <c r="B1311" s="53" t="s">
        <v>3312</v>
      </c>
      <c r="C1311" s="53" t="s">
        <v>1143</v>
      </c>
      <c r="D1311" s="53">
        <v>1</v>
      </c>
      <c r="E1311" s="53" t="s">
        <v>3065</v>
      </c>
      <c r="F1311" s="53" t="s">
        <v>1885</v>
      </c>
      <c r="G1311" s="53" t="s">
        <v>901</v>
      </c>
      <c r="H1311" s="53" t="s">
        <v>902</v>
      </c>
      <c r="I1311" s="53" t="s">
        <v>656</v>
      </c>
      <c r="J1311" s="53" t="s">
        <v>3313</v>
      </c>
    </row>
    <row r="1312" spans="1:10" ht="15" customHeight="1" x14ac:dyDescent="0.35">
      <c r="A1312" s="53" t="s">
        <v>896</v>
      </c>
      <c r="B1312" s="53" t="s">
        <v>3314</v>
      </c>
      <c r="C1312" s="53" t="s">
        <v>921</v>
      </c>
      <c r="D1312" s="53">
        <v>1</v>
      </c>
      <c r="E1312" s="53" t="s">
        <v>3065</v>
      </c>
      <c r="F1312" s="53" t="s">
        <v>1885</v>
      </c>
      <c r="G1312" s="53" t="s">
        <v>901</v>
      </c>
      <c r="H1312" s="53" t="s">
        <v>902</v>
      </c>
      <c r="I1312" s="53" t="s">
        <v>656</v>
      </c>
      <c r="J1312" s="53" t="s">
        <v>3315</v>
      </c>
    </row>
    <row r="1313" spans="1:10" ht="15" customHeight="1" x14ac:dyDescent="0.35">
      <c r="A1313" s="53" t="s">
        <v>896</v>
      </c>
      <c r="B1313" s="53" t="s">
        <v>3316</v>
      </c>
      <c r="C1313" s="53" t="s">
        <v>1077</v>
      </c>
      <c r="D1313" s="53">
        <v>1</v>
      </c>
      <c r="E1313" s="53" t="s">
        <v>3065</v>
      </c>
      <c r="F1313" s="53" t="s">
        <v>1885</v>
      </c>
      <c r="G1313" s="53" t="s">
        <v>901</v>
      </c>
      <c r="H1313" s="53" t="s">
        <v>902</v>
      </c>
      <c r="I1313" s="53" t="s">
        <v>656</v>
      </c>
      <c r="J1313" s="53" t="s">
        <v>2956</v>
      </c>
    </row>
    <row r="1314" spans="1:10" ht="15" customHeight="1" x14ac:dyDescent="0.35">
      <c r="A1314" s="53" t="s">
        <v>896</v>
      </c>
      <c r="B1314" s="53" t="s">
        <v>3317</v>
      </c>
      <c r="C1314" s="53" t="s">
        <v>1077</v>
      </c>
      <c r="D1314" s="53">
        <v>1</v>
      </c>
      <c r="E1314" s="53" t="s">
        <v>3065</v>
      </c>
      <c r="F1314" s="53" t="s">
        <v>1885</v>
      </c>
      <c r="G1314" s="53" t="s">
        <v>901</v>
      </c>
      <c r="H1314" s="53" t="s">
        <v>902</v>
      </c>
      <c r="I1314" s="53" t="s">
        <v>656</v>
      </c>
      <c r="J1314" s="53" t="s">
        <v>3318</v>
      </c>
    </row>
    <row r="1315" spans="1:10" ht="15" customHeight="1" x14ac:dyDescent="0.35">
      <c r="A1315" s="53" t="s">
        <v>896</v>
      </c>
      <c r="B1315" s="53" t="s">
        <v>3319</v>
      </c>
      <c r="C1315" s="53" t="s">
        <v>3198</v>
      </c>
      <c r="D1315" s="53">
        <v>1</v>
      </c>
      <c r="E1315" s="53" t="s">
        <v>3065</v>
      </c>
      <c r="F1315" s="53" t="s">
        <v>1885</v>
      </c>
      <c r="G1315" s="53" t="s">
        <v>901</v>
      </c>
      <c r="H1315" s="53" t="s">
        <v>902</v>
      </c>
      <c r="I1315" s="53" t="s">
        <v>656</v>
      </c>
      <c r="J1315" s="53" t="s">
        <v>3320</v>
      </c>
    </row>
    <row r="1316" spans="1:10" ht="15" customHeight="1" x14ac:dyDescent="0.35">
      <c r="A1316" s="53" t="s">
        <v>896</v>
      </c>
      <c r="B1316" s="53" t="s">
        <v>3321</v>
      </c>
      <c r="C1316" s="53" t="s">
        <v>1118</v>
      </c>
      <c r="D1316" s="53">
        <v>1</v>
      </c>
      <c r="E1316" s="53" t="s">
        <v>3065</v>
      </c>
      <c r="F1316" s="53" t="s">
        <v>1885</v>
      </c>
      <c r="G1316" s="53" t="s">
        <v>901</v>
      </c>
      <c r="H1316" s="53" t="s">
        <v>902</v>
      </c>
      <c r="I1316" s="53" t="s">
        <v>656</v>
      </c>
      <c r="J1316" s="53" t="s">
        <v>1904</v>
      </c>
    </row>
    <row r="1317" spans="1:10" ht="15" customHeight="1" x14ac:dyDescent="0.35">
      <c r="A1317" s="53" t="s">
        <v>896</v>
      </c>
      <c r="B1317" s="53" t="s">
        <v>3322</v>
      </c>
      <c r="C1317" s="53" t="s">
        <v>1690</v>
      </c>
      <c r="D1317" s="53">
        <v>1</v>
      </c>
      <c r="E1317" s="53" t="s">
        <v>3065</v>
      </c>
      <c r="F1317" s="53" t="s">
        <v>1885</v>
      </c>
      <c r="G1317" s="53" t="s">
        <v>901</v>
      </c>
      <c r="H1317" s="53" t="s">
        <v>902</v>
      </c>
      <c r="I1317" s="53" t="s">
        <v>656</v>
      </c>
      <c r="J1317" s="53" t="s">
        <v>2956</v>
      </c>
    </row>
    <row r="1318" spans="1:10" ht="15" customHeight="1" x14ac:dyDescent="0.35">
      <c r="A1318" s="53" t="s">
        <v>896</v>
      </c>
      <c r="B1318" s="53" t="s">
        <v>3323</v>
      </c>
      <c r="C1318" s="53" t="s">
        <v>1136</v>
      </c>
      <c r="D1318" s="53">
        <v>1</v>
      </c>
      <c r="E1318" s="53" t="s">
        <v>3065</v>
      </c>
      <c r="F1318" s="53" t="s">
        <v>1885</v>
      </c>
      <c r="G1318" s="53" t="s">
        <v>901</v>
      </c>
      <c r="H1318" s="53" t="s">
        <v>902</v>
      </c>
      <c r="I1318" s="53" t="s">
        <v>656</v>
      </c>
      <c r="J1318" s="53" t="s">
        <v>2725</v>
      </c>
    </row>
    <row r="1319" spans="1:10" ht="15" customHeight="1" x14ac:dyDescent="0.35">
      <c r="A1319" s="53" t="s">
        <v>896</v>
      </c>
      <c r="B1319" s="53" t="s">
        <v>3324</v>
      </c>
      <c r="C1319" s="53" t="s">
        <v>1101</v>
      </c>
      <c r="D1319" s="53">
        <v>1</v>
      </c>
      <c r="E1319" s="53" t="s">
        <v>3065</v>
      </c>
      <c r="F1319" s="53" t="s">
        <v>1885</v>
      </c>
      <c r="G1319" s="53" t="s">
        <v>901</v>
      </c>
      <c r="H1319" s="53" t="s">
        <v>902</v>
      </c>
      <c r="I1319" s="53" t="s">
        <v>656</v>
      </c>
      <c r="J1319" s="53" t="s">
        <v>3325</v>
      </c>
    </row>
    <row r="1320" spans="1:10" ht="15" customHeight="1" x14ac:dyDescent="0.35">
      <c r="A1320" s="53" t="s">
        <v>896</v>
      </c>
      <c r="B1320" s="53" t="s">
        <v>3326</v>
      </c>
      <c r="C1320" s="53" t="s">
        <v>2257</v>
      </c>
      <c r="D1320" s="53">
        <v>1</v>
      </c>
      <c r="E1320" s="53" t="s">
        <v>3065</v>
      </c>
      <c r="F1320" s="53" t="s">
        <v>1885</v>
      </c>
      <c r="G1320" s="53" t="s">
        <v>901</v>
      </c>
      <c r="H1320" s="53" t="s">
        <v>902</v>
      </c>
      <c r="I1320" s="53" t="s">
        <v>656</v>
      </c>
      <c r="J1320" s="53" t="s">
        <v>2959</v>
      </c>
    </row>
    <row r="1321" spans="1:10" ht="15" customHeight="1" x14ac:dyDescent="0.35">
      <c r="A1321" s="53" t="s">
        <v>896</v>
      </c>
      <c r="B1321" s="53" t="s">
        <v>3327</v>
      </c>
      <c r="C1321" s="53" t="s">
        <v>1212</v>
      </c>
      <c r="D1321" s="53">
        <v>1</v>
      </c>
      <c r="E1321" s="53" t="s">
        <v>3065</v>
      </c>
      <c r="F1321" s="53" t="s">
        <v>1885</v>
      </c>
      <c r="G1321" s="53" t="s">
        <v>901</v>
      </c>
      <c r="H1321" s="53" t="s">
        <v>902</v>
      </c>
      <c r="I1321" s="53" t="s">
        <v>656</v>
      </c>
      <c r="J1321" s="53" t="s">
        <v>2825</v>
      </c>
    </row>
    <row r="1322" spans="1:10" ht="15" customHeight="1" x14ac:dyDescent="0.35">
      <c r="A1322" s="53" t="s">
        <v>896</v>
      </c>
      <c r="B1322" s="53" t="s">
        <v>3328</v>
      </c>
      <c r="C1322" s="53" t="s">
        <v>1091</v>
      </c>
      <c r="D1322" s="53">
        <v>1</v>
      </c>
      <c r="E1322" s="53" t="s">
        <v>3065</v>
      </c>
      <c r="F1322" s="53" t="s">
        <v>1885</v>
      </c>
      <c r="G1322" s="53" t="s">
        <v>901</v>
      </c>
      <c r="H1322" s="53" t="s">
        <v>902</v>
      </c>
      <c r="I1322" s="53" t="s">
        <v>656</v>
      </c>
      <c r="J1322" s="53" t="s">
        <v>2794</v>
      </c>
    </row>
    <row r="1323" spans="1:10" ht="15" customHeight="1" x14ac:dyDescent="0.35">
      <c r="A1323" s="53" t="s">
        <v>896</v>
      </c>
      <c r="B1323" s="53" t="s">
        <v>3329</v>
      </c>
      <c r="C1323" s="53" t="s">
        <v>1143</v>
      </c>
      <c r="D1323" s="53">
        <v>1</v>
      </c>
      <c r="E1323" s="53" t="s">
        <v>3065</v>
      </c>
      <c r="F1323" s="53" t="s">
        <v>1885</v>
      </c>
      <c r="G1323" s="53" t="s">
        <v>901</v>
      </c>
      <c r="H1323" s="53" t="s">
        <v>902</v>
      </c>
      <c r="I1323" s="53" t="s">
        <v>656</v>
      </c>
      <c r="J1323" s="53" t="s">
        <v>3330</v>
      </c>
    </row>
    <row r="1324" spans="1:10" ht="15" customHeight="1" x14ac:dyDescent="0.35">
      <c r="A1324" s="53" t="s">
        <v>896</v>
      </c>
      <c r="B1324" s="53" t="s">
        <v>3331</v>
      </c>
      <c r="C1324" s="53" t="s">
        <v>2792</v>
      </c>
      <c r="D1324" s="53">
        <v>1</v>
      </c>
      <c r="E1324" s="53" t="s">
        <v>3065</v>
      </c>
      <c r="F1324" s="53" t="s">
        <v>1885</v>
      </c>
      <c r="G1324" s="53" t="s">
        <v>901</v>
      </c>
      <c r="H1324" s="53" t="s">
        <v>902</v>
      </c>
      <c r="I1324" s="53" t="s">
        <v>656</v>
      </c>
      <c r="J1324" s="53" t="s">
        <v>2794</v>
      </c>
    </row>
    <row r="1325" spans="1:10" ht="15" customHeight="1" x14ac:dyDescent="0.35">
      <c r="A1325" s="53" t="s">
        <v>896</v>
      </c>
      <c r="B1325" s="53" t="s">
        <v>3332</v>
      </c>
      <c r="C1325" s="53" t="s">
        <v>1768</v>
      </c>
      <c r="D1325" s="53">
        <v>1</v>
      </c>
      <c r="E1325" s="53" t="s">
        <v>3065</v>
      </c>
      <c r="F1325" s="53" t="s">
        <v>1885</v>
      </c>
      <c r="G1325" s="53" t="s">
        <v>901</v>
      </c>
      <c r="H1325" s="53" t="s">
        <v>902</v>
      </c>
      <c r="I1325" s="53" t="s">
        <v>656</v>
      </c>
      <c r="J1325" s="53" t="s">
        <v>2794</v>
      </c>
    </row>
    <row r="1326" spans="1:10" ht="15" customHeight="1" x14ac:dyDescent="0.35">
      <c r="A1326" s="53" t="s">
        <v>896</v>
      </c>
      <c r="B1326" s="53" t="s">
        <v>3333</v>
      </c>
      <c r="C1326" s="53" t="s">
        <v>913</v>
      </c>
      <c r="D1326" s="53">
        <v>1</v>
      </c>
      <c r="E1326" s="53" t="s">
        <v>3065</v>
      </c>
      <c r="F1326" s="53" t="s">
        <v>1885</v>
      </c>
      <c r="G1326" s="53" t="s">
        <v>901</v>
      </c>
      <c r="H1326" s="53" t="s">
        <v>902</v>
      </c>
      <c r="I1326" s="53" t="s">
        <v>656</v>
      </c>
      <c r="J1326" s="53" t="s">
        <v>2825</v>
      </c>
    </row>
    <row r="1327" spans="1:10" ht="15" customHeight="1" x14ac:dyDescent="0.35">
      <c r="A1327" s="53" t="s">
        <v>896</v>
      </c>
      <c r="B1327" s="53" t="s">
        <v>3334</v>
      </c>
      <c r="C1327" s="53" t="s">
        <v>913</v>
      </c>
      <c r="D1327" s="53">
        <v>1</v>
      </c>
      <c r="E1327" s="53" t="s">
        <v>3065</v>
      </c>
      <c r="F1327" s="53" t="s">
        <v>1885</v>
      </c>
      <c r="G1327" s="53" t="s">
        <v>901</v>
      </c>
      <c r="H1327" s="53" t="s">
        <v>902</v>
      </c>
      <c r="I1327" s="53" t="s">
        <v>656</v>
      </c>
      <c r="J1327" s="53" t="s">
        <v>2734</v>
      </c>
    </row>
    <row r="1328" spans="1:10" ht="15" customHeight="1" x14ac:dyDescent="0.35">
      <c r="A1328" s="53" t="s">
        <v>896</v>
      </c>
      <c r="B1328" s="53" t="s">
        <v>3335</v>
      </c>
      <c r="C1328" s="53" t="s">
        <v>1143</v>
      </c>
      <c r="D1328" s="53">
        <v>1</v>
      </c>
      <c r="E1328" s="53" t="s">
        <v>3065</v>
      </c>
      <c r="F1328" s="53" t="s">
        <v>1885</v>
      </c>
      <c r="G1328" s="53" t="s">
        <v>901</v>
      </c>
      <c r="H1328" s="53" t="s">
        <v>902</v>
      </c>
      <c r="I1328" s="53" t="s">
        <v>656</v>
      </c>
      <c r="J1328" s="53" t="s">
        <v>2956</v>
      </c>
    </row>
    <row r="1329" spans="1:10" ht="15" customHeight="1" x14ac:dyDescent="0.35">
      <c r="A1329" s="53" t="s">
        <v>896</v>
      </c>
      <c r="B1329" s="53" t="s">
        <v>3336</v>
      </c>
      <c r="C1329" s="53" t="s">
        <v>1659</v>
      </c>
      <c r="D1329" s="53">
        <v>1</v>
      </c>
      <c r="E1329" s="53" t="s">
        <v>3065</v>
      </c>
      <c r="F1329" s="53" t="s">
        <v>1885</v>
      </c>
      <c r="G1329" s="53" t="s">
        <v>901</v>
      </c>
      <c r="H1329" s="53" t="s">
        <v>902</v>
      </c>
      <c r="I1329" s="53" t="s">
        <v>656</v>
      </c>
      <c r="J1329" s="53" t="s">
        <v>2956</v>
      </c>
    </row>
    <row r="1330" spans="1:10" ht="15" customHeight="1" x14ac:dyDescent="0.35">
      <c r="A1330" s="53" t="s">
        <v>896</v>
      </c>
      <c r="B1330" s="53" t="s">
        <v>3337</v>
      </c>
      <c r="C1330" s="53" t="s">
        <v>963</v>
      </c>
      <c r="D1330" s="53">
        <v>1</v>
      </c>
      <c r="E1330" s="53" t="s">
        <v>3065</v>
      </c>
      <c r="F1330" s="53" t="s">
        <v>1885</v>
      </c>
      <c r="G1330" s="53" t="s">
        <v>901</v>
      </c>
      <c r="H1330" s="53" t="s">
        <v>902</v>
      </c>
      <c r="I1330" s="53" t="s">
        <v>656</v>
      </c>
      <c r="J1330" s="53" t="s">
        <v>3338</v>
      </c>
    </row>
    <row r="1331" spans="1:10" ht="15" customHeight="1" x14ac:dyDescent="0.35">
      <c r="A1331" s="53" t="s">
        <v>896</v>
      </c>
      <c r="B1331" s="53" t="s">
        <v>3339</v>
      </c>
      <c r="C1331" s="53" t="s">
        <v>1084</v>
      </c>
      <c r="D1331" s="53">
        <v>1</v>
      </c>
      <c r="E1331" s="53" t="s">
        <v>3065</v>
      </c>
      <c r="F1331" s="53" t="s">
        <v>1885</v>
      </c>
      <c r="G1331" s="53" t="s">
        <v>901</v>
      </c>
      <c r="H1331" s="53" t="s">
        <v>902</v>
      </c>
      <c r="I1331" s="53" t="s">
        <v>656</v>
      </c>
      <c r="J1331" s="53" t="s">
        <v>3340</v>
      </c>
    </row>
    <row r="1332" spans="1:10" ht="15" customHeight="1" x14ac:dyDescent="0.35">
      <c r="A1332" s="53" t="s">
        <v>896</v>
      </c>
      <c r="B1332" s="53" t="s">
        <v>3341</v>
      </c>
      <c r="C1332" s="53" t="s">
        <v>1122</v>
      </c>
      <c r="D1332" s="53">
        <v>1</v>
      </c>
      <c r="E1332" s="53" t="s">
        <v>3065</v>
      </c>
      <c r="F1332" s="53" t="s">
        <v>1885</v>
      </c>
      <c r="G1332" s="53" t="s">
        <v>901</v>
      </c>
      <c r="H1332" s="53" t="s">
        <v>902</v>
      </c>
      <c r="I1332" s="53" t="s">
        <v>656</v>
      </c>
      <c r="J1332" s="53" t="s">
        <v>3342</v>
      </c>
    </row>
    <row r="1333" spans="1:10" ht="15" customHeight="1" x14ac:dyDescent="0.35">
      <c r="A1333" s="53" t="s">
        <v>896</v>
      </c>
      <c r="B1333" s="53" t="s">
        <v>3343</v>
      </c>
      <c r="C1333" s="53" t="s">
        <v>921</v>
      </c>
      <c r="D1333" s="53">
        <v>1</v>
      </c>
      <c r="E1333" s="53" t="s">
        <v>3065</v>
      </c>
      <c r="F1333" s="53" t="s">
        <v>1885</v>
      </c>
      <c r="G1333" s="53" t="s">
        <v>901</v>
      </c>
      <c r="H1333" s="53" t="s">
        <v>902</v>
      </c>
      <c r="I1333" s="53" t="s">
        <v>656</v>
      </c>
      <c r="J1333" s="53" t="s">
        <v>3344</v>
      </c>
    </row>
    <row r="1334" spans="1:10" ht="15" customHeight="1" x14ac:dyDescent="0.35">
      <c r="A1334" s="53" t="s">
        <v>896</v>
      </c>
      <c r="B1334" s="53" t="s">
        <v>3345</v>
      </c>
      <c r="C1334" s="53" t="s">
        <v>1143</v>
      </c>
      <c r="D1334" s="53">
        <v>1</v>
      </c>
      <c r="E1334" s="53" t="s">
        <v>3065</v>
      </c>
      <c r="F1334" s="53" t="s">
        <v>1885</v>
      </c>
      <c r="G1334" s="53" t="s">
        <v>901</v>
      </c>
      <c r="H1334" s="53" t="s">
        <v>902</v>
      </c>
      <c r="I1334" s="53" t="s">
        <v>656</v>
      </c>
      <c r="J1334" s="53" t="s">
        <v>2956</v>
      </c>
    </row>
    <row r="1335" spans="1:10" ht="15" customHeight="1" x14ac:dyDescent="0.35">
      <c r="A1335" s="53" t="s">
        <v>896</v>
      </c>
      <c r="B1335" s="53" t="s">
        <v>3346</v>
      </c>
      <c r="C1335" s="53" t="s">
        <v>1077</v>
      </c>
      <c r="D1335" s="53">
        <v>1</v>
      </c>
      <c r="E1335" s="53" t="s">
        <v>3065</v>
      </c>
      <c r="F1335" s="53" t="s">
        <v>1885</v>
      </c>
      <c r="G1335" s="53" t="s">
        <v>901</v>
      </c>
      <c r="H1335" s="53" t="s">
        <v>902</v>
      </c>
      <c r="I1335" s="53" t="s">
        <v>656</v>
      </c>
      <c r="J1335" s="53" t="s">
        <v>3347</v>
      </c>
    </row>
    <row r="1336" spans="1:10" ht="15" customHeight="1" x14ac:dyDescent="0.35">
      <c r="A1336" s="53" t="s">
        <v>896</v>
      </c>
      <c r="B1336" s="53" t="s">
        <v>3348</v>
      </c>
      <c r="C1336" s="53" t="s">
        <v>1157</v>
      </c>
      <c r="D1336" s="53">
        <v>1</v>
      </c>
      <c r="E1336" s="53" t="s">
        <v>3065</v>
      </c>
      <c r="F1336" s="53" t="s">
        <v>1885</v>
      </c>
      <c r="G1336" s="53" t="s">
        <v>901</v>
      </c>
      <c r="H1336" s="53" t="s">
        <v>902</v>
      </c>
      <c r="I1336" s="53" t="s">
        <v>656</v>
      </c>
      <c r="J1336" s="53" t="s">
        <v>3349</v>
      </c>
    </row>
    <row r="1337" spans="1:10" ht="15" customHeight="1" x14ac:dyDescent="0.35">
      <c r="A1337" s="53" t="s">
        <v>896</v>
      </c>
      <c r="B1337" s="53" t="s">
        <v>3350</v>
      </c>
      <c r="C1337" s="53" t="s">
        <v>996</v>
      </c>
      <c r="D1337" s="53">
        <v>1</v>
      </c>
      <c r="E1337" s="53" t="s">
        <v>3065</v>
      </c>
      <c r="F1337" s="53" t="s">
        <v>1885</v>
      </c>
      <c r="G1337" s="53" t="s">
        <v>901</v>
      </c>
      <c r="H1337" s="53" t="s">
        <v>902</v>
      </c>
      <c r="I1337" s="53" t="s">
        <v>656</v>
      </c>
      <c r="J1337" s="53" t="s">
        <v>2734</v>
      </c>
    </row>
    <row r="1338" spans="1:10" ht="15" customHeight="1" x14ac:dyDescent="0.35">
      <c r="A1338" s="53" t="s">
        <v>896</v>
      </c>
      <c r="B1338" s="53" t="s">
        <v>3351</v>
      </c>
      <c r="C1338" s="53" t="s">
        <v>2792</v>
      </c>
      <c r="D1338" s="53">
        <v>1</v>
      </c>
      <c r="E1338" s="53" t="s">
        <v>3065</v>
      </c>
      <c r="F1338" s="53" t="s">
        <v>1885</v>
      </c>
      <c r="G1338" s="53" t="s">
        <v>901</v>
      </c>
      <c r="H1338" s="53" t="s">
        <v>902</v>
      </c>
      <c r="I1338" s="53" t="s">
        <v>656</v>
      </c>
      <c r="J1338" s="53" t="s">
        <v>3352</v>
      </c>
    </row>
    <row r="1339" spans="1:10" ht="15" customHeight="1" x14ac:dyDescent="0.35">
      <c r="A1339" s="53" t="s">
        <v>896</v>
      </c>
      <c r="B1339" s="53" t="s">
        <v>3353</v>
      </c>
      <c r="C1339" s="53" t="s">
        <v>913</v>
      </c>
      <c r="D1339" s="53">
        <v>1</v>
      </c>
      <c r="E1339" s="53" t="s">
        <v>3065</v>
      </c>
      <c r="F1339" s="53" t="s">
        <v>1885</v>
      </c>
      <c r="G1339" s="53" t="s">
        <v>901</v>
      </c>
      <c r="H1339" s="53" t="s">
        <v>902</v>
      </c>
      <c r="I1339" s="53" t="s">
        <v>656</v>
      </c>
      <c r="J1339" s="53" t="s">
        <v>2734</v>
      </c>
    </row>
    <row r="1340" spans="1:10" ht="15" customHeight="1" x14ac:dyDescent="0.35">
      <c r="A1340" s="53" t="s">
        <v>896</v>
      </c>
      <c r="B1340" s="53" t="s">
        <v>3354</v>
      </c>
      <c r="C1340" s="53" t="s">
        <v>1101</v>
      </c>
      <c r="D1340" s="53">
        <v>1</v>
      </c>
      <c r="E1340" s="53" t="s">
        <v>3065</v>
      </c>
      <c r="F1340" s="53" t="s">
        <v>1885</v>
      </c>
      <c r="G1340" s="53" t="s">
        <v>901</v>
      </c>
      <c r="H1340" s="53" t="s">
        <v>902</v>
      </c>
      <c r="I1340" s="53" t="s">
        <v>656</v>
      </c>
      <c r="J1340" s="53" t="s">
        <v>2825</v>
      </c>
    </row>
    <row r="1341" spans="1:10" ht="15" customHeight="1" x14ac:dyDescent="0.35">
      <c r="A1341" s="53" t="s">
        <v>896</v>
      </c>
      <c r="B1341" s="53" t="s">
        <v>3355</v>
      </c>
      <c r="C1341" s="53" t="s">
        <v>921</v>
      </c>
      <c r="D1341" s="53">
        <v>1</v>
      </c>
      <c r="E1341" s="53" t="s">
        <v>3065</v>
      </c>
      <c r="F1341" s="53" t="s">
        <v>1885</v>
      </c>
      <c r="G1341" s="53" t="s">
        <v>901</v>
      </c>
      <c r="H1341" s="53" t="s">
        <v>902</v>
      </c>
      <c r="I1341" s="53" t="s">
        <v>656</v>
      </c>
      <c r="J1341" s="53" t="s">
        <v>3356</v>
      </c>
    </row>
    <row r="1342" spans="1:10" ht="15" customHeight="1" x14ac:dyDescent="0.35">
      <c r="A1342" s="53" t="s">
        <v>896</v>
      </c>
      <c r="B1342" s="53" t="s">
        <v>3357</v>
      </c>
      <c r="C1342" s="53" t="s">
        <v>1070</v>
      </c>
      <c r="D1342" s="53">
        <v>1</v>
      </c>
      <c r="E1342" s="53" t="s">
        <v>3065</v>
      </c>
      <c r="F1342" s="53" t="s">
        <v>1885</v>
      </c>
      <c r="G1342" s="53" t="s">
        <v>901</v>
      </c>
      <c r="H1342" s="53" t="s">
        <v>902</v>
      </c>
      <c r="I1342" s="53" t="s">
        <v>656</v>
      </c>
      <c r="J1342" s="53" t="s">
        <v>3315</v>
      </c>
    </row>
    <row r="1343" spans="1:10" ht="15" customHeight="1" x14ac:dyDescent="0.35">
      <c r="A1343" s="53" t="s">
        <v>896</v>
      </c>
      <c r="B1343" s="53" t="s">
        <v>3358</v>
      </c>
      <c r="C1343" s="53" t="s">
        <v>1817</v>
      </c>
      <c r="D1343" s="53">
        <v>1</v>
      </c>
      <c r="E1343" s="53" t="s">
        <v>3065</v>
      </c>
      <c r="F1343" s="53" t="s">
        <v>1885</v>
      </c>
      <c r="G1343" s="53" t="s">
        <v>901</v>
      </c>
      <c r="H1343" s="53" t="s">
        <v>902</v>
      </c>
      <c r="I1343" s="53" t="s">
        <v>656</v>
      </c>
      <c r="J1343" s="53" t="s">
        <v>3359</v>
      </c>
    </row>
    <row r="1344" spans="1:10" ht="15" customHeight="1" x14ac:dyDescent="0.35">
      <c r="A1344" s="53" t="s">
        <v>896</v>
      </c>
      <c r="B1344" s="53" t="s">
        <v>3360</v>
      </c>
      <c r="C1344" s="53" t="s">
        <v>1009</v>
      </c>
      <c r="D1344" s="53">
        <v>1</v>
      </c>
      <c r="E1344" s="53" t="s">
        <v>3065</v>
      </c>
      <c r="F1344" s="53" t="s">
        <v>1885</v>
      </c>
      <c r="G1344" s="53" t="s">
        <v>901</v>
      </c>
      <c r="H1344" s="53" t="s">
        <v>902</v>
      </c>
      <c r="I1344" s="53" t="s">
        <v>656</v>
      </c>
      <c r="J1344" s="53" t="s">
        <v>2959</v>
      </c>
    </row>
    <row r="1345" spans="1:10" ht="15" customHeight="1" x14ac:dyDescent="0.35">
      <c r="A1345" s="53" t="s">
        <v>896</v>
      </c>
      <c r="B1345" s="53" t="s">
        <v>3361</v>
      </c>
      <c r="C1345" s="53" t="s">
        <v>921</v>
      </c>
      <c r="D1345" s="53">
        <v>1</v>
      </c>
      <c r="E1345" s="53" t="s">
        <v>3065</v>
      </c>
      <c r="F1345" s="53" t="s">
        <v>1885</v>
      </c>
      <c r="G1345" s="53" t="s">
        <v>901</v>
      </c>
      <c r="H1345" s="53" t="s">
        <v>902</v>
      </c>
      <c r="I1345" s="53" t="s">
        <v>656</v>
      </c>
      <c r="J1345" s="53" t="s">
        <v>3344</v>
      </c>
    </row>
    <row r="1346" spans="1:10" ht="15" customHeight="1" x14ac:dyDescent="0.35">
      <c r="A1346" s="53" t="s">
        <v>896</v>
      </c>
      <c r="B1346" s="53" t="s">
        <v>3362</v>
      </c>
      <c r="C1346" s="53" t="s">
        <v>989</v>
      </c>
      <c r="D1346" s="53">
        <v>1</v>
      </c>
      <c r="E1346" s="53" t="s">
        <v>3065</v>
      </c>
      <c r="F1346" s="53" t="s">
        <v>1885</v>
      </c>
      <c r="G1346" s="53" t="s">
        <v>901</v>
      </c>
      <c r="H1346" s="53" t="s">
        <v>902</v>
      </c>
      <c r="I1346" s="53" t="s">
        <v>656</v>
      </c>
      <c r="J1346" s="53" t="s">
        <v>3363</v>
      </c>
    </row>
    <row r="1347" spans="1:10" ht="15" customHeight="1" x14ac:dyDescent="0.35">
      <c r="A1347" s="53" t="s">
        <v>896</v>
      </c>
      <c r="B1347" s="53" t="s">
        <v>3364</v>
      </c>
      <c r="C1347" s="53" t="s">
        <v>1817</v>
      </c>
      <c r="D1347" s="53">
        <v>1</v>
      </c>
      <c r="E1347" s="53" t="s">
        <v>3065</v>
      </c>
      <c r="F1347" s="53" t="s">
        <v>1885</v>
      </c>
      <c r="G1347" s="53" t="s">
        <v>901</v>
      </c>
      <c r="H1347" s="53" t="s">
        <v>902</v>
      </c>
      <c r="I1347" s="53" t="s">
        <v>656</v>
      </c>
      <c r="J1347" s="53" t="s">
        <v>1904</v>
      </c>
    </row>
    <row r="1348" spans="1:10" ht="15" customHeight="1" x14ac:dyDescent="0.35">
      <c r="A1348" s="53" t="s">
        <v>896</v>
      </c>
      <c r="B1348" s="53" t="s">
        <v>3365</v>
      </c>
      <c r="C1348" s="53" t="s">
        <v>2792</v>
      </c>
      <c r="D1348" s="53">
        <v>1</v>
      </c>
      <c r="E1348" s="53" t="s">
        <v>3065</v>
      </c>
      <c r="F1348" s="53" t="s">
        <v>1885</v>
      </c>
      <c r="G1348" s="53" t="s">
        <v>901</v>
      </c>
      <c r="H1348" s="53" t="s">
        <v>902</v>
      </c>
      <c r="I1348" s="53" t="s">
        <v>656</v>
      </c>
      <c r="J1348" s="53" t="s">
        <v>2794</v>
      </c>
    </row>
    <row r="1349" spans="1:10" ht="15" customHeight="1" x14ac:dyDescent="0.35">
      <c r="A1349" s="53" t="s">
        <v>896</v>
      </c>
      <c r="B1349" s="53" t="s">
        <v>3366</v>
      </c>
      <c r="C1349" s="53" t="s">
        <v>1122</v>
      </c>
      <c r="D1349" s="53">
        <v>1</v>
      </c>
      <c r="E1349" s="53" t="s">
        <v>3065</v>
      </c>
      <c r="F1349" s="53" t="s">
        <v>1885</v>
      </c>
      <c r="G1349" s="53" t="s">
        <v>901</v>
      </c>
      <c r="H1349" s="53" t="s">
        <v>902</v>
      </c>
      <c r="I1349" s="53" t="s">
        <v>656</v>
      </c>
      <c r="J1349" s="53" t="s">
        <v>2956</v>
      </c>
    </row>
    <row r="1350" spans="1:10" ht="15" customHeight="1" x14ac:dyDescent="0.35">
      <c r="A1350" s="53" t="s">
        <v>896</v>
      </c>
      <c r="B1350" s="53" t="s">
        <v>3367</v>
      </c>
      <c r="C1350" s="53" t="s">
        <v>1077</v>
      </c>
      <c r="D1350" s="53">
        <v>1</v>
      </c>
      <c r="E1350" s="53" t="s">
        <v>3065</v>
      </c>
      <c r="F1350" s="53" t="s">
        <v>1885</v>
      </c>
      <c r="G1350" s="53" t="s">
        <v>901</v>
      </c>
      <c r="H1350" s="53" t="s">
        <v>902</v>
      </c>
      <c r="I1350" s="53" t="s">
        <v>656</v>
      </c>
      <c r="J1350" s="53" t="s">
        <v>2621</v>
      </c>
    </row>
    <row r="1351" spans="1:10" ht="15" customHeight="1" x14ac:dyDescent="0.35">
      <c r="A1351" s="53" t="s">
        <v>896</v>
      </c>
      <c r="B1351" s="53" t="s">
        <v>3368</v>
      </c>
      <c r="C1351" s="53" t="s">
        <v>1136</v>
      </c>
      <c r="D1351" s="53">
        <v>1</v>
      </c>
      <c r="E1351" s="53" t="s">
        <v>3065</v>
      </c>
      <c r="F1351" s="53" t="s">
        <v>1885</v>
      </c>
      <c r="G1351" s="53" t="s">
        <v>901</v>
      </c>
      <c r="H1351" s="53" t="s">
        <v>902</v>
      </c>
      <c r="I1351" s="53" t="s">
        <v>656</v>
      </c>
      <c r="J1351" s="53" t="s">
        <v>2954</v>
      </c>
    </row>
    <row r="1352" spans="1:10" ht="15" customHeight="1" x14ac:dyDescent="0.35">
      <c r="A1352" s="53" t="s">
        <v>896</v>
      </c>
      <c r="B1352" s="53" t="s">
        <v>3369</v>
      </c>
      <c r="C1352" s="53" t="s">
        <v>1009</v>
      </c>
      <c r="D1352" s="53">
        <v>1</v>
      </c>
      <c r="E1352" s="53" t="s">
        <v>3065</v>
      </c>
      <c r="F1352" s="53" t="s">
        <v>1885</v>
      </c>
      <c r="G1352" s="53" t="s">
        <v>901</v>
      </c>
      <c r="H1352" s="53" t="s">
        <v>902</v>
      </c>
      <c r="I1352" s="53" t="s">
        <v>656</v>
      </c>
      <c r="J1352" s="53" t="s">
        <v>1904</v>
      </c>
    </row>
    <row r="1353" spans="1:10" ht="15" customHeight="1" x14ac:dyDescent="0.35">
      <c r="A1353" s="53" t="s">
        <v>896</v>
      </c>
      <c r="B1353" s="53" t="s">
        <v>3370</v>
      </c>
      <c r="C1353" s="53" t="s">
        <v>989</v>
      </c>
      <c r="D1353" s="53">
        <v>1</v>
      </c>
      <c r="E1353" s="53" t="s">
        <v>3065</v>
      </c>
      <c r="F1353" s="53" t="s">
        <v>1885</v>
      </c>
      <c r="G1353" s="53" t="s">
        <v>901</v>
      </c>
      <c r="H1353" s="53" t="s">
        <v>902</v>
      </c>
      <c r="I1353" s="53" t="s">
        <v>656</v>
      </c>
      <c r="J1353" s="53" t="s">
        <v>2734</v>
      </c>
    </row>
    <row r="1354" spans="1:10" ht="15" customHeight="1" x14ac:dyDescent="0.35">
      <c r="A1354" s="53" t="s">
        <v>896</v>
      </c>
      <c r="B1354" s="53" t="s">
        <v>3371</v>
      </c>
      <c r="C1354" s="53" t="s">
        <v>963</v>
      </c>
      <c r="D1354" s="53">
        <v>1</v>
      </c>
      <c r="E1354" s="53" t="s">
        <v>3065</v>
      </c>
      <c r="F1354" s="53" t="s">
        <v>1885</v>
      </c>
      <c r="G1354" s="53" t="s">
        <v>901</v>
      </c>
      <c r="H1354" s="53" t="s">
        <v>902</v>
      </c>
      <c r="I1354" s="53" t="s">
        <v>656</v>
      </c>
      <c r="J1354" s="53" t="s">
        <v>3372</v>
      </c>
    </row>
    <row r="1355" spans="1:10" ht="15" customHeight="1" x14ac:dyDescent="0.35">
      <c r="A1355" s="53" t="s">
        <v>896</v>
      </c>
      <c r="B1355" s="53" t="s">
        <v>3373</v>
      </c>
      <c r="C1355" s="53" t="s">
        <v>921</v>
      </c>
      <c r="D1355" s="53">
        <v>1</v>
      </c>
      <c r="E1355" s="53" t="s">
        <v>3065</v>
      </c>
      <c r="F1355" s="53" t="s">
        <v>1885</v>
      </c>
      <c r="G1355" s="53" t="s">
        <v>901</v>
      </c>
      <c r="H1355" s="53" t="s">
        <v>902</v>
      </c>
      <c r="I1355" s="53" t="s">
        <v>656</v>
      </c>
      <c r="J1355" s="53" t="s">
        <v>3356</v>
      </c>
    </row>
    <row r="1356" spans="1:10" ht="15" customHeight="1" x14ac:dyDescent="0.35">
      <c r="A1356" s="53" t="s">
        <v>896</v>
      </c>
      <c r="B1356" s="53" t="s">
        <v>3374</v>
      </c>
      <c r="C1356" s="53" t="s">
        <v>989</v>
      </c>
      <c r="D1356" s="53">
        <v>1</v>
      </c>
      <c r="E1356" s="53" t="s">
        <v>3065</v>
      </c>
      <c r="F1356" s="53" t="s">
        <v>1885</v>
      </c>
      <c r="G1356" s="53" t="s">
        <v>901</v>
      </c>
      <c r="H1356" s="53" t="s">
        <v>902</v>
      </c>
      <c r="I1356" s="53" t="s">
        <v>656</v>
      </c>
      <c r="J1356" s="53" t="s">
        <v>2825</v>
      </c>
    </row>
    <row r="1357" spans="1:10" ht="15" customHeight="1" x14ac:dyDescent="0.35">
      <c r="A1357" s="53" t="s">
        <v>896</v>
      </c>
      <c r="B1357" s="53" t="s">
        <v>3375</v>
      </c>
      <c r="C1357" s="53" t="s">
        <v>3052</v>
      </c>
      <c r="D1357" s="53">
        <v>1</v>
      </c>
      <c r="E1357" s="53" t="s">
        <v>3065</v>
      </c>
      <c r="F1357" s="53" t="s">
        <v>1885</v>
      </c>
      <c r="G1357" s="53" t="s">
        <v>901</v>
      </c>
      <c r="H1357" s="53" t="s">
        <v>902</v>
      </c>
      <c r="I1357" s="53" t="s">
        <v>656</v>
      </c>
      <c r="J1357" s="53" t="s">
        <v>3376</v>
      </c>
    </row>
    <row r="1358" spans="1:10" ht="15" customHeight="1" x14ac:dyDescent="0.35">
      <c r="A1358" s="53" t="s">
        <v>896</v>
      </c>
      <c r="B1358" s="53" t="s">
        <v>3377</v>
      </c>
      <c r="C1358" s="53" t="s">
        <v>1494</v>
      </c>
      <c r="D1358" s="53">
        <v>1</v>
      </c>
      <c r="E1358" s="53" t="s">
        <v>3065</v>
      </c>
      <c r="F1358" s="53" t="s">
        <v>1885</v>
      </c>
      <c r="G1358" s="53" t="s">
        <v>901</v>
      </c>
      <c r="H1358" s="53" t="s">
        <v>902</v>
      </c>
      <c r="I1358" s="53" t="s">
        <v>656</v>
      </c>
      <c r="J1358" s="53" t="s">
        <v>3378</v>
      </c>
    </row>
    <row r="1359" spans="1:10" ht="15" customHeight="1" x14ac:dyDescent="0.35">
      <c r="A1359" s="53" t="s">
        <v>896</v>
      </c>
      <c r="B1359" s="53" t="s">
        <v>3379</v>
      </c>
      <c r="C1359" s="53" t="s">
        <v>921</v>
      </c>
      <c r="D1359" s="53">
        <v>1</v>
      </c>
      <c r="E1359" s="53" t="s">
        <v>3065</v>
      </c>
      <c r="F1359" s="53" t="s">
        <v>1885</v>
      </c>
      <c r="G1359" s="53" t="s">
        <v>901</v>
      </c>
      <c r="H1359" s="53" t="s">
        <v>902</v>
      </c>
      <c r="I1359" s="53" t="s">
        <v>656</v>
      </c>
      <c r="J1359" s="53" t="s">
        <v>3380</v>
      </c>
    </row>
    <row r="1360" spans="1:10" ht="15" customHeight="1" x14ac:dyDescent="0.35">
      <c r="A1360" s="53" t="s">
        <v>896</v>
      </c>
      <c r="B1360" s="53" t="s">
        <v>3381</v>
      </c>
      <c r="C1360" s="53" t="s">
        <v>989</v>
      </c>
      <c r="D1360" s="53">
        <v>1</v>
      </c>
      <c r="E1360" s="53" t="s">
        <v>3065</v>
      </c>
      <c r="F1360" s="53" t="s">
        <v>1885</v>
      </c>
      <c r="G1360" s="53" t="s">
        <v>901</v>
      </c>
      <c r="H1360" s="53" t="s">
        <v>902</v>
      </c>
      <c r="I1360" s="53" t="s">
        <v>656</v>
      </c>
      <c r="J1360" s="53" t="s">
        <v>3382</v>
      </c>
    </row>
    <row r="1361" spans="1:10" ht="15" customHeight="1" x14ac:dyDescent="0.35">
      <c r="A1361" s="53" t="s">
        <v>896</v>
      </c>
      <c r="B1361" s="53" t="s">
        <v>3383</v>
      </c>
      <c r="C1361" s="53" t="s">
        <v>1101</v>
      </c>
      <c r="D1361" s="53">
        <v>1</v>
      </c>
      <c r="E1361" s="53" t="s">
        <v>3065</v>
      </c>
      <c r="F1361" s="53" t="s">
        <v>1885</v>
      </c>
      <c r="G1361" s="53" t="s">
        <v>901</v>
      </c>
      <c r="H1361" s="53" t="s">
        <v>902</v>
      </c>
      <c r="I1361" s="53" t="s">
        <v>656</v>
      </c>
      <c r="J1361" s="53" t="s">
        <v>3384</v>
      </c>
    </row>
    <row r="1362" spans="1:10" ht="15" customHeight="1" x14ac:dyDescent="0.35">
      <c r="A1362" s="53" t="s">
        <v>896</v>
      </c>
      <c r="B1362" s="53" t="s">
        <v>3385</v>
      </c>
      <c r="C1362" s="53" t="s">
        <v>1077</v>
      </c>
      <c r="D1362" s="53">
        <v>1</v>
      </c>
      <c r="E1362" s="53" t="s">
        <v>3065</v>
      </c>
      <c r="F1362" s="53" t="s">
        <v>1885</v>
      </c>
      <c r="G1362" s="53" t="s">
        <v>901</v>
      </c>
      <c r="H1362" s="53" t="s">
        <v>902</v>
      </c>
      <c r="I1362" s="53" t="s">
        <v>656</v>
      </c>
      <c r="J1362" s="53" t="s">
        <v>3386</v>
      </c>
    </row>
    <row r="1363" spans="1:10" ht="15" customHeight="1" x14ac:dyDescent="0.35">
      <c r="A1363" s="53" t="s">
        <v>896</v>
      </c>
      <c r="B1363" s="53" t="s">
        <v>3387</v>
      </c>
      <c r="C1363" s="53" t="s">
        <v>1077</v>
      </c>
      <c r="D1363" s="53">
        <v>1</v>
      </c>
      <c r="E1363" s="53" t="s">
        <v>3065</v>
      </c>
      <c r="F1363" s="53" t="s">
        <v>1885</v>
      </c>
      <c r="G1363" s="53" t="s">
        <v>901</v>
      </c>
      <c r="H1363" s="53" t="s">
        <v>902</v>
      </c>
      <c r="I1363" s="53" t="s">
        <v>656</v>
      </c>
      <c r="J1363" s="53" t="s">
        <v>2800</v>
      </c>
    </row>
    <row r="1364" spans="1:10" ht="15" customHeight="1" x14ac:dyDescent="0.35">
      <c r="A1364" s="53" t="s">
        <v>896</v>
      </c>
      <c r="B1364" s="53" t="s">
        <v>3388</v>
      </c>
      <c r="C1364" s="53" t="s">
        <v>1077</v>
      </c>
      <c r="D1364" s="53">
        <v>1</v>
      </c>
      <c r="E1364" s="53" t="s">
        <v>3065</v>
      </c>
      <c r="F1364" s="53" t="s">
        <v>1885</v>
      </c>
      <c r="G1364" s="53" t="s">
        <v>901</v>
      </c>
      <c r="H1364" s="53" t="s">
        <v>902</v>
      </c>
      <c r="I1364" s="53" t="s">
        <v>656</v>
      </c>
      <c r="J1364" s="53" t="s">
        <v>2621</v>
      </c>
    </row>
    <row r="1365" spans="1:10" ht="15" customHeight="1" x14ac:dyDescent="0.35">
      <c r="A1365" s="53" t="s">
        <v>896</v>
      </c>
      <c r="B1365" s="53" t="s">
        <v>3389</v>
      </c>
      <c r="C1365" s="53" t="s">
        <v>1077</v>
      </c>
      <c r="D1365" s="53">
        <v>1</v>
      </c>
      <c r="E1365" s="53" t="s">
        <v>3065</v>
      </c>
      <c r="F1365" s="53" t="s">
        <v>1885</v>
      </c>
      <c r="G1365" s="53" t="s">
        <v>901</v>
      </c>
      <c r="H1365" s="53" t="s">
        <v>902</v>
      </c>
      <c r="I1365" s="53" t="s">
        <v>656</v>
      </c>
      <c r="J1365" s="53" t="s">
        <v>2621</v>
      </c>
    </row>
    <row r="1366" spans="1:10" ht="15" customHeight="1" x14ac:dyDescent="0.35">
      <c r="A1366" s="53" t="s">
        <v>896</v>
      </c>
      <c r="B1366" s="53" t="s">
        <v>3390</v>
      </c>
      <c r="C1366" s="53" t="s">
        <v>963</v>
      </c>
      <c r="D1366" s="53">
        <v>1</v>
      </c>
      <c r="E1366" s="53" t="s">
        <v>3065</v>
      </c>
      <c r="F1366" s="53" t="s">
        <v>1885</v>
      </c>
      <c r="G1366" s="53" t="s">
        <v>901</v>
      </c>
      <c r="H1366" s="53" t="s">
        <v>902</v>
      </c>
      <c r="I1366" s="53" t="s">
        <v>656</v>
      </c>
      <c r="J1366" s="53" t="s">
        <v>2954</v>
      </c>
    </row>
    <row r="1367" spans="1:10" ht="15" customHeight="1" x14ac:dyDescent="0.35">
      <c r="A1367" s="53" t="s">
        <v>896</v>
      </c>
      <c r="B1367" s="53" t="s">
        <v>3391</v>
      </c>
      <c r="C1367" s="53" t="s">
        <v>1817</v>
      </c>
      <c r="D1367" s="53">
        <v>1</v>
      </c>
      <c r="E1367" s="53" t="s">
        <v>3065</v>
      </c>
      <c r="F1367" s="53" t="s">
        <v>1885</v>
      </c>
      <c r="G1367" s="53" t="s">
        <v>901</v>
      </c>
      <c r="H1367" s="53" t="s">
        <v>902</v>
      </c>
      <c r="I1367" s="53" t="s">
        <v>656</v>
      </c>
      <c r="J1367" s="53" t="s">
        <v>2794</v>
      </c>
    </row>
    <row r="1368" spans="1:10" ht="15" customHeight="1" x14ac:dyDescent="0.35">
      <c r="A1368" s="53" t="s">
        <v>896</v>
      </c>
      <c r="B1368" s="53" t="s">
        <v>3392</v>
      </c>
      <c r="C1368" s="53" t="s">
        <v>1077</v>
      </c>
      <c r="D1368" s="53">
        <v>1</v>
      </c>
      <c r="E1368" s="53" t="s">
        <v>3065</v>
      </c>
      <c r="F1368" s="53" t="s">
        <v>1885</v>
      </c>
      <c r="G1368" s="53" t="s">
        <v>901</v>
      </c>
      <c r="H1368" s="53" t="s">
        <v>902</v>
      </c>
      <c r="I1368" s="53" t="s">
        <v>656</v>
      </c>
      <c r="J1368" s="53" t="s">
        <v>2825</v>
      </c>
    </row>
    <row r="1369" spans="1:10" ht="15" customHeight="1" x14ac:dyDescent="0.35">
      <c r="A1369" s="53" t="s">
        <v>896</v>
      </c>
      <c r="B1369" s="53" t="s">
        <v>3393</v>
      </c>
      <c r="C1369" s="53" t="s">
        <v>1143</v>
      </c>
      <c r="D1369" s="53">
        <v>1</v>
      </c>
      <c r="E1369" s="53" t="s">
        <v>3065</v>
      </c>
      <c r="F1369" s="53" t="s">
        <v>1885</v>
      </c>
      <c r="G1369" s="53" t="s">
        <v>901</v>
      </c>
      <c r="H1369" s="53" t="s">
        <v>902</v>
      </c>
      <c r="I1369" s="53" t="s">
        <v>656</v>
      </c>
      <c r="J1369" s="53" t="s">
        <v>2956</v>
      </c>
    </row>
    <row r="1370" spans="1:10" ht="15" customHeight="1" x14ac:dyDescent="0.35">
      <c r="A1370" s="53" t="s">
        <v>896</v>
      </c>
      <c r="B1370" s="53" t="s">
        <v>3394</v>
      </c>
      <c r="C1370" s="53" t="s">
        <v>1582</v>
      </c>
      <c r="D1370" s="53">
        <v>1</v>
      </c>
      <c r="E1370" s="53" t="s">
        <v>3065</v>
      </c>
      <c r="F1370" s="53" t="s">
        <v>1885</v>
      </c>
      <c r="G1370" s="53" t="s">
        <v>901</v>
      </c>
      <c r="H1370" s="53" t="s">
        <v>902</v>
      </c>
      <c r="I1370" s="53" t="s">
        <v>656</v>
      </c>
      <c r="J1370" s="53" t="s">
        <v>2825</v>
      </c>
    </row>
    <row r="1371" spans="1:10" ht="15" customHeight="1" x14ac:dyDescent="0.35">
      <c r="A1371" s="53" t="s">
        <v>896</v>
      </c>
      <c r="B1371" s="53" t="s">
        <v>3395</v>
      </c>
      <c r="C1371" s="53" t="s">
        <v>925</v>
      </c>
      <c r="D1371" s="53">
        <v>1</v>
      </c>
      <c r="E1371" s="53" t="s">
        <v>3065</v>
      </c>
      <c r="F1371" s="53" t="s">
        <v>1885</v>
      </c>
      <c r="G1371" s="53" t="s">
        <v>901</v>
      </c>
      <c r="H1371" s="53" t="s">
        <v>902</v>
      </c>
      <c r="I1371" s="53" t="s">
        <v>656</v>
      </c>
      <c r="J1371" s="53" t="s">
        <v>3396</v>
      </c>
    </row>
    <row r="1372" spans="1:10" ht="15" customHeight="1" x14ac:dyDescent="0.35">
      <c r="A1372" s="53" t="s">
        <v>896</v>
      </c>
      <c r="B1372" s="53" t="s">
        <v>3397</v>
      </c>
      <c r="C1372" s="53" t="s">
        <v>2160</v>
      </c>
      <c r="D1372" s="53">
        <v>1</v>
      </c>
      <c r="E1372" s="53" t="s">
        <v>3065</v>
      </c>
      <c r="F1372" s="53" t="s">
        <v>1885</v>
      </c>
      <c r="G1372" s="53" t="s">
        <v>901</v>
      </c>
      <c r="H1372" s="53" t="s">
        <v>902</v>
      </c>
      <c r="I1372" s="53" t="s">
        <v>656</v>
      </c>
      <c r="J1372" s="53" t="s">
        <v>2794</v>
      </c>
    </row>
    <row r="1373" spans="1:10" ht="15" customHeight="1" x14ac:dyDescent="0.35">
      <c r="A1373" s="53" t="s">
        <v>896</v>
      </c>
      <c r="B1373" s="53" t="s">
        <v>3398</v>
      </c>
      <c r="C1373" s="53" t="s">
        <v>1077</v>
      </c>
      <c r="D1373" s="53">
        <v>1</v>
      </c>
      <c r="E1373" s="53" t="s">
        <v>3065</v>
      </c>
      <c r="F1373" s="53" t="s">
        <v>1885</v>
      </c>
      <c r="G1373" s="53" t="s">
        <v>901</v>
      </c>
      <c r="H1373" s="53" t="s">
        <v>902</v>
      </c>
      <c r="I1373" s="53" t="s">
        <v>656</v>
      </c>
      <c r="J1373" s="53" t="s">
        <v>2621</v>
      </c>
    </row>
    <row r="1374" spans="1:10" ht="15" customHeight="1" x14ac:dyDescent="0.35">
      <c r="A1374" s="53" t="s">
        <v>896</v>
      </c>
      <c r="B1374" s="53" t="s">
        <v>3399</v>
      </c>
      <c r="C1374" s="53" t="s">
        <v>1490</v>
      </c>
      <c r="D1374" s="53">
        <v>1</v>
      </c>
      <c r="E1374" s="53" t="s">
        <v>3065</v>
      </c>
      <c r="F1374" s="53" t="s">
        <v>1885</v>
      </c>
      <c r="G1374" s="53" t="s">
        <v>901</v>
      </c>
      <c r="H1374" s="53" t="s">
        <v>902</v>
      </c>
      <c r="I1374" s="53" t="s">
        <v>656</v>
      </c>
      <c r="J1374" s="53" t="s">
        <v>2794</v>
      </c>
    </row>
    <row r="1375" spans="1:10" ht="15" customHeight="1" x14ac:dyDescent="0.35">
      <c r="A1375" s="53" t="s">
        <v>896</v>
      </c>
      <c r="B1375" s="53" t="s">
        <v>3400</v>
      </c>
      <c r="C1375" s="53" t="s">
        <v>1077</v>
      </c>
      <c r="D1375" s="53">
        <v>1</v>
      </c>
      <c r="E1375" s="53" t="s">
        <v>3065</v>
      </c>
      <c r="F1375" s="53" t="s">
        <v>1885</v>
      </c>
      <c r="G1375" s="53" t="s">
        <v>901</v>
      </c>
      <c r="H1375" s="53" t="s">
        <v>902</v>
      </c>
      <c r="I1375" s="53" t="s">
        <v>656</v>
      </c>
      <c r="J1375" s="53" t="s">
        <v>3401</v>
      </c>
    </row>
    <row r="1376" spans="1:10" ht="15" customHeight="1" x14ac:dyDescent="0.35">
      <c r="A1376" s="53" t="s">
        <v>896</v>
      </c>
      <c r="B1376" s="53" t="s">
        <v>3402</v>
      </c>
      <c r="C1376" s="53"/>
      <c r="D1376" s="53">
        <v>1</v>
      </c>
      <c r="E1376" s="53" t="s">
        <v>3065</v>
      </c>
      <c r="F1376" s="53" t="s">
        <v>1885</v>
      </c>
      <c r="G1376" s="53" t="s">
        <v>901</v>
      </c>
      <c r="H1376" s="53" t="s">
        <v>902</v>
      </c>
      <c r="I1376" s="53" t="s">
        <v>656</v>
      </c>
      <c r="J1376" s="53" t="s">
        <v>2956</v>
      </c>
    </row>
    <row r="1377" spans="1:10" ht="15" customHeight="1" x14ac:dyDescent="0.35">
      <c r="A1377" s="53" t="s">
        <v>896</v>
      </c>
      <c r="B1377" s="53" t="s">
        <v>3403</v>
      </c>
      <c r="C1377" s="53" t="s">
        <v>3404</v>
      </c>
      <c r="D1377" s="53">
        <v>1</v>
      </c>
      <c r="E1377" s="53" t="s">
        <v>3070</v>
      </c>
      <c r="F1377" s="53" t="s">
        <v>1885</v>
      </c>
      <c r="G1377" s="53" t="s">
        <v>901</v>
      </c>
      <c r="H1377" s="53" t="s">
        <v>902</v>
      </c>
      <c r="I1377" s="53" t="s">
        <v>656</v>
      </c>
      <c r="J1377" s="53" t="s">
        <v>2649</v>
      </c>
    </row>
    <row r="1378" spans="1:10" ht="15" customHeight="1" x14ac:dyDescent="0.35">
      <c r="A1378" s="53" t="s">
        <v>896</v>
      </c>
      <c r="B1378" s="53" t="s">
        <v>3405</v>
      </c>
      <c r="C1378" s="53" t="s">
        <v>1240</v>
      </c>
      <c r="D1378" s="53">
        <v>1</v>
      </c>
      <c r="E1378" s="53" t="s">
        <v>3070</v>
      </c>
      <c r="F1378" s="53" t="s">
        <v>1885</v>
      </c>
      <c r="G1378" s="53" t="s">
        <v>901</v>
      </c>
      <c r="H1378" s="53" t="s">
        <v>902</v>
      </c>
      <c r="I1378" s="53" t="s">
        <v>656</v>
      </c>
      <c r="J1378" s="53" t="s">
        <v>2443</v>
      </c>
    </row>
    <row r="1379" spans="1:10" ht="15" customHeight="1" x14ac:dyDescent="0.35">
      <c r="A1379" s="53" t="s">
        <v>896</v>
      </c>
      <c r="B1379" s="53" t="s">
        <v>3406</v>
      </c>
      <c r="C1379" s="53" t="s">
        <v>1009</v>
      </c>
      <c r="D1379" s="53">
        <v>1</v>
      </c>
      <c r="E1379" s="53" t="s">
        <v>3070</v>
      </c>
      <c r="F1379" s="53" t="s">
        <v>1885</v>
      </c>
      <c r="G1379" s="53" t="s">
        <v>901</v>
      </c>
      <c r="H1379" s="53" t="s">
        <v>902</v>
      </c>
      <c r="I1379" s="53" t="s">
        <v>656</v>
      </c>
      <c r="J1379" s="53" t="s">
        <v>2443</v>
      </c>
    </row>
    <row r="1380" spans="1:10" ht="15" customHeight="1" x14ac:dyDescent="0.35">
      <c r="A1380" s="53" t="s">
        <v>896</v>
      </c>
      <c r="B1380" s="53" t="s">
        <v>3407</v>
      </c>
      <c r="C1380" s="53" t="s">
        <v>1009</v>
      </c>
      <c r="D1380" s="53">
        <v>1</v>
      </c>
      <c r="E1380" s="53" t="s">
        <v>3070</v>
      </c>
      <c r="F1380" s="53" t="s">
        <v>1885</v>
      </c>
      <c r="G1380" s="53" t="s">
        <v>901</v>
      </c>
      <c r="H1380" s="53" t="s">
        <v>902</v>
      </c>
      <c r="I1380" s="53" t="s">
        <v>656</v>
      </c>
      <c r="J1380" s="53" t="s">
        <v>2965</v>
      </c>
    </row>
    <row r="1381" spans="1:10" ht="15" customHeight="1" x14ac:dyDescent="0.35">
      <c r="A1381" s="53" t="s">
        <v>896</v>
      </c>
      <c r="B1381" s="53" t="s">
        <v>3408</v>
      </c>
      <c r="C1381" s="53" t="s">
        <v>909</v>
      </c>
      <c r="D1381" s="53">
        <v>1</v>
      </c>
      <c r="E1381" s="53" t="s">
        <v>3070</v>
      </c>
      <c r="F1381" s="53" t="s">
        <v>1885</v>
      </c>
      <c r="G1381" s="53" t="s">
        <v>901</v>
      </c>
      <c r="H1381" s="53" t="s">
        <v>902</v>
      </c>
      <c r="I1381" s="53" t="s">
        <v>656</v>
      </c>
      <c r="J1381" s="53" t="s">
        <v>2222</v>
      </c>
    </row>
    <row r="1382" spans="1:10" ht="15" customHeight="1" x14ac:dyDescent="0.35">
      <c r="A1382" s="53" t="s">
        <v>896</v>
      </c>
      <c r="B1382" s="53" t="s">
        <v>3409</v>
      </c>
      <c r="C1382" s="53" t="s">
        <v>946</v>
      </c>
      <c r="D1382" s="53">
        <v>1</v>
      </c>
      <c r="E1382" s="53" t="s">
        <v>3070</v>
      </c>
      <c r="F1382" s="53" t="s">
        <v>1885</v>
      </c>
      <c r="G1382" s="53" t="s">
        <v>901</v>
      </c>
      <c r="H1382" s="53" t="s">
        <v>902</v>
      </c>
      <c r="I1382" s="53" t="s">
        <v>656</v>
      </c>
      <c r="J1382" s="53" t="s">
        <v>2222</v>
      </c>
    </row>
    <row r="1383" spans="1:10" ht="15" customHeight="1" x14ac:dyDescent="0.35">
      <c r="A1383" s="53" t="s">
        <v>896</v>
      </c>
      <c r="B1383" s="53" t="s">
        <v>3410</v>
      </c>
      <c r="C1383" s="53" t="s">
        <v>3411</v>
      </c>
      <c r="D1383" s="53">
        <v>1</v>
      </c>
      <c r="E1383" s="53" t="s">
        <v>3070</v>
      </c>
      <c r="F1383" s="53" t="s">
        <v>1885</v>
      </c>
      <c r="G1383" s="53" t="s">
        <v>901</v>
      </c>
      <c r="H1383" s="53" t="s">
        <v>902</v>
      </c>
      <c r="I1383" s="53" t="s">
        <v>656</v>
      </c>
      <c r="J1383" s="53" t="s">
        <v>2222</v>
      </c>
    </row>
    <row r="1384" spans="1:10" ht="15" customHeight="1" x14ac:dyDescent="0.35">
      <c r="A1384" s="53" t="s">
        <v>896</v>
      </c>
      <c r="B1384" s="53" t="s">
        <v>3412</v>
      </c>
      <c r="C1384" s="53" t="s">
        <v>3413</v>
      </c>
      <c r="D1384" s="53">
        <v>1</v>
      </c>
      <c r="E1384" s="53" t="s">
        <v>3070</v>
      </c>
      <c r="F1384" s="53" t="s">
        <v>1885</v>
      </c>
      <c r="G1384" s="53" t="s">
        <v>901</v>
      </c>
      <c r="H1384" s="53" t="s">
        <v>902</v>
      </c>
      <c r="I1384" s="53" t="s">
        <v>656</v>
      </c>
      <c r="J1384" s="53" t="s">
        <v>2222</v>
      </c>
    </row>
    <row r="1385" spans="1:10" ht="15" customHeight="1" x14ac:dyDescent="0.35">
      <c r="A1385" s="53" t="s">
        <v>896</v>
      </c>
      <c r="B1385" s="53" t="s">
        <v>3414</v>
      </c>
      <c r="C1385" s="53" t="s">
        <v>2971</v>
      </c>
      <c r="D1385" s="53">
        <v>1</v>
      </c>
      <c r="E1385" s="53" t="s">
        <v>3070</v>
      </c>
      <c r="F1385" s="53" t="s">
        <v>1885</v>
      </c>
      <c r="G1385" s="53" t="s">
        <v>901</v>
      </c>
      <c r="H1385" s="53" t="s">
        <v>902</v>
      </c>
      <c r="I1385" s="53" t="s">
        <v>656</v>
      </c>
      <c r="J1385" s="53" t="s">
        <v>2222</v>
      </c>
    </row>
    <row r="1386" spans="1:10" ht="15" customHeight="1" x14ac:dyDescent="0.35">
      <c r="A1386" s="53" t="s">
        <v>896</v>
      </c>
      <c r="B1386" s="53" t="s">
        <v>3415</v>
      </c>
      <c r="C1386" s="53" t="s">
        <v>1136</v>
      </c>
      <c r="D1386" s="53">
        <v>1</v>
      </c>
      <c r="E1386" s="53" t="s">
        <v>3070</v>
      </c>
      <c r="F1386" s="53" t="s">
        <v>1885</v>
      </c>
      <c r="G1386" s="53" t="s">
        <v>901</v>
      </c>
      <c r="H1386" s="53" t="s">
        <v>902</v>
      </c>
      <c r="I1386" s="53" t="s">
        <v>656</v>
      </c>
      <c r="J1386" s="53" t="s">
        <v>2965</v>
      </c>
    </row>
    <row r="1387" spans="1:10" ht="15" customHeight="1" x14ac:dyDescent="0.35">
      <c r="A1387" s="53" t="s">
        <v>896</v>
      </c>
      <c r="B1387" s="53" t="s">
        <v>3416</v>
      </c>
      <c r="C1387" s="53" t="s">
        <v>1136</v>
      </c>
      <c r="D1387" s="53">
        <v>1</v>
      </c>
      <c r="E1387" s="53" t="s">
        <v>3070</v>
      </c>
      <c r="F1387" s="53" t="s">
        <v>1885</v>
      </c>
      <c r="G1387" s="53" t="s">
        <v>901</v>
      </c>
      <c r="H1387" s="53" t="s">
        <v>902</v>
      </c>
      <c r="I1387" s="53" t="s">
        <v>656</v>
      </c>
      <c r="J1387" s="53" t="s">
        <v>2965</v>
      </c>
    </row>
    <row r="1388" spans="1:10" ht="15" customHeight="1" x14ac:dyDescent="0.35">
      <c r="A1388" s="53" t="s">
        <v>896</v>
      </c>
      <c r="B1388" s="53" t="s">
        <v>3417</v>
      </c>
      <c r="C1388" s="53" t="s">
        <v>905</v>
      </c>
      <c r="D1388" s="53">
        <v>1</v>
      </c>
      <c r="E1388" s="53" t="s">
        <v>3070</v>
      </c>
      <c r="F1388" s="53" t="s">
        <v>1885</v>
      </c>
      <c r="G1388" s="53" t="s">
        <v>901</v>
      </c>
      <c r="H1388" s="53" t="s">
        <v>902</v>
      </c>
      <c r="I1388" s="53" t="s">
        <v>656</v>
      </c>
      <c r="J1388" s="53" t="s">
        <v>2692</v>
      </c>
    </row>
    <row r="1389" spans="1:10" ht="15" customHeight="1" x14ac:dyDescent="0.35">
      <c r="A1389" s="53" t="s">
        <v>896</v>
      </c>
      <c r="B1389" s="53" t="s">
        <v>3418</v>
      </c>
      <c r="C1389" s="53" t="s">
        <v>1118</v>
      </c>
      <c r="D1389" s="53">
        <v>1</v>
      </c>
      <c r="E1389" s="53" t="s">
        <v>3070</v>
      </c>
      <c r="F1389" s="53" t="s">
        <v>1885</v>
      </c>
      <c r="G1389" s="53" t="s">
        <v>901</v>
      </c>
      <c r="H1389" s="53" t="s">
        <v>902</v>
      </c>
      <c r="I1389" s="53" t="s">
        <v>656</v>
      </c>
      <c r="J1389" s="53" t="s">
        <v>2443</v>
      </c>
    </row>
    <row r="1390" spans="1:10" ht="15" customHeight="1" x14ac:dyDescent="0.35">
      <c r="A1390" s="53" t="s">
        <v>896</v>
      </c>
      <c r="B1390" s="53" t="s">
        <v>3419</v>
      </c>
      <c r="C1390" s="53" t="s">
        <v>3404</v>
      </c>
      <c r="D1390" s="53">
        <v>1</v>
      </c>
      <c r="E1390" s="53" t="s">
        <v>3070</v>
      </c>
      <c r="F1390" s="53" t="s">
        <v>1885</v>
      </c>
      <c r="G1390" s="53" t="s">
        <v>901</v>
      </c>
      <c r="H1390" s="53" t="s">
        <v>902</v>
      </c>
      <c r="I1390" s="53" t="s">
        <v>656</v>
      </c>
      <c r="J1390" s="53" t="s">
        <v>2829</v>
      </c>
    </row>
    <row r="1391" spans="1:10" ht="15" customHeight="1" x14ac:dyDescent="0.35">
      <c r="A1391" s="53" t="s">
        <v>896</v>
      </c>
      <c r="B1391" s="53" t="s">
        <v>3420</v>
      </c>
      <c r="C1391" s="53" t="s">
        <v>1118</v>
      </c>
      <c r="D1391" s="53">
        <v>1</v>
      </c>
      <c r="E1391" s="53" t="s">
        <v>3070</v>
      </c>
      <c r="F1391" s="53" t="s">
        <v>1885</v>
      </c>
      <c r="G1391" s="53" t="s">
        <v>901</v>
      </c>
      <c r="H1391" s="53" t="s">
        <v>902</v>
      </c>
      <c r="I1391" s="53" t="s">
        <v>656</v>
      </c>
      <c r="J1391" s="53" t="s">
        <v>2965</v>
      </c>
    </row>
    <row r="1392" spans="1:10" ht="15" customHeight="1" x14ac:dyDescent="0.35">
      <c r="A1392" s="53" t="s">
        <v>896</v>
      </c>
      <c r="B1392" s="53" t="s">
        <v>3421</v>
      </c>
      <c r="C1392" s="53" t="s">
        <v>3404</v>
      </c>
      <c r="D1392" s="53">
        <v>1</v>
      </c>
      <c r="E1392" s="53" t="s">
        <v>3070</v>
      </c>
      <c r="F1392" s="53" t="s">
        <v>1885</v>
      </c>
      <c r="G1392" s="53" t="s">
        <v>901</v>
      </c>
      <c r="H1392" s="53" t="s">
        <v>902</v>
      </c>
      <c r="I1392" s="53" t="s">
        <v>656</v>
      </c>
      <c r="J1392" s="53" t="s">
        <v>2829</v>
      </c>
    </row>
    <row r="1393" spans="1:10" ht="15" customHeight="1" x14ac:dyDescent="0.35">
      <c r="A1393" s="53" t="s">
        <v>896</v>
      </c>
      <c r="B1393" s="53" t="s">
        <v>3422</v>
      </c>
      <c r="C1393" s="53" t="s">
        <v>1118</v>
      </c>
      <c r="D1393" s="53">
        <v>1</v>
      </c>
      <c r="E1393" s="53" t="s">
        <v>3070</v>
      </c>
      <c r="F1393" s="53" t="s">
        <v>1885</v>
      </c>
      <c r="G1393" s="53" t="s">
        <v>901</v>
      </c>
      <c r="H1393" s="53" t="s">
        <v>902</v>
      </c>
      <c r="I1393" s="53" t="s">
        <v>656</v>
      </c>
      <c r="J1393" s="53" t="s">
        <v>2222</v>
      </c>
    </row>
    <row r="1394" spans="1:10" ht="15" customHeight="1" x14ac:dyDescent="0.35">
      <c r="A1394" s="53" t="s">
        <v>896</v>
      </c>
      <c r="B1394" s="53" t="s">
        <v>3423</v>
      </c>
      <c r="C1394" s="53" t="s">
        <v>1143</v>
      </c>
      <c r="D1394" s="53">
        <v>1</v>
      </c>
      <c r="E1394" s="53" t="s">
        <v>3070</v>
      </c>
      <c r="F1394" s="53" t="s">
        <v>1885</v>
      </c>
      <c r="G1394" s="53" t="s">
        <v>901</v>
      </c>
      <c r="H1394" s="53" t="s">
        <v>902</v>
      </c>
      <c r="I1394" s="53" t="s">
        <v>656</v>
      </c>
      <c r="J1394" s="53" t="s">
        <v>2985</v>
      </c>
    </row>
    <row r="1395" spans="1:10" ht="15" customHeight="1" x14ac:dyDescent="0.35">
      <c r="A1395" s="53" t="s">
        <v>896</v>
      </c>
      <c r="B1395" s="53" t="s">
        <v>3424</v>
      </c>
      <c r="C1395" s="53" t="s">
        <v>929</v>
      </c>
      <c r="D1395" s="53">
        <v>1</v>
      </c>
      <c r="E1395" s="53" t="s">
        <v>3070</v>
      </c>
      <c r="F1395" s="53" t="s">
        <v>1885</v>
      </c>
      <c r="G1395" s="53" t="s">
        <v>901</v>
      </c>
      <c r="H1395" s="53" t="s">
        <v>902</v>
      </c>
      <c r="I1395" s="53" t="s">
        <v>656</v>
      </c>
      <c r="J1395" s="53" t="s">
        <v>2829</v>
      </c>
    </row>
    <row r="1396" spans="1:10" ht="15" customHeight="1" x14ac:dyDescent="0.35">
      <c r="A1396" s="53" t="s">
        <v>896</v>
      </c>
      <c r="B1396" s="53" t="s">
        <v>3425</v>
      </c>
      <c r="C1396" s="53" t="s">
        <v>1077</v>
      </c>
      <c r="D1396" s="53">
        <v>1</v>
      </c>
      <c r="E1396" s="53" t="s">
        <v>3070</v>
      </c>
      <c r="F1396" s="53" t="s">
        <v>1885</v>
      </c>
      <c r="G1396" s="53" t="s">
        <v>901</v>
      </c>
      <c r="H1396" s="53" t="s">
        <v>902</v>
      </c>
      <c r="I1396" s="53" t="s">
        <v>656</v>
      </c>
      <c r="J1396" s="53" t="s">
        <v>2222</v>
      </c>
    </row>
    <row r="1397" spans="1:10" ht="15" customHeight="1" x14ac:dyDescent="0.35">
      <c r="A1397" s="53" t="s">
        <v>896</v>
      </c>
      <c r="B1397" s="53" t="s">
        <v>3426</v>
      </c>
      <c r="C1397" s="53" t="s">
        <v>1077</v>
      </c>
      <c r="D1397" s="53">
        <v>1</v>
      </c>
      <c r="E1397" s="53" t="s">
        <v>3070</v>
      </c>
      <c r="F1397" s="53" t="s">
        <v>1885</v>
      </c>
      <c r="G1397" s="53" t="s">
        <v>901</v>
      </c>
      <c r="H1397" s="53" t="s">
        <v>902</v>
      </c>
      <c r="I1397" s="53" t="s">
        <v>656</v>
      </c>
      <c r="J1397" s="53" t="s">
        <v>2649</v>
      </c>
    </row>
    <row r="1398" spans="1:10" ht="15" customHeight="1" x14ac:dyDescent="0.35">
      <c r="A1398" s="53" t="s">
        <v>896</v>
      </c>
      <c r="B1398" s="53" t="s">
        <v>3427</v>
      </c>
      <c r="C1398" s="53" t="s">
        <v>2257</v>
      </c>
      <c r="D1398" s="53">
        <v>1</v>
      </c>
      <c r="E1398" s="53" t="s">
        <v>3070</v>
      </c>
      <c r="F1398" s="53" t="s">
        <v>1885</v>
      </c>
      <c r="G1398" s="53" t="s">
        <v>901</v>
      </c>
      <c r="H1398" s="53" t="s">
        <v>902</v>
      </c>
      <c r="I1398" s="53" t="s">
        <v>656</v>
      </c>
      <c r="J1398" s="53" t="s">
        <v>2443</v>
      </c>
    </row>
    <row r="1399" spans="1:10" ht="15" customHeight="1" x14ac:dyDescent="0.35">
      <c r="A1399" s="53" t="s">
        <v>896</v>
      </c>
      <c r="B1399" s="53" t="s">
        <v>3428</v>
      </c>
      <c r="C1399" s="53" t="s">
        <v>1817</v>
      </c>
      <c r="D1399" s="53">
        <v>1</v>
      </c>
      <c r="E1399" s="53" t="s">
        <v>3070</v>
      </c>
      <c r="F1399" s="53" t="s">
        <v>1885</v>
      </c>
      <c r="G1399" s="53" t="s">
        <v>901</v>
      </c>
      <c r="H1399" s="53" t="s">
        <v>902</v>
      </c>
      <c r="I1399" s="53" t="s">
        <v>656</v>
      </c>
      <c r="J1399" s="53" t="s">
        <v>2803</v>
      </c>
    </row>
    <row r="1400" spans="1:10" ht="15" customHeight="1" x14ac:dyDescent="0.35">
      <c r="A1400" s="53" t="s">
        <v>896</v>
      </c>
      <c r="B1400" s="53" t="s">
        <v>3429</v>
      </c>
      <c r="C1400" s="53" t="s">
        <v>1817</v>
      </c>
      <c r="D1400" s="53">
        <v>1</v>
      </c>
      <c r="E1400" s="53" t="s">
        <v>3070</v>
      </c>
      <c r="F1400" s="53" t="s">
        <v>1885</v>
      </c>
      <c r="G1400" s="53" t="s">
        <v>901</v>
      </c>
      <c r="H1400" s="53" t="s">
        <v>902</v>
      </c>
      <c r="I1400" s="53" t="s">
        <v>656</v>
      </c>
      <c r="J1400" s="53" t="s">
        <v>2443</v>
      </c>
    </row>
    <row r="1401" spans="1:10" ht="15" customHeight="1" x14ac:dyDescent="0.35">
      <c r="A1401" s="53" t="s">
        <v>896</v>
      </c>
      <c r="B1401" s="53" t="s">
        <v>3430</v>
      </c>
      <c r="C1401" s="53" t="s">
        <v>2602</v>
      </c>
      <c r="D1401" s="53">
        <v>1</v>
      </c>
      <c r="E1401" s="53" t="s">
        <v>3070</v>
      </c>
      <c r="F1401" s="53" t="s">
        <v>1885</v>
      </c>
      <c r="G1401" s="53" t="s">
        <v>901</v>
      </c>
      <c r="H1401" s="53" t="s">
        <v>902</v>
      </c>
      <c r="I1401" s="53" t="s">
        <v>656</v>
      </c>
      <c r="J1401" s="53" t="s">
        <v>2222</v>
      </c>
    </row>
    <row r="1402" spans="1:10" ht="15" customHeight="1" x14ac:dyDescent="0.35">
      <c r="A1402" s="53" t="s">
        <v>896</v>
      </c>
      <c r="B1402" s="53" t="s">
        <v>3431</v>
      </c>
      <c r="C1402" s="53" t="s">
        <v>1690</v>
      </c>
      <c r="D1402" s="53">
        <v>1</v>
      </c>
      <c r="E1402" s="53" t="s">
        <v>3070</v>
      </c>
      <c r="F1402" s="53" t="s">
        <v>1885</v>
      </c>
      <c r="G1402" s="53" t="s">
        <v>901</v>
      </c>
      <c r="H1402" s="53" t="s">
        <v>902</v>
      </c>
      <c r="I1402" s="53" t="s">
        <v>656</v>
      </c>
      <c r="J1402" s="53" t="s">
        <v>2803</v>
      </c>
    </row>
    <row r="1403" spans="1:10" ht="15" customHeight="1" x14ac:dyDescent="0.35">
      <c r="A1403" s="53" t="s">
        <v>896</v>
      </c>
      <c r="B1403" s="53" t="s">
        <v>3432</v>
      </c>
      <c r="C1403" s="53" t="s">
        <v>1136</v>
      </c>
      <c r="D1403" s="53">
        <v>1</v>
      </c>
      <c r="E1403" s="53" t="s">
        <v>3070</v>
      </c>
      <c r="F1403" s="53" t="s">
        <v>1885</v>
      </c>
      <c r="G1403" s="53" t="s">
        <v>901</v>
      </c>
      <c r="H1403" s="53" t="s">
        <v>902</v>
      </c>
      <c r="I1403" s="53" t="s">
        <v>656</v>
      </c>
      <c r="J1403" s="53" t="s">
        <v>2095</v>
      </c>
    </row>
    <row r="1404" spans="1:10" ht="15" customHeight="1" x14ac:dyDescent="0.35">
      <c r="A1404" s="53" t="s">
        <v>896</v>
      </c>
      <c r="B1404" s="53" t="s">
        <v>3433</v>
      </c>
      <c r="C1404" s="53" t="s">
        <v>913</v>
      </c>
      <c r="D1404" s="53">
        <v>1</v>
      </c>
      <c r="E1404" s="53" t="s">
        <v>3070</v>
      </c>
      <c r="F1404" s="53" t="s">
        <v>1885</v>
      </c>
      <c r="G1404" s="53" t="s">
        <v>901</v>
      </c>
      <c r="H1404" s="53" t="s">
        <v>902</v>
      </c>
      <c r="I1404" s="53" t="s">
        <v>656</v>
      </c>
      <c r="J1404" s="53" t="s">
        <v>2692</v>
      </c>
    </row>
    <row r="1405" spans="1:10" ht="15" customHeight="1" x14ac:dyDescent="0.35">
      <c r="A1405" s="53" t="s">
        <v>896</v>
      </c>
      <c r="B1405" s="53" t="s">
        <v>3434</v>
      </c>
      <c r="C1405" s="53" t="s">
        <v>1817</v>
      </c>
      <c r="D1405" s="53">
        <v>1</v>
      </c>
      <c r="E1405" s="53" t="s">
        <v>3070</v>
      </c>
      <c r="F1405" s="53" t="s">
        <v>1885</v>
      </c>
      <c r="G1405" s="53" t="s">
        <v>901</v>
      </c>
      <c r="H1405" s="53" t="s">
        <v>902</v>
      </c>
      <c r="I1405" s="53" t="s">
        <v>656</v>
      </c>
      <c r="J1405" s="53" t="s">
        <v>2649</v>
      </c>
    </row>
    <row r="1406" spans="1:10" ht="15" customHeight="1" x14ac:dyDescent="0.35">
      <c r="A1406" s="53" t="s">
        <v>896</v>
      </c>
      <c r="B1406" s="53" t="s">
        <v>3435</v>
      </c>
      <c r="C1406" s="53" t="s">
        <v>1077</v>
      </c>
      <c r="D1406" s="53">
        <v>1</v>
      </c>
      <c r="E1406" s="53" t="s">
        <v>3070</v>
      </c>
      <c r="F1406" s="53" t="s">
        <v>1885</v>
      </c>
      <c r="G1406" s="53" t="s">
        <v>901</v>
      </c>
      <c r="H1406" s="53" t="s">
        <v>902</v>
      </c>
      <c r="I1406" s="53" t="s">
        <v>656</v>
      </c>
      <c r="J1406" s="53" t="s">
        <v>2443</v>
      </c>
    </row>
    <row r="1407" spans="1:10" ht="15" customHeight="1" x14ac:dyDescent="0.35">
      <c r="A1407" s="53" t="s">
        <v>896</v>
      </c>
      <c r="B1407" s="53" t="s">
        <v>3436</v>
      </c>
      <c r="C1407" s="53" t="s">
        <v>2257</v>
      </c>
      <c r="D1407" s="53">
        <v>1</v>
      </c>
      <c r="E1407" s="53" t="s">
        <v>3070</v>
      </c>
      <c r="F1407" s="53" t="s">
        <v>1885</v>
      </c>
      <c r="G1407" s="53" t="s">
        <v>901</v>
      </c>
      <c r="H1407" s="53" t="s">
        <v>902</v>
      </c>
      <c r="I1407" s="53" t="s">
        <v>656</v>
      </c>
      <c r="J1407" s="53" t="s">
        <v>2443</v>
      </c>
    </row>
    <row r="1408" spans="1:10" ht="15" customHeight="1" x14ac:dyDescent="0.35">
      <c r="A1408" s="53" t="s">
        <v>896</v>
      </c>
      <c r="B1408" s="53" t="s">
        <v>3437</v>
      </c>
      <c r="C1408" s="53" t="s">
        <v>2257</v>
      </c>
      <c r="D1408" s="53">
        <v>1</v>
      </c>
      <c r="E1408" s="53" t="s">
        <v>3070</v>
      </c>
      <c r="F1408" s="53" t="s">
        <v>1885</v>
      </c>
      <c r="G1408" s="53" t="s">
        <v>901</v>
      </c>
      <c r="H1408" s="53" t="s">
        <v>902</v>
      </c>
      <c r="I1408" s="53" t="s">
        <v>656</v>
      </c>
      <c r="J1408" s="53" t="s">
        <v>2095</v>
      </c>
    </row>
    <row r="1409" spans="1:10" ht="15" customHeight="1" x14ac:dyDescent="0.35">
      <c r="A1409" s="53" t="s">
        <v>896</v>
      </c>
      <c r="B1409" s="53" t="s">
        <v>3438</v>
      </c>
      <c r="C1409" s="53" t="s">
        <v>2598</v>
      </c>
      <c r="D1409" s="53">
        <v>1</v>
      </c>
      <c r="E1409" s="53" t="s">
        <v>3070</v>
      </c>
      <c r="F1409" s="53" t="s">
        <v>1885</v>
      </c>
      <c r="G1409" s="53" t="s">
        <v>901</v>
      </c>
      <c r="H1409" s="53" t="s">
        <v>902</v>
      </c>
      <c r="I1409" s="53" t="s">
        <v>656</v>
      </c>
      <c r="J1409" s="53" t="s">
        <v>2443</v>
      </c>
    </row>
    <row r="1410" spans="1:10" ht="15" customHeight="1" x14ac:dyDescent="0.35">
      <c r="A1410" s="53" t="s">
        <v>896</v>
      </c>
      <c r="B1410" s="53" t="s">
        <v>3439</v>
      </c>
      <c r="C1410" s="53" t="s">
        <v>2598</v>
      </c>
      <c r="D1410" s="53">
        <v>1</v>
      </c>
      <c r="E1410" s="53" t="s">
        <v>3070</v>
      </c>
      <c r="F1410" s="53" t="s">
        <v>1885</v>
      </c>
      <c r="G1410" s="53" t="s">
        <v>901</v>
      </c>
      <c r="H1410" s="53" t="s">
        <v>902</v>
      </c>
      <c r="I1410" s="53" t="s">
        <v>656</v>
      </c>
      <c r="J1410" s="53" t="s">
        <v>2443</v>
      </c>
    </row>
    <row r="1411" spans="1:10" ht="15" customHeight="1" x14ac:dyDescent="0.35">
      <c r="A1411" s="53" t="s">
        <v>896</v>
      </c>
      <c r="B1411" s="53" t="s">
        <v>3440</v>
      </c>
      <c r="C1411" s="53" t="s">
        <v>1077</v>
      </c>
      <c r="D1411" s="53">
        <v>1</v>
      </c>
      <c r="E1411" s="53" t="s">
        <v>3070</v>
      </c>
      <c r="F1411" s="53" t="s">
        <v>1885</v>
      </c>
      <c r="G1411" s="53" t="s">
        <v>901</v>
      </c>
      <c r="H1411" s="53" t="s">
        <v>902</v>
      </c>
      <c r="I1411" s="53" t="s">
        <v>656</v>
      </c>
      <c r="J1411" s="53" t="s">
        <v>2222</v>
      </c>
    </row>
    <row r="1412" spans="1:10" ht="15" customHeight="1" x14ac:dyDescent="0.35">
      <c r="A1412" s="53" t="s">
        <v>896</v>
      </c>
      <c r="B1412" s="53" t="s">
        <v>3441</v>
      </c>
      <c r="C1412" s="53" t="s">
        <v>1143</v>
      </c>
      <c r="D1412" s="53">
        <v>1</v>
      </c>
      <c r="E1412" s="53" t="s">
        <v>3070</v>
      </c>
      <c r="F1412" s="53" t="s">
        <v>1885</v>
      </c>
      <c r="G1412" s="53" t="s">
        <v>901</v>
      </c>
      <c r="H1412" s="53" t="s">
        <v>902</v>
      </c>
      <c r="I1412" s="53" t="s">
        <v>656</v>
      </c>
      <c r="J1412" s="53" t="s">
        <v>2222</v>
      </c>
    </row>
    <row r="1413" spans="1:10" ht="15" customHeight="1" x14ac:dyDescent="0.35">
      <c r="A1413" s="53" t="s">
        <v>896</v>
      </c>
      <c r="B1413" s="53" t="s">
        <v>3442</v>
      </c>
      <c r="C1413" s="53" t="s">
        <v>1143</v>
      </c>
      <c r="D1413" s="53">
        <v>1</v>
      </c>
      <c r="E1413" s="53" t="s">
        <v>3070</v>
      </c>
      <c r="F1413" s="53" t="s">
        <v>1885</v>
      </c>
      <c r="G1413" s="53" t="s">
        <v>901</v>
      </c>
      <c r="H1413" s="53" t="s">
        <v>902</v>
      </c>
      <c r="I1413" s="53" t="s">
        <v>656</v>
      </c>
      <c r="J1413" s="53" t="s">
        <v>2222</v>
      </c>
    </row>
    <row r="1414" spans="1:10" ht="15" customHeight="1" x14ac:dyDescent="0.35">
      <c r="A1414" s="53" t="s">
        <v>896</v>
      </c>
      <c r="B1414" s="53" t="s">
        <v>3443</v>
      </c>
      <c r="C1414" s="53" t="s">
        <v>2792</v>
      </c>
      <c r="D1414" s="53">
        <v>1</v>
      </c>
      <c r="E1414" s="53" t="s">
        <v>3070</v>
      </c>
      <c r="F1414" s="53" t="s">
        <v>1885</v>
      </c>
      <c r="G1414" s="53" t="s">
        <v>901</v>
      </c>
      <c r="H1414" s="53" t="s">
        <v>902</v>
      </c>
      <c r="I1414" s="53" t="s">
        <v>656</v>
      </c>
      <c r="J1414" s="53" t="s">
        <v>2649</v>
      </c>
    </row>
    <row r="1415" spans="1:10" ht="15" customHeight="1" x14ac:dyDescent="0.35">
      <c r="A1415" s="53" t="s">
        <v>896</v>
      </c>
      <c r="B1415" s="53" t="s">
        <v>3444</v>
      </c>
      <c r="C1415" s="53" t="s">
        <v>1817</v>
      </c>
      <c r="D1415" s="53">
        <v>1</v>
      </c>
      <c r="E1415" s="53" t="s">
        <v>3070</v>
      </c>
      <c r="F1415" s="53" t="s">
        <v>1885</v>
      </c>
      <c r="G1415" s="53" t="s">
        <v>901</v>
      </c>
      <c r="H1415" s="53" t="s">
        <v>902</v>
      </c>
      <c r="I1415" s="53" t="s">
        <v>656</v>
      </c>
      <c r="J1415" s="53" t="s">
        <v>2965</v>
      </c>
    </row>
    <row r="1416" spans="1:10" ht="15" customHeight="1" x14ac:dyDescent="0.35">
      <c r="A1416" s="53" t="s">
        <v>896</v>
      </c>
      <c r="B1416" s="53" t="s">
        <v>3445</v>
      </c>
      <c r="C1416" s="53" t="s">
        <v>1817</v>
      </c>
      <c r="D1416" s="53">
        <v>1</v>
      </c>
      <c r="E1416" s="53" t="s">
        <v>3070</v>
      </c>
      <c r="F1416" s="53" t="s">
        <v>1885</v>
      </c>
      <c r="G1416" s="53" t="s">
        <v>901</v>
      </c>
      <c r="H1416" s="53" t="s">
        <v>902</v>
      </c>
      <c r="I1416" s="53" t="s">
        <v>656</v>
      </c>
      <c r="J1416" s="53" t="s">
        <v>2443</v>
      </c>
    </row>
    <row r="1417" spans="1:10" ht="15" customHeight="1" x14ac:dyDescent="0.35">
      <c r="A1417" s="53" t="s">
        <v>896</v>
      </c>
      <c r="B1417" s="53" t="s">
        <v>3446</v>
      </c>
      <c r="C1417" s="53" t="s">
        <v>1091</v>
      </c>
      <c r="D1417" s="53">
        <v>1</v>
      </c>
      <c r="E1417" s="53" t="s">
        <v>3070</v>
      </c>
      <c r="F1417" s="53" t="s">
        <v>1885</v>
      </c>
      <c r="G1417" s="53" t="s">
        <v>901</v>
      </c>
      <c r="H1417" s="53" t="s">
        <v>902</v>
      </c>
      <c r="I1417" s="53" t="s">
        <v>656</v>
      </c>
      <c r="J1417" s="53" t="s">
        <v>2649</v>
      </c>
    </row>
    <row r="1418" spans="1:10" ht="15" customHeight="1" x14ac:dyDescent="0.35">
      <c r="A1418" s="53" t="s">
        <v>896</v>
      </c>
      <c r="B1418" s="53" t="s">
        <v>3447</v>
      </c>
      <c r="C1418" s="53" t="s">
        <v>1136</v>
      </c>
      <c r="D1418" s="53">
        <v>1</v>
      </c>
      <c r="E1418" s="53" t="s">
        <v>3070</v>
      </c>
      <c r="F1418" s="53" t="s">
        <v>1885</v>
      </c>
      <c r="G1418" s="53" t="s">
        <v>901</v>
      </c>
      <c r="H1418" s="53" t="s">
        <v>902</v>
      </c>
      <c r="I1418" s="53" t="s">
        <v>656</v>
      </c>
      <c r="J1418" s="53" t="s">
        <v>2222</v>
      </c>
    </row>
    <row r="1419" spans="1:10" ht="15" customHeight="1" x14ac:dyDescent="0.35">
      <c r="A1419" s="53" t="s">
        <v>896</v>
      </c>
      <c r="B1419" s="53" t="s">
        <v>3448</v>
      </c>
      <c r="C1419" s="53" t="s">
        <v>1143</v>
      </c>
      <c r="D1419" s="53">
        <v>1</v>
      </c>
      <c r="E1419" s="53" t="s">
        <v>3070</v>
      </c>
      <c r="F1419" s="53" t="s">
        <v>1885</v>
      </c>
      <c r="G1419" s="53" t="s">
        <v>901</v>
      </c>
      <c r="H1419" s="53" t="s">
        <v>902</v>
      </c>
      <c r="I1419" s="53" t="s">
        <v>656</v>
      </c>
      <c r="J1419" s="53" t="s">
        <v>2222</v>
      </c>
    </row>
    <row r="1420" spans="1:10" ht="15" customHeight="1" x14ac:dyDescent="0.35">
      <c r="A1420" s="53" t="s">
        <v>896</v>
      </c>
      <c r="B1420" s="53" t="s">
        <v>3449</v>
      </c>
      <c r="C1420" s="53" t="s">
        <v>2971</v>
      </c>
      <c r="D1420" s="53">
        <v>1</v>
      </c>
      <c r="E1420" s="53" t="s">
        <v>3070</v>
      </c>
      <c r="F1420" s="53" t="s">
        <v>1885</v>
      </c>
      <c r="G1420" s="53" t="s">
        <v>901</v>
      </c>
      <c r="H1420" s="53" t="s">
        <v>902</v>
      </c>
      <c r="I1420" s="53" t="s">
        <v>656</v>
      </c>
      <c r="J1420" s="53" t="s">
        <v>2222</v>
      </c>
    </row>
    <row r="1421" spans="1:10" ht="15" customHeight="1" x14ac:dyDescent="0.35">
      <c r="A1421" s="53" t="s">
        <v>896</v>
      </c>
      <c r="B1421" s="53" t="s">
        <v>3450</v>
      </c>
      <c r="C1421" s="53" t="s">
        <v>2971</v>
      </c>
      <c r="D1421" s="53">
        <v>1</v>
      </c>
      <c r="E1421" s="53" t="s">
        <v>3070</v>
      </c>
      <c r="F1421" s="53" t="s">
        <v>1885</v>
      </c>
      <c r="G1421" s="53" t="s">
        <v>901</v>
      </c>
      <c r="H1421" s="53" t="s">
        <v>902</v>
      </c>
      <c r="I1421" s="53" t="s">
        <v>656</v>
      </c>
      <c r="J1421" s="53" t="s">
        <v>2443</v>
      </c>
    </row>
    <row r="1422" spans="1:10" ht="15" customHeight="1" x14ac:dyDescent="0.35">
      <c r="A1422" s="53" t="s">
        <v>896</v>
      </c>
      <c r="B1422" s="53" t="s">
        <v>3451</v>
      </c>
      <c r="C1422" s="53" t="s">
        <v>913</v>
      </c>
      <c r="D1422" s="53">
        <v>1</v>
      </c>
      <c r="E1422" s="53" t="s">
        <v>3070</v>
      </c>
      <c r="F1422" s="53" t="s">
        <v>1885</v>
      </c>
      <c r="G1422" s="53" t="s">
        <v>901</v>
      </c>
      <c r="H1422" s="53" t="s">
        <v>902</v>
      </c>
      <c r="I1422" s="53" t="s">
        <v>656</v>
      </c>
      <c r="J1422" s="53" t="s">
        <v>2965</v>
      </c>
    </row>
    <row r="1423" spans="1:10" ht="15" customHeight="1" x14ac:dyDescent="0.35">
      <c r="A1423" s="53" t="s">
        <v>896</v>
      </c>
      <c r="B1423" s="53" t="s">
        <v>3452</v>
      </c>
      <c r="C1423" s="53" t="s">
        <v>946</v>
      </c>
      <c r="D1423" s="53">
        <v>1</v>
      </c>
      <c r="E1423" s="53" t="s">
        <v>3070</v>
      </c>
      <c r="F1423" s="53" t="s">
        <v>1885</v>
      </c>
      <c r="G1423" s="53" t="s">
        <v>901</v>
      </c>
      <c r="H1423" s="53" t="s">
        <v>902</v>
      </c>
      <c r="I1423" s="53" t="s">
        <v>656</v>
      </c>
      <c r="J1423" s="53" t="s">
        <v>2692</v>
      </c>
    </row>
    <row r="1424" spans="1:10" ht="15" customHeight="1" x14ac:dyDescent="0.35">
      <c r="A1424" s="53" t="s">
        <v>896</v>
      </c>
      <c r="B1424" s="53" t="s">
        <v>3453</v>
      </c>
      <c r="C1424" s="53" t="s">
        <v>1009</v>
      </c>
      <c r="D1424" s="53">
        <v>1</v>
      </c>
      <c r="E1424" s="53" t="s">
        <v>3070</v>
      </c>
      <c r="F1424" s="53" t="s">
        <v>1885</v>
      </c>
      <c r="G1424" s="53" t="s">
        <v>901</v>
      </c>
      <c r="H1424" s="53" t="s">
        <v>902</v>
      </c>
      <c r="I1424" s="53" t="s">
        <v>656</v>
      </c>
      <c r="J1424" s="53" t="s">
        <v>2443</v>
      </c>
    </row>
    <row r="1425" spans="1:10" ht="15" customHeight="1" x14ac:dyDescent="0.35">
      <c r="A1425" s="53" t="s">
        <v>896</v>
      </c>
      <c r="B1425" s="53" t="s">
        <v>3454</v>
      </c>
      <c r="C1425" s="53" t="s">
        <v>946</v>
      </c>
      <c r="D1425" s="53">
        <v>1</v>
      </c>
      <c r="E1425" s="53" t="s">
        <v>3070</v>
      </c>
      <c r="F1425" s="53" t="s">
        <v>1885</v>
      </c>
      <c r="G1425" s="53" t="s">
        <v>901</v>
      </c>
      <c r="H1425" s="53" t="s">
        <v>902</v>
      </c>
      <c r="I1425" s="53" t="s">
        <v>656</v>
      </c>
      <c r="J1425" s="53" t="s">
        <v>2443</v>
      </c>
    </row>
    <row r="1426" spans="1:10" ht="15" customHeight="1" x14ac:dyDescent="0.35">
      <c r="A1426" s="53" t="s">
        <v>896</v>
      </c>
      <c r="B1426" s="53" t="s">
        <v>3455</v>
      </c>
      <c r="C1426" s="53" t="s">
        <v>1157</v>
      </c>
      <c r="D1426" s="53">
        <v>1</v>
      </c>
      <c r="E1426" s="53" t="s">
        <v>3070</v>
      </c>
      <c r="F1426" s="53" t="s">
        <v>1885</v>
      </c>
      <c r="G1426" s="53" t="s">
        <v>901</v>
      </c>
      <c r="H1426" s="53" t="s">
        <v>902</v>
      </c>
      <c r="I1426" s="53" t="s">
        <v>656</v>
      </c>
      <c r="J1426" s="53" t="s">
        <v>2443</v>
      </c>
    </row>
    <row r="1427" spans="1:10" ht="15" customHeight="1" x14ac:dyDescent="0.35">
      <c r="A1427" s="53" t="s">
        <v>896</v>
      </c>
      <c r="B1427" s="53" t="s">
        <v>3456</v>
      </c>
      <c r="C1427" s="53" t="s">
        <v>2971</v>
      </c>
      <c r="D1427" s="53">
        <v>1</v>
      </c>
      <c r="E1427" s="53" t="s">
        <v>3070</v>
      </c>
      <c r="F1427" s="53" t="s">
        <v>1885</v>
      </c>
      <c r="G1427" s="53" t="s">
        <v>901</v>
      </c>
      <c r="H1427" s="53" t="s">
        <v>902</v>
      </c>
      <c r="I1427" s="53" t="s">
        <v>656</v>
      </c>
      <c r="J1427" s="53" t="s">
        <v>2965</v>
      </c>
    </row>
    <row r="1428" spans="1:10" ht="15" customHeight="1" x14ac:dyDescent="0.35">
      <c r="A1428" s="53" t="s">
        <v>896</v>
      </c>
      <c r="B1428" s="53" t="s">
        <v>3457</v>
      </c>
      <c r="C1428" s="53" t="s">
        <v>2602</v>
      </c>
      <c r="D1428" s="53">
        <v>1</v>
      </c>
      <c r="E1428" s="53" t="s">
        <v>3070</v>
      </c>
      <c r="F1428" s="53" t="s">
        <v>1885</v>
      </c>
      <c r="G1428" s="53" t="s">
        <v>901</v>
      </c>
      <c r="H1428" s="53" t="s">
        <v>902</v>
      </c>
      <c r="I1428" s="53" t="s">
        <v>656</v>
      </c>
      <c r="J1428" s="53" t="s">
        <v>2222</v>
      </c>
    </row>
    <row r="1429" spans="1:10" ht="15" customHeight="1" x14ac:dyDescent="0.35">
      <c r="A1429" s="53" t="s">
        <v>896</v>
      </c>
      <c r="B1429" s="53" t="s">
        <v>3458</v>
      </c>
      <c r="C1429" s="53" t="s">
        <v>2971</v>
      </c>
      <c r="D1429" s="53">
        <v>1</v>
      </c>
      <c r="E1429" s="53" t="s">
        <v>3070</v>
      </c>
      <c r="F1429" s="53" t="s">
        <v>1885</v>
      </c>
      <c r="G1429" s="53" t="s">
        <v>901</v>
      </c>
      <c r="H1429" s="53" t="s">
        <v>902</v>
      </c>
      <c r="I1429" s="53" t="s">
        <v>656</v>
      </c>
      <c r="J1429" s="53" t="s">
        <v>2222</v>
      </c>
    </row>
    <row r="1430" spans="1:10" ht="15" customHeight="1" x14ac:dyDescent="0.35">
      <c r="A1430" s="53" t="s">
        <v>896</v>
      </c>
      <c r="B1430" s="53" t="s">
        <v>3459</v>
      </c>
      <c r="C1430" s="53" t="s">
        <v>1240</v>
      </c>
      <c r="D1430" s="53">
        <v>1</v>
      </c>
      <c r="E1430" s="53" t="s">
        <v>3070</v>
      </c>
      <c r="F1430" s="53" t="s">
        <v>1885</v>
      </c>
      <c r="G1430" s="53" t="s">
        <v>901</v>
      </c>
      <c r="H1430" s="53" t="s">
        <v>902</v>
      </c>
      <c r="I1430" s="53" t="s">
        <v>656</v>
      </c>
      <c r="J1430" s="53" t="s">
        <v>2866</v>
      </c>
    </row>
    <row r="1431" spans="1:10" ht="15" customHeight="1" x14ac:dyDescent="0.35">
      <c r="A1431" s="53" t="s">
        <v>896</v>
      </c>
      <c r="B1431" s="53" t="s">
        <v>3460</v>
      </c>
      <c r="C1431" s="53" t="s">
        <v>2971</v>
      </c>
      <c r="D1431" s="53">
        <v>1</v>
      </c>
      <c r="E1431" s="53" t="s">
        <v>3070</v>
      </c>
      <c r="F1431" s="53" t="s">
        <v>1885</v>
      </c>
      <c r="G1431" s="53" t="s">
        <v>901</v>
      </c>
      <c r="H1431" s="53" t="s">
        <v>902</v>
      </c>
      <c r="I1431" s="53" t="s">
        <v>656</v>
      </c>
      <c r="J1431" s="53" t="s">
        <v>2965</v>
      </c>
    </row>
    <row r="1432" spans="1:10" ht="15" customHeight="1" x14ac:dyDescent="0.35">
      <c r="A1432" s="53" t="s">
        <v>896</v>
      </c>
      <c r="B1432" s="53" t="s">
        <v>3461</v>
      </c>
      <c r="C1432" s="53" t="s">
        <v>2971</v>
      </c>
      <c r="D1432" s="53">
        <v>1</v>
      </c>
      <c r="E1432" s="53" t="s">
        <v>3070</v>
      </c>
      <c r="F1432" s="53" t="s">
        <v>1885</v>
      </c>
      <c r="G1432" s="53" t="s">
        <v>901</v>
      </c>
      <c r="H1432" s="53" t="s">
        <v>902</v>
      </c>
      <c r="I1432" s="53" t="s">
        <v>656</v>
      </c>
      <c r="J1432" s="53" t="s">
        <v>2443</v>
      </c>
    </row>
    <row r="1433" spans="1:10" ht="15" customHeight="1" x14ac:dyDescent="0.35">
      <c r="A1433" s="53" t="s">
        <v>896</v>
      </c>
      <c r="B1433" s="53" t="s">
        <v>3462</v>
      </c>
      <c r="C1433" s="53" t="s">
        <v>2971</v>
      </c>
      <c r="D1433" s="53">
        <v>1</v>
      </c>
      <c r="E1433" s="53" t="s">
        <v>3070</v>
      </c>
      <c r="F1433" s="53" t="s">
        <v>1885</v>
      </c>
      <c r="G1433" s="53" t="s">
        <v>901</v>
      </c>
      <c r="H1433" s="53" t="s">
        <v>902</v>
      </c>
      <c r="I1433" s="53" t="s">
        <v>656</v>
      </c>
      <c r="J1433" s="53" t="s">
        <v>2222</v>
      </c>
    </row>
    <row r="1434" spans="1:10" ht="15" customHeight="1" x14ac:dyDescent="0.35">
      <c r="A1434" s="53" t="s">
        <v>896</v>
      </c>
      <c r="B1434" s="53" t="s">
        <v>3463</v>
      </c>
      <c r="C1434" s="53" t="s">
        <v>913</v>
      </c>
      <c r="D1434" s="53">
        <v>1</v>
      </c>
      <c r="E1434" s="53" t="s">
        <v>3070</v>
      </c>
      <c r="F1434" s="53" t="s">
        <v>1885</v>
      </c>
      <c r="G1434" s="53" t="s">
        <v>901</v>
      </c>
      <c r="H1434" s="53" t="s">
        <v>902</v>
      </c>
      <c r="I1434" s="53" t="s">
        <v>656</v>
      </c>
      <c r="J1434" s="53" t="s">
        <v>2692</v>
      </c>
    </row>
    <row r="1435" spans="1:10" ht="15" customHeight="1" x14ac:dyDescent="0.35">
      <c r="A1435" s="53" t="s">
        <v>896</v>
      </c>
      <c r="B1435" s="53" t="s">
        <v>3464</v>
      </c>
      <c r="C1435" s="53" t="s">
        <v>1077</v>
      </c>
      <c r="D1435" s="53">
        <v>1</v>
      </c>
      <c r="E1435" s="53" t="s">
        <v>3070</v>
      </c>
      <c r="F1435" s="53" t="s">
        <v>1885</v>
      </c>
      <c r="G1435" s="53" t="s">
        <v>901</v>
      </c>
      <c r="H1435" s="53" t="s">
        <v>902</v>
      </c>
      <c r="I1435" s="53" t="s">
        <v>656</v>
      </c>
      <c r="J1435" s="53" t="s">
        <v>2222</v>
      </c>
    </row>
    <row r="1436" spans="1:10" ht="15" customHeight="1" x14ac:dyDescent="0.35">
      <c r="A1436" s="53" t="s">
        <v>896</v>
      </c>
      <c r="B1436" s="53" t="s">
        <v>3465</v>
      </c>
      <c r="C1436" s="53" t="s">
        <v>2602</v>
      </c>
      <c r="D1436" s="53">
        <v>1</v>
      </c>
      <c r="E1436" s="53" t="s">
        <v>3070</v>
      </c>
      <c r="F1436" s="53" t="s">
        <v>1885</v>
      </c>
      <c r="G1436" s="53" t="s">
        <v>901</v>
      </c>
      <c r="H1436" s="53" t="s">
        <v>902</v>
      </c>
      <c r="I1436" s="53" t="s">
        <v>656</v>
      </c>
      <c r="J1436" s="53" t="s">
        <v>2222</v>
      </c>
    </row>
    <row r="1437" spans="1:10" ht="15" customHeight="1" x14ac:dyDescent="0.35">
      <c r="A1437" s="53" t="s">
        <v>896</v>
      </c>
      <c r="B1437" s="53" t="s">
        <v>3466</v>
      </c>
      <c r="C1437" s="53" t="s">
        <v>2971</v>
      </c>
      <c r="D1437" s="53">
        <v>1</v>
      </c>
      <c r="E1437" s="53" t="s">
        <v>3070</v>
      </c>
      <c r="F1437" s="53" t="s">
        <v>1885</v>
      </c>
      <c r="G1437" s="53" t="s">
        <v>901</v>
      </c>
      <c r="H1437" s="53" t="s">
        <v>902</v>
      </c>
      <c r="I1437" s="53" t="s">
        <v>656</v>
      </c>
      <c r="J1437" s="53" t="s">
        <v>2222</v>
      </c>
    </row>
    <row r="1438" spans="1:10" ht="15" customHeight="1" x14ac:dyDescent="0.35">
      <c r="A1438" s="53" t="s">
        <v>896</v>
      </c>
      <c r="B1438" s="53" t="s">
        <v>3467</v>
      </c>
      <c r="C1438" s="53" t="s">
        <v>1077</v>
      </c>
      <c r="D1438" s="53">
        <v>1</v>
      </c>
      <c r="E1438" s="53" t="s">
        <v>3070</v>
      </c>
      <c r="F1438" s="53" t="s">
        <v>1885</v>
      </c>
      <c r="G1438" s="53" t="s">
        <v>901</v>
      </c>
      <c r="H1438" s="53" t="s">
        <v>902</v>
      </c>
      <c r="I1438" s="53" t="s">
        <v>656</v>
      </c>
      <c r="J1438" s="53" t="s">
        <v>2222</v>
      </c>
    </row>
    <row r="1439" spans="1:10" ht="15" customHeight="1" x14ac:dyDescent="0.35">
      <c r="A1439" s="53" t="s">
        <v>896</v>
      </c>
      <c r="B1439" s="53" t="s">
        <v>3468</v>
      </c>
      <c r="C1439" s="53" t="s">
        <v>1646</v>
      </c>
      <c r="D1439" s="53">
        <v>1</v>
      </c>
      <c r="E1439" s="53" t="s">
        <v>3070</v>
      </c>
      <c r="F1439" s="53" t="s">
        <v>1885</v>
      </c>
      <c r="G1439" s="53" t="s">
        <v>901</v>
      </c>
      <c r="H1439" s="53" t="s">
        <v>902</v>
      </c>
      <c r="I1439" s="53" t="s">
        <v>656</v>
      </c>
      <c r="J1439" s="53" t="s">
        <v>2222</v>
      </c>
    </row>
    <row r="1440" spans="1:10" ht="15" customHeight="1" x14ac:dyDescent="0.35">
      <c r="A1440" s="53" t="s">
        <v>896</v>
      </c>
      <c r="B1440" s="53" t="s">
        <v>3469</v>
      </c>
      <c r="C1440" s="53" t="s">
        <v>909</v>
      </c>
      <c r="D1440" s="53">
        <v>1</v>
      </c>
      <c r="E1440" s="53" t="s">
        <v>3070</v>
      </c>
      <c r="F1440" s="53" t="s">
        <v>1885</v>
      </c>
      <c r="G1440" s="53" t="s">
        <v>901</v>
      </c>
      <c r="H1440" s="53" t="s">
        <v>902</v>
      </c>
      <c r="I1440" s="53" t="s">
        <v>656</v>
      </c>
      <c r="J1440" s="53" t="s">
        <v>2985</v>
      </c>
    </row>
    <row r="1441" spans="1:10" ht="15" customHeight="1" x14ac:dyDescent="0.35">
      <c r="A1441" s="53" t="s">
        <v>896</v>
      </c>
      <c r="B1441" s="53" t="s">
        <v>3470</v>
      </c>
      <c r="C1441" s="53" t="s">
        <v>909</v>
      </c>
      <c r="D1441" s="53">
        <v>1</v>
      </c>
      <c r="E1441" s="53" t="s">
        <v>3070</v>
      </c>
      <c r="F1441" s="53" t="s">
        <v>1885</v>
      </c>
      <c r="G1441" s="53" t="s">
        <v>901</v>
      </c>
      <c r="H1441" s="53" t="s">
        <v>902</v>
      </c>
      <c r="I1441" s="53" t="s">
        <v>656</v>
      </c>
      <c r="J1441" s="53" t="s">
        <v>2222</v>
      </c>
    </row>
    <row r="1442" spans="1:10" ht="15" customHeight="1" x14ac:dyDescent="0.35">
      <c r="A1442" s="53" t="s">
        <v>896</v>
      </c>
      <c r="B1442" s="53" t="s">
        <v>3471</v>
      </c>
      <c r="C1442" s="53" t="s">
        <v>909</v>
      </c>
      <c r="D1442" s="53">
        <v>1</v>
      </c>
      <c r="E1442" s="53" t="s">
        <v>3070</v>
      </c>
      <c r="F1442" s="53" t="s">
        <v>1885</v>
      </c>
      <c r="G1442" s="53" t="s">
        <v>901</v>
      </c>
      <c r="H1442" s="53" t="s">
        <v>902</v>
      </c>
      <c r="I1442" s="53" t="s">
        <v>656</v>
      </c>
      <c r="J1442" s="53" t="s">
        <v>2222</v>
      </c>
    </row>
    <row r="1443" spans="1:10" ht="15" customHeight="1" x14ac:dyDescent="0.35">
      <c r="A1443" s="53" t="s">
        <v>896</v>
      </c>
      <c r="B1443" s="53" t="s">
        <v>3472</v>
      </c>
      <c r="C1443" s="53" t="s">
        <v>2971</v>
      </c>
      <c r="D1443" s="53">
        <v>1</v>
      </c>
      <c r="E1443" s="53" t="s">
        <v>3070</v>
      </c>
      <c r="F1443" s="53" t="s">
        <v>1885</v>
      </c>
      <c r="G1443" s="53" t="s">
        <v>901</v>
      </c>
      <c r="H1443" s="53" t="s">
        <v>902</v>
      </c>
      <c r="I1443" s="53" t="s">
        <v>656</v>
      </c>
      <c r="J1443" s="53" t="s">
        <v>2692</v>
      </c>
    </row>
    <row r="1444" spans="1:10" ht="15" customHeight="1" x14ac:dyDescent="0.35">
      <c r="A1444" s="53" t="s">
        <v>896</v>
      </c>
      <c r="B1444" s="53" t="s">
        <v>3473</v>
      </c>
      <c r="C1444" s="53" t="s">
        <v>921</v>
      </c>
      <c r="D1444" s="53">
        <v>1</v>
      </c>
      <c r="E1444" s="53" t="s">
        <v>3070</v>
      </c>
      <c r="F1444" s="53" t="s">
        <v>1885</v>
      </c>
      <c r="G1444" s="53" t="s">
        <v>901</v>
      </c>
      <c r="H1444" s="53" t="s">
        <v>902</v>
      </c>
      <c r="I1444" s="53" t="s">
        <v>656</v>
      </c>
      <c r="J1444" s="53" t="s">
        <v>2222</v>
      </c>
    </row>
    <row r="1445" spans="1:10" ht="15" customHeight="1" x14ac:dyDescent="0.35">
      <c r="A1445" s="53" t="s">
        <v>896</v>
      </c>
      <c r="B1445" s="53" t="s">
        <v>3474</v>
      </c>
      <c r="C1445" s="53" t="s">
        <v>1143</v>
      </c>
      <c r="D1445" s="53">
        <v>1</v>
      </c>
      <c r="E1445" s="53" t="s">
        <v>3070</v>
      </c>
      <c r="F1445" s="53" t="s">
        <v>1885</v>
      </c>
      <c r="G1445" s="53" t="s">
        <v>901</v>
      </c>
      <c r="H1445" s="53" t="s">
        <v>902</v>
      </c>
      <c r="I1445" s="53" t="s">
        <v>656</v>
      </c>
      <c r="J1445" s="53" t="s">
        <v>2222</v>
      </c>
    </row>
    <row r="1446" spans="1:10" ht="15" customHeight="1" x14ac:dyDescent="0.35">
      <c r="A1446" s="53" t="s">
        <v>896</v>
      </c>
      <c r="B1446" s="53" t="s">
        <v>3475</v>
      </c>
      <c r="C1446" s="53" t="s">
        <v>2602</v>
      </c>
      <c r="D1446" s="53">
        <v>1</v>
      </c>
      <c r="E1446" s="53" t="s">
        <v>3070</v>
      </c>
      <c r="F1446" s="53" t="s">
        <v>1885</v>
      </c>
      <c r="G1446" s="53" t="s">
        <v>901</v>
      </c>
      <c r="H1446" s="53" t="s">
        <v>902</v>
      </c>
      <c r="I1446" s="53" t="s">
        <v>656</v>
      </c>
      <c r="J1446" s="53" t="s">
        <v>2222</v>
      </c>
    </row>
    <row r="1447" spans="1:10" ht="15" customHeight="1" x14ac:dyDescent="0.35">
      <c r="A1447" s="53" t="s">
        <v>896</v>
      </c>
      <c r="B1447" s="53" t="s">
        <v>3476</v>
      </c>
      <c r="C1447" s="53" t="s">
        <v>1143</v>
      </c>
      <c r="D1447" s="53">
        <v>1</v>
      </c>
      <c r="E1447" s="53" t="s">
        <v>3070</v>
      </c>
      <c r="F1447" s="53" t="s">
        <v>1885</v>
      </c>
      <c r="G1447" s="53" t="s">
        <v>901</v>
      </c>
      <c r="H1447" s="53" t="s">
        <v>902</v>
      </c>
      <c r="I1447" s="53" t="s">
        <v>656</v>
      </c>
      <c r="J1447" s="53" t="s">
        <v>2222</v>
      </c>
    </row>
    <row r="1448" spans="1:10" ht="15" customHeight="1" x14ac:dyDescent="0.35">
      <c r="A1448" s="53" t="s">
        <v>896</v>
      </c>
      <c r="B1448" s="53" t="s">
        <v>3477</v>
      </c>
      <c r="C1448" s="53" t="s">
        <v>2598</v>
      </c>
      <c r="D1448" s="53">
        <v>1</v>
      </c>
      <c r="E1448" s="53" t="s">
        <v>3070</v>
      </c>
      <c r="F1448" s="53" t="s">
        <v>1885</v>
      </c>
      <c r="G1448" s="53" t="s">
        <v>901</v>
      </c>
      <c r="H1448" s="53" t="s">
        <v>902</v>
      </c>
      <c r="I1448" s="53" t="s">
        <v>656</v>
      </c>
      <c r="J1448" s="53" t="s">
        <v>2443</v>
      </c>
    </row>
    <row r="1449" spans="1:10" ht="15" customHeight="1" x14ac:dyDescent="0.35">
      <c r="A1449" s="53" t="s">
        <v>896</v>
      </c>
      <c r="B1449" s="53" t="s">
        <v>3478</v>
      </c>
      <c r="C1449" s="53" t="s">
        <v>909</v>
      </c>
      <c r="D1449" s="53">
        <v>1</v>
      </c>
      <c r="E1449" s="53" t="s">
        <v>3070</v>
      </c>
      <c r="F1449" s="53" t="s">
        <v>1885</v>
      </c>
      <c r="G1449" s="53" t="s">
        <v>901</v>
      </c>
      <c r="H1449" s="53" t="s">
        <v>902</v>
      </c>
      <c r="I1449" s="53" t="s">
        <v>656</v>
      </c>
      <c r="J1449" s="53" t="s">
        <v>2222</v>
      </c>
    </row>
    <row r="1450" spans="1:10" ht="15" customHeight="1" x14ac:dyDescent="0.35">
      <c r="A1450" s="53" t="s">
        <v>896</v>
      </c>
      <c r="B1450" s="53" t="s">
        <v>3479</v>
      </c>
      <c r="C1450" s="53" t="s">
        <v>1122</v>
      </c>
      <c r="D1450" s="53">
        <v>1</v>
      </c>
      <c r="E1450" s="53" t="s">
        <v>3070</v>
      </c>
      <c r="F1450" s="53" t="s">
        <v>1885</v>
      </c>
      <c r="G1450" s="53" t="s">
        <v>901</v>
      </c>
      <c r="H1450" s="53" t="s">
        <v>902</v>
      </c>
      <c r="I1450" s="53" t="s">
        <v>656</v>
      </c>
      <c r="J1450" s="53" t="s">
        <v>2222</v>
      </c>
    </row>
    <row r="1451" spans="1:10" ht="15" customHeight="1" x14ac:dyDescent="0.35">
      <c r="A1451" s="53" t="s">
        <v>896</v>
      </c>
      <c r="B1451" s="53" t="s">
        <v>3480</v>
      </c>
      <c r="C1451" s="53" t="s">
        <v>1122</v>
      </c>
      <c r="D1451" s="53">
        <v>1</v>
      </c>
      <c r="E1451" s="53" t="s">
        <v>3070</v>
      </c>
      <c r="F1451" s="53" t="s">
        <v>1885</v>
      </c>
      <c r="G1451" s="53" t="s">
        <v>901</v>
      </c>
      <c r="H1451" s="53" t="s">
        <v>902</v>
      </c>
      <c r="I1451" s="53" t="s">
        <v>656</v>
      </c>
      <c r="J1451" s="53" t="s">
        <v>2222</v>
      </c>
    </row>
    <row r="1452" spans="1:10" ht="15" customHeight="1" x14ac:dyDescent="0.35">
      <c r="A1452" s="53" t="s">
        <v>896</v>
      </c>
      <c r="B1452" s="53" t="s">
        <v>3481</v>
      </c>
      <c r="C1452" s="53" t="s">
        <v>1050</v>
      </c>
      <c r="D1452" s="53">
        <v>1</v>
      </c>
      <c r="E1452" s="53" t="s">
        <v>3070</v>
      </c>
      <c r="F1452" s="53" t="s">
        <v>1885</v>
      </c>
      <c r="G1452" s="53" t="s">
        <v>901</v>
      </c>
      <c r="H1452" s="53" t="s">
        <v>902</v>
      </c>
      <c r="I1452" s="53" t="s">
        <v>656</v>
      </c>
      <c r="J1452" s="53" t="s">
        <v>2692</v>
      </c>
    </row>
    <row r="1453" spans="1:10" ht="15" customHeight="1" x14ac:dyDescent="0.35">
      <c r="A1453" s="53" t="s">
        <v>896</v>
      </c>
      <c r="B1453" s="53" t="s">
        <v>3482</v>
      </c>
      <c r="C1453" s="53" t="s">
        <v>1157</v>
      </c>
      <c r="D1453" s="53">
        <v>1</v>
      </c>
      <c r="E1453" s="53" t="s">
        <v>3070</v>
      </c>
      <c r="F1453" s="53" t="s">
        <v>1885</v>
      </c>
      <c r="G1453" s="53" t="s">
        <v>901</v>
      </c>
      <c r="H1453" s="53" t="s">
        <v>902</v>
      </c>
      <c r="I1453" s="53" t="s">
        <v>656</v>
      </c>
      <c r="J1453" s="53" t="s">
        <v>2443</v>
      </c>
    </row>
    <row r="1454" spans="1:10" ht="15" customHeight="1" x14ac:dyDescent="0.35">
      <c r="A1454" s="53" t="s">
        <v>896</v>
      </c>
      <c r="B1454" s="53" t="s">
        <v>3483</v>
      </c>
      <c r="C1454" s="53" t="s">
        <v>1009</v>
      </c>
      <c r="D1454" s="53">
        <v>1</v>
      </c>
      <c r="E1454" s="53" t="s">
        <v>3070</v>
      </c>
      <c r="F1454" s="53" t="s">
        <v>1885</v>
      </c>
      <c r="G1454" s="53" t="s">
        <v>901</v>
      </c>
      <c r="H1454" s="53" t="s">
        <v>902</v>
      </c>
      <c r="I1454" s="53" t="s">
        <v>656</v>
      </c>
      <c r="J1454" s="53" t="s">
        <v>2443</v>
      </c>
    </row>
    <row r="1455" spans="1:10" ht="15" customHeight="1" x14ac:dyDescent="0.35">
      <c r="A1455" s="53" t="s">
        <v>896</v>
      </c>
      <c r="B1455" s="53" t="s">
        <v>3484</v>
      </c>
      <c r="C1455" s="53" t="s">
        <v>3411</v>
      </c>
      <c r="D1455" s="53">
        <v>1</v>
      </c>
      <c r="E1455" s="53" t="s">
        <v>3070</v>
      </c>
      <c r="F1455" s="53" t="s">
        <v>1885</v>
      </c>
      <c r="G1455" s="53" t="s">
        <v>901</v>
      </c>
      <c r="H1455" s="53" t="s">
        <v>902</v>
      </c>
      <c r="I1455" s="53" t="s">
        <v>656</v>
      </c>
      <c r="J1455" s="53" t="s">
        <v>2222</v>
      </c>
    </row>
    <row r="1456" spans="1:10" ht="15" customHeight="1" x14ac:dyDescent="0.35">
      <c r="A1456" s="53" t="s">
        <v>896</v>
      </c>
      <c r="B1456" s="53" t="s">
        <v>3485</v>
      </c>
      <c r="C1456" s="53" t="s">
        <v>1659</v>
      </c>
      <c r="D1456" s="53">
        <v>1</v>
      </c>
      <c r="E1456" s="53" t="s">
        <v>3070</v>
      </c>
      <c r="F1456" s="53" t="s">
        <v>1885</v>
      </c>
      <c r="G1456" s="53" t="s">
        <v>901</v>
      </c>
      <c r="H1456" s="53" t="s">
        <v>902</v>
      </c>
      <c r="I1456" s="53" t="s">
        <v>656</v>
      </c>
      <c r="J1456" s="53" t="s">
        <v>2222</v>
      </c>
    </row>
    <row r="1457" spans="1:10" ht="15" customHeight="1" x14ac:dyDescent="0.35">
      <c r="A1457" s="53" t="s">
        <v>896</v>
      </c>
      <c r="B1457" s="53" t="s">
        <v>3486</v>
      </c>
      <c r="C1457" s="53" t="s">
        <v>1084</v>
      </c>
      <c r="D1457" s="53">
        <v>1</v>
      </c>
      <c r="E1457" s="53" t="s">
        <v>3070</v>
      </c>
      <c r="F1457" s="53" t="s">
        <v>1885</v>
      </c>
      <c r="G1457" s="53" t="s">
        <v>901</v>
      </c>
      <c r="H1457" s="53" t="s">
        <v>902</v>
      </c>
      <c r="I1457" s="53" t="s">
        <v>656</v>
      </c>
      <c r="J1457" s="53" t="s">
        <v>2866</v>
      </c>
    </row>
    <row r="1458" spans="1:10" ht="15" customHeight="1" x14ac:dyDescent="0.35">
      <c r="A1458" s="53" t="s">
        <v>896</v>
      </c>
      <c r="B1458" s="53" t="s">
        <v>3487</v>
      </c>
      <c r="C1458" s="53" t="s">
        <v>1077</v>
      </c>
      <c r="D1458" s="53">
        <v>1</v>
      </c>
      <c r="E1458" s="53" t="s">
        <v>3070</v>
      </c>
      <c r="F1458" s="53" t="s">
        <v>1885</v>
      </c>
      <c r="G1458" s="53" t="s">
        <v>901</v>
      </c>
      <c r="H1458" s="53" t="s">
        <v>902</v>
      </c>
      <c r="I1458" s="53" t="s">
        <v>656</v>
      </c>
      <c r="J1458" s="53" t="s">
        <v>2222</v>
      </c>
    </row>
    <row r="1459" spans="1:10" ht="15" customHeight="1" x14ac:dyDescent="0.35">
      <c r="A1459" s="53" t="s">
        <v>896</v>
      </c>
      <c r="B1459" s="53" t="s">
        <v>3488</v>
      </c>
      <c r="C1459" s="53" t="s">
        <v>921</v>
      </c>
      <c r="D1459" s="53">
        <v>1</v>
      </c>
      <c r="E1459" s="53" t="s">
        <v>3070</v>
      </c>
      <c r="F1459" s="53" t="s">
        <v>1885</v>
      </c>
      <c r="G1459" s="53" t="s">
        <v>901</v>
      </c>
      <c r="H1459" s="53" t="s">
        <v>902</v>
      </c>
      <c r="I1459" s="53" t="s">
        <v>656</v>
      </c>
      <c r="J1459" s="53" t="s">
        <v>2803</v>
      </c>
    </row>
    <row r="1460" spans="1:10" ht="15" customHeight="1" x14ac:dyDescent="0.35">
      <c r="A1460" s="53" t="s">
        <v>896</v>
      </c>
      <c r="B1460" s="53" t="s">
        <v>3489</v>
      </c>
      <c r="C1460" s="53" t="s">
        <v>929</v>
      </c>
      <c r="D1460" s="53">
        <v>1</v>
      </c>
      <c r="E1460" s="53" t="s">
        <v>3070</v>
      </c>
      <c r="F1460" s="53" t="s">
        <v>1885</v>
      </c>
      <c r="G1460" s="53" t="s">
        <v>901</v>
      </c>
      <c r="H1460" s="53" t="s">
        <v>902</v>
      </c>
      <c r="I1460" s="53" t="s">
        <v>656</v>
      </c>
      <c r="J1460" s="53" t="s">
        <v>2095</v>
      </c>
    </row>
    <row r="1461" spans="1:10" ht="15" customHeight="1" x14ac:dyDescent="0.35">
      <c r="A1461" s="53" t="s">
        <v>896</v>
      </c>
      <c r="B1461" s="53" t="s">
        <v>3490</v>
      </c>
      <c r="C1461" s="53" t="s">
        <v>1077</v>
      </c>
      <c r="D1461" s="53">
        <v>1</v>
      </c>
      <c r="E1461" s="53" t="s">
        <v>3070</v>
      </c>
      <c r="F1461" s="53" t="s">
        <v>1885</v>
      </c>
      <c r="G1461" s="53" t="s">
        <v>901</v>
      </c>
      <c r="H1461" s="53" t="s">
        <v>902</v>
      </c>
      <c r="I1461" s="53" t="s">
        <v>656</v>
      </c>
      <c r="J1461" s="53" t="s">
        <v>2803</v>
      </c>
    </row>
    <row r="1462" spans="1:10" ht="15" customHeight="1" x14ac:dyDescent="0.35">
      <c r="A1462" s="53" t="s">
        <v>896</v>
      </c>
      <c r="B1462" s="53" t="s">
        <v>3491</v>
      </c>
      <c r="C1462" s="53" t="s">
        <v>2257</v>
      </c>
      <c r="D1462" s="53">
        <v>1</v>
      </c>
      <c r="E1462" s="53" t="s">
        <v>3070</v>
      </c>
      <c r="F1462" s="53" t="s">
        <v>1885</v>
      </c>
      <c r="G1462" s="53" t="s">
        <v>901</v>
      </c>
      <c r="H1462" s="53" t="s">
        <v>902</v>
      </c>
      <c r="I1462" s="53" t="s">
        <v>656</v>
      </c>
      <c r="J1462" s="53" t="s">
        <v>2443</v>
      </c>
    </row>
    <row r="1463" spans="1:10" ht="15" customHeight="1" x14ac:dyDescent="0.35">
      <c r="A1463" s="53" t="s">
        <v>896</v>
      </c>
      <c r="B1463" s="53" t="s">
        <v>3492</v>
      </c>
      <c r="C1463" s="53" t="s">
        <v>1111</v>
      </c>
      <c r="D1463" s="53">
        <v>1</v>
      </c>
      <c r="E1463" s="53" t="s">
        <v>3070</v>
      </c>
      <c r="F1463" s="53" t="s">
        <v>1885</v>
      </c>
      <c r="G1463" s="53" t="s">
        <v>901</v>
      </c>
      <c r="H1463" s="53" t="s">
        <v>902</v>
      </c>
      <c r="I1463" s="53" t="s">
        <v>656</v>
      </c>
      <c r="J1463" s="53" t="s">
        <v>2649</v>
      </c>
    </row>
    <row r="1464" spans="1:10" ht="15" customHeight="1" x14ac:dyDescent="0.35">
      <c r="A1464" s="53" t="s">
        <v>896</v>
      </c>
      <c r="B1464" s="53" t="s">
        <v>3493</v>
      </c>
      <c r="C1464" s="53" t="s">
        <v>1817</v>
      </c>
      <c r="D1464" s="53">
        <v>1</v>
      </c>
      <c r="E1464" s="53" t="s">
        <v>3070</v>
      </c>
      <c r="F1464" s="53" t="s">
        <v>1885</v>
      </c>
      <c r="G1464" s="53" t="s">
        <v>901</v>
      </c>
      <c r="H1464" s="53" t="s">
        <v>902</v>
      </c>
      <c r="I1464" s="53" t="s">
        <v>656</v>
      </c>
      <c r="J1464" s="53" t="s">
        <v>2649</v>
      </c>
    </row>
    <row r="1465" spans="1:10" ht="15" customHeight="1" x14ac:dyDescent="0.35">
      <c r="A1465" s="53" t="s">
        <v>896</v>
      </c>
      <c r="B1465" s="53" t="s">
        <v>3494</v>
      </c>
      <c r="C1465" s="53" t="s">
        <v>1077</v>
      </c>
      <c r="D1465" s="53">
        <v>1</v>
      </c>
      <c r="E1465" s="53" t="s">
        <v>3070</v>
      </c>
      <c r="F1465" s="53" t="s">
        <v>1885</v>
      </c>
      <c r="G1465" s="53" t="s">
        <v>901</v>
      </c>
      <c r="H1465" s="53" t="s">
        <v>902</v>
      </c>
      <c r="I1465" s="53" t="s">
        <v>656</v>
      </c>
      <c r="J1465" s="53" t="s">
        <v>2649</v>
      </c>
    </row>
    <row r="1466" spans="1:10" ht="15" customHeight="1" x14ac:dyDescent="0.35">
      <c r="A1466" s="53" t="s">
        <v>896</v>
      </c>
      <c r="B1466" s="53" t="s">
        <v>3495</v>
      </c>
      <c r="C1466" s="53" t="s">
        <v>2257</v>
      </c>
      <c r="D1466" s="53">
        <v>1</v>
      </c>
      <c r="E1466" s="53" t="s">
        <v>3070</v>
      </c>
      <c r="F1466" s="53" t="s">
        <v>1885</v>
      </c>
      <c r="G1466" s="53" t="s">
        <v>901</v>
      </c>
      <c r="H1466" s="53" t="s">
        <v>902</v>
      </c>
      <c r="I1466" s="53" t="s">
        <v>656</v>
      </c>
      <c r="J1466" s="53" t="s">
        <v>2649</v>
      </c>
    </row>
    <row r="1467" spans="1:10" ht="15" customHeight="1" x14ac:dyDescent="0.35">
      <c r="A1467" s="53" t="s">
        <v>896</v>
      </c>
      <c r="B1467" s="53" t="s">
        <v>3496</v>
      </c>
      <c r="C1467" s="53" t="s">
        <v>1101</v>
      </c>
      <c r="D1467" s="53">
        <v>1</v>
      </c>
      <c r="E1467" s="53" t="s">
        <v>3070</v>
      </c>
      <c r="F1467" s="53" t="s">
        <v>1885</v>
      </c>
      <c r="G1467" s="53" t="s">
        <v>901</v>
      </c>
      <c r="H1467" s="53" t="s">
        <v>902</v>
      </c>
      <c r="I1467" s="53" t="s">
        <v>656</v>
      </c>
      <c r="J1467" s="53" t="s">
        <v>2095</v>
      </c>
    </row>
    <row r="1468" spans="1:10" ht="15" customHeight="1" x14ac:dyDescent="0.35">
      <c r="A1468" s="53" t="s">
        <v>896</v>
      </c>
      <c r="B1468" s="53" t="s">
        <v>3497</v>
      </c>
      <c r="C1468" s="53" t="s">
        <v>909</v>
      </c>
      <c r="D1468" s="53">
        <v>1</v>
      </c>
      <c r="E1468" s="53" t="s">
        <v>3070</v>
      </c>
      <c r="F1468" s="53" t="s">
        <v>1885</v>
      </c>
      <c r="G1468" s="53" t="s">
        <v>901</v>
      </c>
      <c r="H1468" s="53" t="s">
        <v>902</v>
      </c>
      <c r="I1468" s="53" t="s">
        <v>656</v>
      </c>
      <c r="J1468" s="53" t="s">
        <v>2222</v>
      </c>
    </row>
    <row r="1469" spans="1:10" ht="15" customHeight="1" x14ac:dyDescent="0.35">
      <c r="A1469" s="53" t="s">
        <v>896</v>
      </c>
      <c r="B1469" s="53" t="s">
        <v>3498</v>
      </c>
      <c r="C1469" s="53" t="s">
        <v>2602</v>
      </c>
      <c r="D1469" s="53">
        <v>1</v>
      </c>
      <c r="E1469" s="53" t="s">
        <v>3070</v>
      </c>
      <c r="F1469" s="53" t="s">
        <v>1885</v>
      </c>
      <c r="G1469" s="53" t="s">
        <v>901</v>
      </c>
      <c r="H1469" s="53" t="s">
        <v>902</v>
      </c>
      <c r="I1469" s="53" t="s">
        <v>656</v>
      </c>
      <c r="J1469" s="53" t="s">
        <v>2222</v>
      </c>
    </row>
    <row r="1470" spans="1:10" ht="15" customHeight="1" x14ac:dyDescent="0.35">
      <c r="A1470" s="53" t="s">
        <v>896</v>
      </c>
      <c r="B1470" s="53" t="s">
        <v>3499</v>
      </c>
      <c r="C1470" s="53" t="s">
        <v>1240</v>
      </c>
      <c r="D1470" s="53">
        <v>1</v>
      </c>
      <c r="E1470" s="53" t="s">
        <v>3070</v>
      </c>
      <c r="F1470" s="53" t="s">
        <v>1885</v>
      </c>
      <c r="G1470" s="53" t="s">
        <v>901</v>
      </c>
      <c r="H1470" s="53" t="s">
        <v>902</v>
      </c>
      <c r="I1470" s="53" t="s">
        <v>656</v>
      </c>
      <c r="J1470" s="53" t="s">
        <v>2443</v>
      </c>
    </row>
    <row r="1471" spans="1:10" ht="15" customHeight="1" x14ac:dyDescent="0.35">
      <c r="A1471" s="53" t="s">
        <v>896</v>
      </c>
      <c r="B1471" s="53" t="s">
        <v>3500</v>
      </c>
      <c r="C1471" s="53" t="s">
        <v>2792</v>
      </c>
      <c r="D1471" s="53">
        <v>1</v>
      </c>
      <c r="E1471" s="53" t="s">
        <v>3070</v>
      </c>
      <c r="F1471" s="53" t="s">
        <v>1885</v>
      </c>
      <c r="G1471" s="53" t="s">
        <v>901</v>
      </c>
      <c r="H1471" s="53" t="s">
        <v>902</v>
      </c>
      <c r="I1471" s="53" t="s">
        <v>656</v>
      </c>
      <c r="J1471" s="53" t="s">
        <v>2649</v>
      </c>
    </row>
    <row r="1472" spans="1:10" ht="15" customHeight="1" x14ac:dyDescent="0.35">
      <c r="A1472" s="53" t="s">
        <v>896</v>
      </c>
      <c r="B1472" s="53" t="s">
        <v>3501</v>
      </c>
      <c r="C1472" s="53" t="s">
        <v>989</v>
      </c>
      <c r="D1472" s="53">
        <v>1</v>
      </c>
      <c r="E1472" s="53" t="s">
        <v>3070</v>
      </c>
      <c r="F1472" s="53" t="s">
        <v>1885</v>
      </c>
      <c r="G1472" s="53" t="s">
        <v>901</v>
      </c>
      <c r="H1472" s="53" t="s">
        <v>902</v>
      </c>
      <c r="I1472" s="53" t="s">
        <v>656</v>
      </c>
      <c r="J1472" s="53" t="s">
        <v>2692</v>
      </c>
    </row>
    <row r="1473" spans="1:10" ht="15" customHeight="1" x14ac:dyDescent="0.35">
      <c r="A1473" s="53" t="s">
        <v>896</v>
      </c>
      <c r="B1473" s="53" t="s">
        <v>3502</v>
      </c>
      <c r="C1473" s="53" t="s">
        <v>963</v>
      </c>
      <c r="D1473" s="53">
        <v>1</v>
      </c>
      <c r="E1473" s="53" t="s">
        <v>3070</v>
      </c>
      <c r="F1473" s="53" t="s">
        <v>1885</v>
      </c>
      <c r="G1473" s="53" t="s">
        <v>901</v>
      </c>
      <c r="H1473" s="53" t="s">
        <v>902</v>
      </c>
      <c r="I1473" s="53" t="s">
        <v>656</v>
      </c>
      <c r="J1473" s="53" t="s">
        <v>2222</v>
      </c>
    </row>
    <row r="1474" spans="1:10" ht="15" customHeight="1" x14ac:dyDescent="0.35">
      <c r="A1474" s="53" t="s">
        <v>896</v>
      </c>
      <c r="B1474" s="53" t="s">
        <v>3503</v>
      </c>
      <c r="C1474" s="53" t="s">
        <v>989</v>
      </c>
      <c r="D1474" s="53">
        <v>1</v>
      </c>
      <c r="E1474" s="53" t="s">
        <v>3070</v>
      </c>
      <c r="F1474" s="53" t="s">
        <v>1885</v>
      </c>
      <c r="G1474" s="53" t="s">
        <v>901</v>
      </c>
      <c r="H1474" s="53" t="s">
        <v>902</v>
      </c>
      <c r="I1474" s="53" t="s">
        <v>656</v>
      </c>
      <c r="J1474" s="53" t="s">
        <v>2692</v>
      </c>
    </row>
    <row r="1475" spans="1:10" ht="15" customHeight="1" x14ac:dyDescent="0.35">
      <c r="A1475" s="53" t="s">
        <v>896</v>
      </c>
      <c r="B1475" s="53" t="s">
        <v>3504</v>
      </c>
      <c r="C1475" s="53" t="s">
        <v>2971</v>
      </c>
      <c r="D1475" s="53">
        <v>1</v>
      </c>
      <c r="E1475" s="53" t="s">
        <v>3070</v>
      </c>
      <c r="F1475" s="53" t="s">
        <v>1885</v>
      </c>
      <c r="G1475" s="53" t="s">
        <v>901</v>
      </c>
      <c r="H1475" s="53" t="s">
        <v>902</v>
      </c>
      <c r="I1475" s="53" t="s">
        <v>656</v>
      </c>
      <c r="J1475" s="53" t="s">
        <v>2222</v>
      </c>
    </row>
    <row r="1476" spans="1:10" ht="15" customHeight="1" x14ac:dyDescent="0.35">
      <c r="A1476" s="53" t="s">
        <v>896</v>
      </c>
      <c r="B1476" s="53" t="s">
        <v>3505</v>
      </c>
      <c r="C1476" s="53" t="s">
        <v>989</v>
      </c>
      <c r="D1476" s="53">
        <v>1</v>
      </c>
      <c r="E1476" s="53" t="s">
        <v>3070</v>
      </c>
      <c r="F1476" s="53" t="s">
        <v>1885</v>
      </c>
      <c r="G1476" s="53" t="s">
        <v>901</v>
      </c>
      <c r="H1476" s="53" t="s">
        <v>902</v>
      </c>
      <c r="I1476" s="53" t="s">
        <v>656</v>
      </c>
      <c r="J1476" s="53" t="s">
        <v>2692</v>
      </c>
    </row>
    <row r="1477" spans="1:10" ht="15" customHeight="1" x14ac:dyDescent="0.35">
      <c r="A1477" s="53" t="s">
        <v>896</v>
      </c>
      <c r="B1477" s="53" t="s">
        <v>3506</v>
      </c>
      <c r="C1477" s="53" t="s">
        <v>1299</v>
      </c>
      <c r="D1477" s="53">
        <v>1</v>
      </c>
      <c r="E1477" s="53" t="s">
        <v>3070</v>
      </c>
      <c r="F1477" s="53" t="s">
        <v>1885</v>
      </c>
      <c r="G1477" s="53" t="s">
        <v>901</v>
      </c>
      <c r="H1477" s="53" t="s">
        <v>902</v>
      </c>
      <c r="I1477" s="53" t="s">
        <v>656</v>
      </c>
      <c r="J1477" s="53" t="s">
        <v>2692</v>
      </c>
    </row>
    <row r="1478" spans="1:10" ht="15" customHeight="1" x14ac:dyDescent="0.35">
      <c r="A1478" s="53" t="s">
        <v>896</v>
      </c>
      <c r="B1478" s="53" t="s">
        <v>3507</v>
      </c>
      <c r="C1478" s="53" t="s">
        <v>996</v>
      </c>
      <c r="D1478" s="53">
        <v>1</v>
      </c>
      <c r="E1478" s="53" t="s">
        <v>3070</v>
      </c>
      <c r="F1478" s="53" t="s">
        <v>1885</v>
      </c>
      <c r="G1478" s="53" t="s">
        <v>901</v>
      </c>
      <c r="H1478" s="53" t="s">
        <v>902</v>
      </c>
      <c r="I1478" s="53" t="s">
        <v>656</v>
      </c>
      <c r="J1478" s="53" t="s">
        <v>2443</v>
      </c>
    </row>
    <row r="1479" spans="1:10" ht="15" customHeight="1" x14ac:dyDescent="0.35">
      <c r="A1479" s="53" t="s">
        <v>896</v>
      </c>
      <c r="B1479" s="53" t="s">
        <v>3508</v>
      </c>
      <c r="C1479" s="53" t="s">
        <v>925</v>
      </c>
      <c r="D1479" s="53">
        <v>1</v>
      </c>
      <c r="E1479" s="53" t="s">
        <v>3070</v>
      </c>
      <c r="F1479" s="53" t="s">
        <v>1885</v>
      </c>
      <c r="G1479" s="53" t="s">
        <v>901</v>
      </c>
      <c r="H1479" s="53" t="s">
        <v>902</v>
      </c>
      <c r="I1479" s="53" t="s">
        <v>656</v>
      </c>
      <c r="J1479" s="53" t="s">
        <v>2222</v>
      </c>
    </row>
    <row r="1480" spans="1:10" ht="15" customHeight="1" x14ac:dyDescent="0.35">
      <c r="A1480" s="53" t="s">
        <v>896</v>
      </c>
      <c r="B1480" s="53" t="s">
        <v>3509</v>
      </c>
      <c r="C1480" s="53" t="s">
        <v>946</v>
      </c>
      <c r="D1480" s="53">
        <v>1</v>
      </c>
      <c r="E1480" s="53" t="s">
        <v>3070</v>
      </c>
      <c r="F1480" s="53" t="s">
        <v>1885</v>
      </c>
      <c r="G1480" s="53" t="s">
        <v>901</v>
      </c>
      <c r="H1480" s="53" t="s">
        <v>902</v>
      </c>
      <c r="I1480" s="53" t="s">
        <v>656</v>
      </c>
      <c r="J1480" s="53" t="s">
        <v>2692</v>
      </c>
    </row>
    <row r="1481" spans="1:10" ht="15" customHeight="1" x14ac:dyDescent="0.35">
      <c r="A1481" s="53" t="s">
        <v>896</v>
      </c>
      <c r="B1481" s="53" t="s">
        <v>3510</v>
      </c>
      <c r="C1481" s="53" t="s">
        <v>1118</v>
      </c>
      <c r="D1481" s="53">
        <v>1</v>
      </c>
      <c r="E1481" s="53" t="s">
        <v>3070</v>
      </c>
      <c r="F1481" s="53" t="s">
        <v>1885</v>
      </c>
      <c r="G1481" s="53" t="s">
        <v>901</v>
      </c>
      <c r="H1481" s="53" t="s">
        <v>902</v>
      </c>
      <c r="I1481" s="53" t="s">
        <v>656</v>
      </c>
      <c r="J1481" s="53" t="s">
        <v>2443</v>
      </c>
    </row>
    <row r="1482" spans="1:10" ht="15" customHeight="1" x14ac:dyDescent="0.35">
      <c r="A1482" s="53" t="s">
        <v>896</v>
      </c>
      <c r="B1482" s="53" t="s">
        <v>3511</v>
      </c>
      <c r="C1482" s="53" t="s">
        <v>925</v>
      </c>
      <c r="D1482" s="53">
        <v>1</v>
      </c>
      <c r="E1482" s="53" t="s">
        <v>3070</v>
      </c>
      <c r="F1482" s="53" t="s">
        <v>1885</v>
      </c>
      <c r="G1482" s="53" t="s">
        <v>901</v>
      </c>
      <c r="H1482" s="53" t="s">
        <v>902</v>
      </c>
      <c r="I1482" s="53" t="s">
        <v>656</v>
      </c>
      <c r="J1482" s="53" t="s">
        <v>2803</v>
      </c>
    </row>
    <row r="1483" spans="1:10" ht="15" customHeight="1" x14ac:dyDescent="0.35">
      <c r="A1483" s="53" t="s">
        <v>896</v>
      </c>
      <c r="B1483" s="53" t="s">
        <v>3512</v>
      </c>
      <c r="C1483" s="53" t="s">
        <v>913</v>
      </c>
      <c r="D1483" s="53">
        <v>1</v>
      </c>
      <c r="E1483" s="53" t="s">
        <v>3070</v>
      </c>
      <c r="F1483" s="53" t="s">
        <v>1885</v>
      </c>
      <c r="G1483" s="53" t="s">
        <v>901</v>
      </c>
      <c r="H1483" s="53" t="s">
        <v>902</v>
      </c>
      <c r="I1483" s="53" t="s">
        <v>656</v>
      </c>
      <c r="J1483" s="53" t="s">
        <v>2692</v>
      </c>
    </row>
    <row r="1484" spans="1:10" ht="15" customHeight="1" x14ac:dyDescent="0.35">
      <c r="A1484" s="53" t="s">
        <v>896</v>
      </c>
      <c r="B1484" s="53" t="s">
        <v>3513</v>
      </c>
      <c r="C1484" s="53" t="s">
        <v>1050</v>
      </c>
      <c r="D1484" s="53">
        <v>1</v>
      </c>
      <c r="E1484" s="53" t="s">
        <v>3070</v>
      </c>
      <c r="F1484" s="53" t="s">
        <v>1885</v>
      </c>
      <c r="G1484" s="53" t="s">
        <v>901</v>
      </c>
      <c r="H1484" s="53" t="s">
        <v>902</v>
      </c>
      <c r="I1484" s="53" t="s">
        <v>656</v>
      </c>
      <c r="J1484" s="53" t="s">
        <v>2692</v>
      </c>
    </row>
    <row r="1485" spans="1:10" ht="15" customHeight="1" x14ac:dyDescent="0.35">
      <c r="A1485" s="53" t="s">
        <v>896</v>
      </c>
      <c r="B1485" s="53" t="s">
        <v>3514</v>
      </c>
      <c r="C1485" s="53" t="s">
        <v>1077</v>
      </c>
      <c r="D1485" s="53">
        <v>1</v>
      </c>
      <c r="E1485" s="53" t="s">
        <v>3070</v>
      </c>
      <c r="F1485" s="53" t="s">
        <v>1885</v>
      </c>
      <c r="G1485" s="53" t="s">
        <v>901</v>
      </c>
      <c r="H1485" s="53" t="s">
        <v>902</v>
      </c>
      <c r="I1485" s="53" t="s">
        <v>656</v>
      </c>
      <c r="J1485" s="53" t="s">
        <v>2222</v>
      </c>
    </row>
    <row r="1486" spans="1:10" ht="15" customHeight="1" x14ac:dyDescent="0.35">
      <c r="A1486" s="53" t="s">
        <v>896</v>
      </c>
      <c r="B1486" s="53" t="s">
        <v>3515</v>
      </c>
      <c r="C1486" s="53" t="s">
        <v>921</v>
      </c>
      <c r="D1486" s="53">
        <v>1</v>
      </c>
      <c r="E1486" s="53" t="s">
        <v>3070</v>
      </c>
      <c r="F1486" s="53" t="s">
        <v>1885</v>
      </c>
      <c r="G1486" s="53" t="s">
        <v>901</v>
      </c>
      <c r="H1486" s="53" t="s">
        <v>902</v>
      </c>
      <c r="I1486" s="53" t="s">
        <v>656</v>
      </c>
      <c r="J1486" s="53" t="s">
        <v>2095</v>
      </c>
    </row>
    <row r="1487" spans="1:10" ht="15" customHeight="1" x14ac:dyDescent="0.35">
      <c r="A1487" s="53" t="s">
        <v>896</v>
      </c>
      <c r="B1487" s="53" t="s">
        <v>3516</v>
      </c>
      <c r="C1487" s="53" t="s">
        <v>925</v>
      </c>
      <c r="D1487" s="53">
        <v>1</v>
      </c>
      <c r="E1487" s="53" t="s">
        <v>3070</v>
      </c>
      <c r="F1487" s="53" t="s">
        <v>1885</v>
      </c>
      <c r="G1487" s="53" t="s">
        <v>901</v>
      </c>
      <c r="H1487" s="53" t="s">
        <v>902</v>
      </c>
      <c r="I1487" s="53" t="s">
        <v>656</v>
      </c>
      <c r="J1487" s="53" t="s">
        <v>2222</v>
      </c>
    </row>
    <row r="1488" spans="1:10" ht="15" customHeight="1" x14ac:dyDescent="0.35">
      <c r="A1488" s="53" t="s">
        <v>896</v>
      </c>
      <c r="B1488" s="53" t="s">
        <v>3517</v>
      </c>
      <c r="C1488" s="53" t="s">
        <v>909</v>
      </c>
      <c r="D1488" s="53">
        <v>1</v>
      </c>
      <c r="E1488" s="53" t="s">
        <v>3070</v>
      </c>
      <c r="F1488" s="53" t="s">
        <v>1885</v>
      </c>
      <c r="G1488" s="53" t="s">
        <v>901</v>
      </c>
      <c r="H1488" s="53" t="s">
        <v>902</v>
      </c>
      <c r="I1488" s="53" t="s">
        <v>656</v>
      </c>
      <c r="J1488" s="53" t="s">
        <v>2222</v>
      </c>
    </row>
    <row r="1489" spans="1:10" ht="15" customHeight="1" x14ac:dyDescent="0.35">
      <c r="A1489" s="53" t="s">
        <v>896</v>
      </c>
      <c r="B1489" s="53" t="s">
        <v>3518</v>
      </c>
      <c r="C1489" s="53" t="s">
        <v>909</v>
      </c>
      <c r="D1489" s="53">
        <v>1</v>
      </c>
      <c r="E1489" s="53" t="s">
        <v>3070</v>
      </c>
      <c r="F1489" s="53" t="s">
        <v>1885</v>
      </c>
      <c r="G1489" s="53" t="s">
        <v>901</v>
      </c>
      <c r="H1489" s="53" t="s">
        <v>902</v>
      </c>
      <c r="I1489" s="53" t="s">
        <v>656</v>
      </c>
      <c r="J1489" s="53" t="s">
        <v>2222</v>
      </c>
    </row>
    <row r="1490" spans="1:10" ht="15" customHeight="1" x14ac:dyDescent="0.35">
      <c r="A1490" s="53" t="s">
        <v>896</v>
      </c>
      <c r="B1490" s="53" t="s">
        <v>3519</v>
      </c>
      <c r="C1490" s="53" t="s">
        <v>946</v>
      </c>
      <c r="D1490" s="53">
        <v>1</v>
      </c>
      <c r="E1490" s="53" t="s">
        <v>3070</v>
      </c>
      <c r="F1490" s="53" t="s">
        <v>1885</v>
      </c>
      <c r="G1490" s="53" t="s">
        <v>901</v>
      </c>
      <c r="H1490" s="53" t="s">
        <v>902</v>
      </c>
      <c r="I1490" s="53" t="s">
        <v>656</v>
      </c>
      <c r="J1490" s="53" t="s">
        <v>2222</v>
      </c>
    </row>
    <row r="1491" spans="1:10" ht="15" customHeight="1" x14ac:dyDescent="0.35">
      <c r="A1491" s="53" t="s">
        <v>896</v>
      </c>
      <c r="B1491" s="53" t="s">
        <v>3520</v>
      </c>
      <c r="C1491" s="53" t="s">
        <v>909</v>
      </c>
      <c r="D1491" s="53">
        <v>1</v>
      </c>
      <c r="E1491" s="53" t="s">
        <v>3070</v>
      </c>
      <c r="F1491" s="53" t="s">
        <v>1885</v>
      </c>
      <c r="G1491" s="53" t="s">
        <v>901</v>
      </c>
      <c r="H1491" s="53" t="s">
        <v>902</v>
      </c>
      <c r="I1491" s="53" t="s">
        <v>656</v>
      </c>
      <c r="J1491" s="53" t="s">
        <v>2222</v>
      </c>
    </row>
    <row r="1492" spans="1:10" ht="15" customHeight="1" x14ac:dyDescent="0.35">
      <c r="A1492" s="53" t="s">
        <v>896</v>
      </c>
      <c r="B1492" s="53" t="s">
        <v>3521</v>
      </c>
      <c r="C1492" s="53" t="s">
        <v>909</v>
      </c>
      <c r="D1492" s="53">
        <v>1</v>
      </c>
      <c r="E1492" s="53" t="s">
        <v>3070</v>
      </c>
      <c r="F1492" s="53" t="s">
        <v>1885</v>
      </c>
      <c r="G1492" s="53" t="s">
        <v>901</v>
      </c>
      <c r="H1492" s="53" t="s">
        <v>902</v>
      </c>
      <c r="I1492" s="53" t="s">
        <v>656</v>
      </c>
      <c r="J1492" s="53" t="s">
        <v>2222</v>
      </c>
    </row>
    <row r="1493" spans="1:10" ht="15" customHeight="1" x14ac:dyDescent="0.35">
      <c r="A1493" s="53" t="s">
        <v>896</v>
      </c>
      <c r="B1493" s="53" t="s">
        <v>3522</v>
      </c>
      <c r="C1493" s="53" t="s">
        <v>1077</v>
      </c>
      <c r="D1493" s="53">
        <v>1</v>
      </c>
      <c r="E1493" s="53" t="s">
        <v>3070</v>
      </c>
      <c r="F1493" s="53" t="s">
        <v>1885</v>
      </c>
      <c r="G1493" s="53" t="s">
        <v>901</v>
      </c>
      <c r="H1493" s="53" t="s">
        <v>902</v>
      </c>
      <c r="I1493" s="53" t="s">
        <v>656</v>
      </c>
      <c r="J1493" s="53" t="s">
        <v>2972</v>
      </c>
    </row>
    <row r="1494" spans="1:10" ht="15" customHeight="1" x14ac:dyDescent="0.35">
      <c r="A1494" s="53" t="s">
        <v>896</v>
      </c>
      <c r="B1494" s="53" t="s">
        <v>3523</v>
      </c>
      <c r="C1494" s="53" t="s">
        <v>1050</v>
      </c>
      <c r="D1494" s="53">
        <v>1</v>
      </c>
      <c r="E1494" s="53" t="s">
        <v>3070</v>
      </c>
      <c r="F1494" s="53" t="s">
        <v>1885</v>
      </c>
      <c r="G1494" s="53" t="s">
        <v>901</v>
      </c>
      <c r="H1494" s="53" t="s">
        <v>902</v>
      </c>
      <c r="I1494" s="53" t="s">
        <v>656</v>
      </c>
      <c r="J1494" s="53" t="s">
        <v>2692</v>
      </c>
    </row>
    <row r="1495" spans="1:10" ht="15" customHeight="1" x14ac:dyDescent="0.35">
      <c r="A1495" s="53" t="s">
        <v>896</v>
      </c>
      <c r="B1495" s="53" t="s">
        <v>3524</v>
      </c>
      <c r="C1495" s="53" t="s">
        <v>1111</v>
      </c>
      <c r="D1495" s="53">
        <v>1</v>
      </c>
      <c r="E1495" s="53" t="s">
        <v>3070</v>
      </c>
      <c r="F1495" s="53" t="s">
        <v>1885</v>
      </c>
      <c r="G1495" s="53" t="s">
        <v>901</v>
      </c>
      <c r="H1495" s="53" t="s">
        <v>902</v>
      </c>
      <c r="I1495" s="53" t="s">
        <v>656</v>
      </c>
      <c r="J1495" s="53" t="s">
        <v>2866</v>
      </c>
    </row>
    <row r="1496" spans="1:10" ht="15" customHeight="1" x14ac:dyDescent="0.35">
      <c r="A1496" s="53" t="s">
        <v>896</v>
      </c>
      <c r="B1496" s="53" t="s">
        <v>3525</v>
      </c>
      <c r="C1496" s="53" t="s">
        <v>1143</v>
      </c>
      <c r="D1496" s="53">
        <v>1</v>
      </c>
      <c r="E1496" s="53" t="s">
        <v>3070</v>
      </c>
      <c r="F1496" s="53" t="s">
        <v>1885</v>
      </c>
      <c r="G1496" s="53" t="s">
        <v>901</v>
      </c>
      <c r="H1496" s="53" t="s">
        <v>902</v>
      </c>
      <c r="I1496" s="53" t="s">
        <v>656</v>
      </c>
      <c r="J1496" s="53" t="s">
        <v>2222</v>
      </c>
    </row>
    <row r="1497" spans="1:10" ht="15" customHeight="1" x14ac:dyDescent="0.35">
      <c r="A1497" s="53" t="s">
        <v>896</v>
      </c>
      <c r="B1497" s="53" t="s">
        <v>3526</v>
      </c>
      <c r="C1497" s="53" t="s">
        <v>909</v>
      </c>
      <c r="D1497" s="53">
        <v>1</v>
      </c>
      <c r="E1497" s="53" t="s">
        <v>3070</v>
      </c>
      <c r="F1497" s="53" t="s">
        <v>1885</v>
      </c>
      <c r="G1497" s="53" t="s">
        <v>901</v>
      </c>
      <c r="H1497" s="53" t="s">
        <v>902</v>
      </c>
      <c r="I1497" s="53" t="s">
        <v>656</v>
      </c>
      <c r="J1497" s="53" t="s">
        <v>2222</v>
      </c>
    </row>
    <row r="1498" spans="1:10" ht="15" customHeight="1" x14ac:dyDescent="0.35">
      <c r="A1498" s="53" t="s">
        <v>896</v>
      </c>
      <c r="B1498" s="53" t="s">
        <v>3527</v>
      </c>
      <c r="C1498" s="53" t="s">
        <v>1077</v>
      </c>
      <c r="D1498" s="53">
        <v>1</v>
      </c>
      <c r="E1498" s="53" t="s">
        <v>3070</v>
      </c>
      <c r="F1498" s="53" t="s">
        <v>1885</v>
      </c>
      <c r="G1498" s="53" t="s">
        <v>901</v>
      </c>
      <c r="H1498" s="53" t="s">
        <v>902</v>
      </c>
      <c r="I1498" s="53" t="s">
        <v>656</v>
      </c>
      <c r="J1498" s="53" t="s">
        <v>2222</v>
      </c>
    </row>
    <row r="1499" spans="1:10" ht="15" customHeight="1" x14ac:dyDescent="0.35">
      <c r="A1499" s="53" t="s">
        <v>896</v>
      </c>
      <c r="B1499" s="53" t="s">
        <v>3528</v>
      </c>
      <c r="C1499" s="53" t="s">
        <v>2971</v>
      </c>
      <c r="D1499" s="53">
        <v>1</v>
      </c>
      <c r="E1499" s="53" t="s">
        <v>3070</v>
      </c>
      <c r="F1499" s="53" t="s">
        <v>1885</v>
      </c>
      <c r="G1499" s="53" t="s">
        <v>901</v>
      </c>
      <c r="H1499" s="53" t="s">
        <v>902</v>
      </c>
      <c r="I1499" s="53" t="s">
        <v>656</v>
      </c>
      <c r="J1499" s="53" t="s">
        <v>2692</v>
      </c>
    </row>
    <row r="1500" spans="1:10" ht="15" customHeight="1" x14ac:dyDescent="0.35">
      <c r="A1500" s="53" t="s">
        <v>896</v>
      </c>
      <c r="B1500" s="53" t="s">
        <v>3529</v>
      </c>
      <c r="C1500" s="53" t="s">
        <v>1077</v>
      </c>
      <c r="D1500" s="53">
        <v>1</v>
      </c>
      <c r="E1500" s="53" t="s">
        <v>3070</v>
      </c>
      <c r="F1500" s="53" t="s">
        <v>1885</v>
      </c>
      <c r="G1500" s="53" t="s">
        <v>901</v>
      </c>
      <c r="H1500" s="53" t="s">
        <v>902</v>
      </c>
      <c r="I1500" s="53" t="s">
        <v>656</v>
      </c>
      <c r="J1500" s="53" t="s">
        <v>2829</v>
      </c>
    </row>
    <row r="1501" spans="1:10" ht="15" customHeight="1" x14ac:dyDescent="0.35">
      <c r="A1501" s="53" t="s">
        <v>896</v>
      </c>
      <c r="B1501" s="53" t="s">
        <v>3530</v>
      </c>
      <c r="C1501" s="53" t="s">
        <v>946</v>
      </c>
      <c r="D1501" s="53">
        <v>1</v>
      </c>
      <c r="E1501" s="53" t="s">
        <v>3070</v>
      </c>
      <c r="F1501" s="53" t="s">
        <v>1885</v>
      </c>
      <c r="G1501" s="53" t="s">
        <v>901</v>
      </c>
      <c r="H1501" s="53" t="s">
        <v>902</v>
      </c>
      <c r="I1501" s="53" t="s">
        <v>656</v>
      </c>
      <c r="J1501" s="53" t="s">
        <v>2222</v>
      </c>
    </row>
    <row r="1502" spans="1:10" ht="15" customHeight="1" x14ac:dyDescent="0.35">
      <c r="A1502" s="53" t="s">
        <v>896</v>
      </c>
      <c r="B1502" s="53" t="s">
        <v>3531</v>
      </c>
      <c r="C1502" s="53" t="s">
        <v>946</v>
      </c>
      <c r="D1502" s="53">
        <v>1</v>
      </c>
      <c r="E1502" s="53" t="s">
        <v>3070</v>
      </c>
      <c r="F1502" s="53" t="s">
        <v>1885</v>
      </c>
      <c r="G1502" s="53" t="s">
        <v>901</v>
      </c>
      <c r="H1502" s="53" t="s">
        <v>902</v>
      </c>
      <c r="I1502" s="53" t="s">
        <v>656</v>
      </c>
      <c r="J1502" s="53" t="s">
        <v>2222</v>
      </c>
    </row>
    <row r="1503" spans="1:10" ht="15" customHeight="1" x14ac:dyDescent="0.35">
      <c r="A1503" s="53" t="s">
        <v>896</v>
      </c>
      <c r="B1503" s="53" t="s">
        <v>3532</v>
      </c>
      <c r="C1503" s="53" t="s">
        <v>2971</v>
      </c>
      <c r="D1503" s="53">
        <v>1</v>
      </c>
      <c r="E1503" s="53" t="s">
        <v>3070</v>
      </c>
      <c r="F1503" s="53" t="s">
        <v>1885</v>
      </c>
      <c r="G1503" s="53" t="s">
        <v>901</v>
      </c>
      <c r="H1503" s="53" t="s">
        <v>902</v>
      </c>
      <c r="I1503" s="53" t="s">
        <v>656</v>
      </c>
      <c r="J1503" s="53" t="s">
        <v>2222</v>
      </c>
    </row>
    <row r="1504" spans="1:10" ht="15" customHeight="1" x14ac:dyDescent="0.35">
      <c r="A1504" s="53" t="s">
        <v>896</v>
      </c>
      <c r="B1504" s="53" t="s">
        <v>3533</v>
      </c>
      <c r="C1504" s="53" t="s">
        <v>1817</v>
      </c>
      <c r="D1504" s="53">
        <v>1</v>
      </c>
      <c r="E1504" s="53" t="s">
        <v>3070</v>
      </c>
      <c r="F1504" s="53" t="s">
        <v>1885</v>
      </c>
      <c r="G1504" s="53" t="s">
        <v>901</v>
      </c>
      <c r="H1504" s="53" t="s">
        <v>902</v>
      </c>
      <c r="I1504" s="53" t="s">
        <v>656</v>
      </c>
      <c r="J1504" s="53" t="s">
        <v>2443</v>
      </c>
    </row>
    <row r="1505" spans="1:10" ht="15" customHeight="1" x14ac:dyDescent="0.35">
      <c r="A1505" s="53" t="s">
        <v>896</v>
      </c>
      <c r="B1505" s="53" t="s">
        <v>3534</v>
      </c>
      <c r="C1505" s="53" t="s">
        <v>1143</v>
      </c>
      <c r="D1505" s="53">
        <v>1</v>
      </c>
      <c r="E1505" s="53" t="s">
        <v>3070</v>
      </c>
      <c r="F1505" s="53" t="s">
        <v>1885</v>
      </c>
      <c r="G1505" s="53" t="s">
        <v>901</v>
      </c>
      <c r="H1505" s="53" t="s">
        <v>902</v>
      </c>
      <c r="I1505" s="53" t="s">
        <v>656</v>
      </c>
      <c r="J1505" s="53" t="s">
        <v>2649</v>
      </c>
    </row>
    <row r="1506" spans="1:10" ht="15" customHeight="1" x14ac:dyDescent="0.35">
      <c r="A1506" s="53" t="s">
        <v>896</v>
      </c>
      <c r="B1506" s="53" t="s">
        <v>3535</v>
      </c>
      <c r="C1506" s="53" t="s">
        <v>1118</v>
      </c>
      <c r="D1506" s="53">
        <v>1</v>
      </c>
      <c r="E1506" s="53" t="s">
        <v>3070</v>
      </c>
      <c r="F1506" s="53" t="s">
        <v>1885</v>
      </c>
      <c r="G1506" s="53" t="s">
        <v>901</v>
      </c>
      <c r="H1506" s="53" t="s">
        <v>902</v>
      </c>
      <c r="I1506" s="53" t="s">
        <v>656</v>
      </c>
      <c r="J1506" s="53" t="s">
        <v>2222</v>
      </c>
    </row>
    <row r="1507" spans="1:10" ht="15" customHeight="1" x14ac:dyDescent="0.35">
      <c r="A1507" s="53" t="s">
        <v>896</v>
      </c>
      <c r="B1507" s="53" t="s">
        <v>3536</v>
      </c>
      <c r="C1507" s="53" t="s">
        <v>946</v>
      </c>
      <c r="D1507" s="53">
        <v>1</v>
      </c>
      <c r="E1507" s="53" t="s">
        <v>3070</v>
      </c>
      <c r="F1507" s="53" t="s">
        <v>1885</v>
      </c>
      <c r="G1507" s="53" t="s">
        <v>901</v>
      </c>
      <c r="H1507" s="53" t="s">
        <v>902</v>
      </c>
      <c r="I1507" s="53" t="s">
        <v>656</v>
      </c>
      <c r="J1507" s="53" t="s">
        <v>2222</v>
      </c>
    </row>
    <row r="1508" spans="1:10" ht="15" customHeight="1" x14ac:dyDescent="0.35">
      <c r="A1508" s="53" t="s">
        <v>896</v>
      </c>
      <c r="B1508" s="53" t="s">
        <v>3537</v>
      </c>
      <c r="C1508" s="53" t="s">
        <v>1143</v>
      </c>
      <c r="D1508" s="53">
        <v>1</v>
      </c>
      <c r="E1508" s="53" t="s">
        <v>3070</v>
      </c>
      <c r="F1508" s="53" t="s">
        <v>1885</v>
      </c>
      <c r="G1508" s="53" t="s">
        <v>901</v>
      </c>
      <c r="H1508" s="53" t="s">
        <v>902</v>
      </c>
      <c r="I1508" s="53" t="s">
        <v>656</v>
      </c>
      <c r="J1508" s="53" t="s">
        <v>2222</v>
      </c>
    </row>
    <row r="1509" spans="1:10" ht="15" customHeight="1" x14ac:dyDescent="0.35">
      <c r="A1509" s="53" t="s">
        <v>896</v>
      </c>
      <c r="B1509" s="53" t="s">
        <v>3538</v>
      </c>
      <c r="C1509" s="53" t="s">
        <v>989</v>
      </c>
      <c r="D1509" s="53">
        <v>1</v>
      </c>
      <c r="E1509" s="53" t="s">
        <v>3070</v>
      </c>
      <c r="F1509" s="53" t="s">
        <v>1885</v>
      </c>
      <c r="G1509" s="53" t="s">
        <v>901</v>
      </c>
      <c r="H1509" s="53" t="s">
        <v>902</v>
      </c>
      <c r="I1509" s="53" t="s">
        <v>656</v>
      </c>
      <c r="J1509" s="53" t="s">
        <v>2692</v>
      </c>
    </row>
    <row r="1510" spans="1:10" ht="15" customHeight="1" x14ac:dyDescent="0.35">
      <c r="A1510" s="53" t="s">
        <v>896</v>
      </c>
      <c r="B1510" s="53" t="s">
        <v>3539</v>
      </c>
      <c r="C1510" s="53" t="s">
        <v>1690</v>
      </c>
      <c r="D1510" s="53">
        <v>1</v>
      </c>
      <c r="E1510" s="53" t="s">
        <v>3070</v>
      </c>
      <c r="F1510" s="53" t="s">
        <v>1885</v>
      </c>
      <c r="G1510" s="53" t="s">
        <v>901</v>
      </c>
      <c r="H1510" s="53" t="s">
        <v>902</v>
      </c>
      <c r="I1510" s="53" t="s">
        <v>656</v>
      </c>
      <c r="J1510" s="53" t="s">
        <v>2803</v>
      </c>
    </row>
    <row r="1511" spans="1:10" ht="15" customHeight="1" x14ac:dyDescent="0.35">
      <c r="A1511" s="53" t="s">
        <v>896</v>
      </c>
      <c r="B1511" s="53" t="s">
        <v>3540</v>
      </c>
      <c r="C1511" s="53" t="s">
        <v>1077</v>
      </c>
      <c r="D1511" s="53">
        <v>1</v>
      </c>
      <c r="E1511" s="53" t="s">
        <v>3070</v>
      </c>
      <c r="F1511" s="53" t="s">
        <v>1885</v>
      </c>
      <c r="G1511" s="53" t="s">
        <v>901</v>
      </c>
      <c r="H1511" s="53" t="s">
        <v>902</v>
      </c>
      <c r="I1511" s="53" t="s">
        <v>656</v>
      </c>
      <c r="J1511" s="53" t="s">
        <v>2222</v>
      </c>
    </row>
    <row r="1512" spans="1:10" ht="15" customHeight="1" x14ac:dyDescent="0.35">
      <c r="A1512" s="53" t="s">
        <v>896</v>
      </c>
      <c r="B1512" s="53" t="s">
        <v>3541</v>
      </c>
      <c r="C1512" s="53" t="s">
        <v>1659</v>
      </c>
      <c r="D1512" s="53">
        <v>1</v>
      </c>
      <c r="E1512" s="53" t="s">
        <v>3070</v>
      </c>
      <c r="F1512" s="53" t="s">
        <v>1885</v>
      </c>
      <c r="G1512" s="53" t="s">
        <v>901</v>
      </c>
      <c r="H1512" s="53" t="s">
        <v>902</v>
      </c>
      <c r="I1512" s="53" t="s">
        <v>656</v>
      </c>
      <c r="J1512" s="53" t="s">
        <v>2443</v>
      </c>
    </row>
    <row r="1513" spans="1:10" ht="15" customHeight="1" x14ac:dyDescent="0.35">
      <c r="A1513" s="53" t="s">
        <v>896</v>
      </c>
      <c r="B1513" s="53" t="s">
        <v>3542</v>
      </c>
      <c r="C1513" s="53" t="s">
        <v>1077</v>
      </c>
      <c r="D1513" s="53">
        <v>1</v>
      </c>
      <c r="E1513" s="53" t="s">
        <v>3070</v>
      </c>
      <c r="F1513" s="53" t="s">
        <v>1885</v>
      </c>
      <c r="G1513" s="53" t="s">
        <v>901</v>
      </c>
      <c r="H1513" s="53" t="s">
        <v>902</v>
      </c>
      <c r="I1513" s="53" t="s">
        <v>656</v>
      </c>
      <c r="J1513" s="53" t="s">
        <v>2222</v>
      </c>
    </row>
    <row r="1514" spans="1:10" ht="15" customHeight="1" x14ac:dyDescent="0.35">
      <c r="A1514" s="53" t="s">
        <v>896</v>
      </c>
      <c r="B1514" s="53" t="s">
        <v>3543</v>
      </c>
      <c r="C1514" s="53" t="s">
        <v>1659</v>
      </c>
      <c r="D1514" s="53">
        <v>1</v>
      </c>
      <c r="E1514" s="53" t="s">
        <v>3070</v>
      </c>
      <c r="F1514" s="53" t="s">
        <v>1885</v>
      </c>
      <c r="G1514" s="53" t="s">
        <v>901</v>
      </c>
      <c r="H1514" s="53" t="s">
        <v>902</v>
      </c>
      <c r="I1514" s="53" t="s">
        <v>656</v>
      </c>
      <c r="J1514" s="53" t="s">
        <v>2222</v>
      </c>
    </row>
    <row r="1515" spans="1:10" ht="15" customHeight="1" x14ac:dyDescent="0.35">
      <c r="A1515" s="53" t="s">
        <v>896</v>
      </c>
      <c r="B1515" s="53" t="s">
        <v>3544</v>
      </c>
      <c r="C1515" s="53" t="s">
        <v>929</v>
      </c>
      <c r="D1515" s="53">
        <v>1</v>
      </c>
      <c r="E1515" s="53" t="s">
        <v>3070</v>
      </c>
      <c r="F1515" s="53" t="s">
        <v>1885</v>
      </c>
      <c r="G1515" s="53" t="s">
        <v>901</v>
      </c>
      <c r="H1515" s="53" t="s">
        <v>902</v>
      </c>
      <c r="I1515" s="53" t="s">
        <v>656</v>
      </c>
      <c r="J1515" s="53" t="s">
        <v>2222</v>
      </c>
    </row>
    <row r="1516" spans="1:10" ht="15" customHeight="1" x14ac:dyDescent="0.35">
      <c r="A1516" s="53" t="s">
        <v>896</v>
      </c>
      <c r="B1516" s="53" t="s">
        <v>3545</v>
      </c>
      <c r="C1516" s="53" t="s">
        <v>2602</v>
      </c>
      <c r="D1516" s="53">
        <v>1</v>
      </c>
      <c r="E1516" s="53" t="s">
        <v>3070</v>
      </c>
      <c r="F1516" s="53" t="s">
        <v>1885</v>
      </c>
      <c r="G1516" s="53" t="s">
        <v>901</v>
      </c>
      <c r="H1516" s="53" t="s">
        <v>902</v>
      </c>
      <c r="I1516" s="53" t="s">
        <v>656</v>
      </c>
      <c r="J1516" s="53" t="s">
        <v>2222</v>
      </c>
    </row>
    <row r="1517" spans="1:10" ht="15" customHeight="1" x14ac:dyDescent="0.35">
      <c r="A1517" s="53" t="s">
        <v>896</v>
      </c>
      <c r="B1517" s="53" t="s">
        <v>3546</v>
      </c>
      <c r="C1517" s="53" t="s">
        <v>2602</v>
      </c>
      <c r="D1517" s="53">
        <v>1</v>
      </c>
      <c r="E1517" s="53" t="s">
        <v>3070</v>
      </c>
      <c r="F1517" s="53" t="s">
        <v>1885</v>
      </c>
      <c r="G1517" s="53" t="s">
        <v>901</v>
      </c>
      <c r="H1517" s="53" t="s">
        <v>902</v>
      </c>
      <c r="I1517" s="53" t="s">
        <v>656</v>
      </c>
      <c r="J1517" s="53" t="s">
        <v>2222</v>
      </c>
    </row>
    <row r="1518" spans="1:10" ht="15" customHeight="1" x14ac:dyDescent="0.35">
      <c r="A1518" s="53" t="s">
        <v>896</v>
      </c>
      <c r="B1518" s="53" t="s">
        <v>3547</v>
      </c>
      <c r="C1518" s="53" t="s">
        <v>2602</v>
      </c>
      <c r="D1518" s="53">
        <v>1</v>
      </c>
      <c r="E1518" s="53" t="s">
        <v>3070</v>
      </c>
      <c r="F1518" s="53" t="s">
        <v>1885</v>
      </c>
      <c r="G1518" s="53" t="s">
        <v>901</v>
      </c>
      <c r="H1518" s="53" t="s">
        <v>902</v>
      </c>
      <c r="I1518" s="53" t="s">
        <v>656</v>
      </c>
      <c r="J1518" s="53" t="s">
        <v>2222</v>
      </c>
    </row>
    <row r="1519" spans="1:10" ht="15" customHeight="1" x14ac:dyDescent="0.35">
      <c r="A1519" s="53" t="s">
        <v>896</v>
      </c>
      <c r="B1519" s="53" t="s">
        <v>3548</v>
      </c>
      <c r="C1519" s="53" t="s">
        <v>1817</v>
      </c>
      <c r="D1519" s="53">
        <v>1</v>
      </c>
      <c r="E1519" s="53" t="s">
        <v>3070</v>
      </c>
      <c r="F1519" s="53" t="s">
        <v>1885</v>
      </c>
      <c r="G1519" s="53" t="s">
        <v>901</v>
      </c>
      <c r="H1519" s="53" t="s">
        <v>902</v>
      </c>
      <c r="I1519" s="53" t="s">
        <v>656</v>
      </c>
      <c r="J1519" s="53" t="s">
        <v>2443</v>
      </c>
    </row>
    <row r="1520" spans="1:10" ht="15" customHeight="1" x14ac:dyDescent="0.35">
      <c r="A1520" s="53" t="s">
        <v>896</v>
      </c>
      <c r="B1520" s="53" t="s">
        <v>3549</v>
      </c>
      <c r="C1520" s="53" t="s">
        <v>1143</v>
      </c>
      <c r="D1520" s="53">
        <v>1</v>
      </c>
      <c r="E1520" s="53" t="s">
        <v>3070</v>
      </c>
      <c r="F1520" s="53" t="s">
        <v>1885</v>
      </c>
      <c r="G1520" s="53" t="s">
        <v>901</v>
      </c>
      <c r="H1520" s="53" t="s">
        <v>902</v>
      </c>
      <c r="I1520" s="53" t="s">
        <v>656</v>
      </c>
      <c r="J1520" s="53" t="s">
        <v>2222</v>
      </c>
    </row>
    <row r="1521" spans="1:10" ht="15" customHeight="1" x14ac:dyDescent="0.35">
      <c r="A1521" s="53" t="s">
        <v>896</v>
      </c>
      <c r="B1521" s="53" t="s">
        <v>3550</v>
      </c>
      <c r="C1521" s="53" t="s">
        <v>1143</v>
      </c>
      <c r="D1521" s="53">
        <v>1</v>
      </c>
      <c r="E1521" s="53" t="s">
        <v>3070</v>
      </c>
      <c r="F1521" s="53" t="s">
        <v>1885</v>
      </c>
      <c r="G1521" s="53" t="s">
        <v>901</v>
      </c>
      <c r="H1521" s="53" t="s">
        <v>902</v>
      </c>
      <c r="I1521" s="53" t="s">
        <v>656</v>
      </c>
      <c r="J1521" s="53" t="s">
        <v>2222</v>
      </c>
    </row>
    <row r="1522" spans="1:10" ht="15" customHeight="1" x14ac:dyDescent="0.35">
      <c r="A1522" s="53" t="s">
        <v>896</v>
      </c>
      <c r="B1522" s="53" t="s">
        <v>3551</v>
      </c>
      <c r="C1522" s="53" t="s">
        <v>1659</v>
      </c>
      <c r="D1522" s="53">
        <v>1</v>
      </c>
      <c r="E1522" s="53" t="s">
        <v>3070</v>
      </c>
      <c r="F1522" s="53" t="s">
        <v>1885</v>
      </c>
      <c r="G1522" s="53" t="s">
        <v>901</v>
      </c>
      <c r="H1522" s="53" t="s">
        <v>902</v>
      </c>
      <c r="I1522" s="53" t="s">
        <v>656</v>
      </c>
      <c r="J1522" s="53" t="s">
        <v>2649</v>
      </c>
    </row>
    <row r="1523" spans="1:10" ht="15" customHeight="1" x14ac:dyDescent="0.35">
      <c r="A1523" s="53" t="s">
        <v>896</v>
      </c>
      <c r="B1523" s="53" t="s">
        <v>3552</v>
      </c>
      <c r="C1523" s="53" t="s">
        <v>1077</v>
      </c>
      <c r="D1523" s="53">
        <v>1</v>
      </c>
      <c r="E1523" s="53" t="s">
        <v>3070</v>
      </c>
      <c r="F1523" s="53" t="s">
        <v>1885</v>
      </c>
      <c r="G1523" s="53" t="s">
        <v>901</v>
      </c>
      <c r="H1523" s="53" t="s">
        <v>902</v>
      </c>
      <c r="I1523" s="53" t="s">
        <v>656</v>
      </c>
      <c r="J1523" s="53" t="s">
        <v>2222</v>
      </c>
    </row>
    <row r="1524" spans="1:10" ht="15" customHeight="1" x14ac:dyDescent="0.35">
      <c r="A1524" s="53" t="s">
        <v>896</v>
      </c>
      <c r="B1524" s="53" t="s">
        <v>3553</v>
      </c>
      <c r="C1524" s="53" t="s">
        <v>963</v>
      </c>
      <c r="D1524" s="53">
        <v>1</v>
      </c>
      <c r="E1524" s="53" t="s">
        <v>3070</v>
      </c>
      <c r="F1524" s="53" t="s">
        <v>1885</v>
      </c>
      <c r="G1524" s="53" t="s">
        <v>901</v>
      </c>
      <c r="H1524" s="53" t="s">
        <v>902</v>
      </c>
      <c r="I1524" s="53" t="s">
        <v>656</v>
      </c>
      <c r="J1524" s="53" t="s">
        <v>2222</v>
      </c>
    </row>
    <row r="1525" spans="1:10" ht="15" customHeight="1" x14ac:dyDescent="0.35">
      <c r="A1525" s="53" t="s">
        <v>896</v>
      </c>
      <c r="B1525" s="53" t="s">
        <v>3554</v>
      </c>
      <c r="C1525" s="53" t="s">
        <v>909</v>
      </c>
      <c r="D1525" s="53">
        <v>1</v>
      </c>
      <c r="E1525" s="53" t="s">
        <v>3070</v>
      </c>
      <c r="F1525" s="53" t="s">
        <v>1885</v>
      </c>
      <c r="G1525" s="53" t="s">
        <v>901</v>
      </c>
      <c r="H1525" s="53" t="s">
        <v>902</v>
      </c>
      <c r="I1525" s="53" t="s">
        <v>656</v>
      </c>
      <c r="J1525" s="53" t="s">
        <v>2443</v>
      </c>
    </row>
    <row r="1526" spans="1:10" ht="15" customHeight="1" x14ac:dyDescent="0.35">
      <c r="A1526" s="53" t="s">
        <v>896</v>
      </c>
      <c r="B1526" s="53" t="s">
        <v>3555</v>
      </c>
      <c r="C1526" s="53" t="s">
        <v>1240</v>
      </c>
      <c r="D1526" s="53">
        <v>1</v>
      </c>
      <c r="E1526" s="53" t="s">
        <v>3070</v>
      </c>
      <c r="F1526" s="53" t="s">
        <v>1885</v>
      </c>
      <c r="G1526" s="53" t="s">
        <v>901</v>
      </c>
      <c r="H1526" s="53" t="s">
        <v>902</v>
      </c>
      <c r="I1526" s="53" t="s">
        <v>656</v>
      </c>
      <c r="J1526" s="53" t="s">
        <v>2443</v>
      </c>
    </row>
    <row r="1527" spans="1:10" ht="15" customHeight="1" x14ac:dyDescent="0.35">
      <c r="A1527" s="53" t="s">
        <v>896</v>
      </c>
      <c r="B1527" s="53" t="s">
        <v>3556</v>
      </c>
      <c r="C1527" s="53" t="s">
        <v>1817</v>
      </c>
      <c r="D1527" s="53">
        <v>1</v>
      </c>
      <c r="E1527" s="53" t="s">
        <v>3070</v>
      </c>
      <c r="F1527" s="53" t="s">
        <v>1885</v>
      </c>
      <c r="G1527" s="53" t="s">
        <v>901</v>
      </c>
      <c r="H1527" s="53" t="s">
        <v>902</v>
      </c>
      <c r="I1527" s="53" t="s">
        <v>656</v>
      </c>
      <c r="J1527" s="53" t="s">
        <v>2649</v>
      </c>
    </row>
    <row r="1528" spans="1:10" ht="15" customHeight="1" x14ac:dyDescent="0.35">
      <c r="A1528" s="53" t="s">
        <v>896</v>
      </c>
      <c r="B1528" s="53" t="s">
        <v>3557</v>
      </c>
      <c r="C1528" s="53" t="s">
        <v>905</v>
      </c>
      <c r="D1528" s="53">
        <v>1</v>
      </c>
      <c r="E1528" s="53" t="s">
        <v>3070</v>
      </c>
      <c r="F1528" s="53" t="s">
        <v>1885</v>
      </c>
      <c r="G1528" s="53" t="s">
        <v>901</v>
      </c>
      <c r="H1528" s="53" t="s">
        <v>902</v>
      </c>
      <c r="I1528" s="53" t="s">
        <v>656</v>
      </c>
      <c r="J1528" s="53" t="s">
        <v>2222</v>
      </c>
    </row>
    <row r="1529" spans="1:10" ht="15" customHeight="1" x14ac:dyDescent="0.35">
      <c r="A1529" s="53" t="s">
        <v>896</v>
      </c>
      <c r="B1529" s="53" t="s">
        <v>3558</v>
      </c>
      <c r="C1529" s="53" t="s">
        <v>921</v>
      </c>
      <c r="D1529" s="53">
        <v>1</v>
      </c>
      <c r="E1529" s="53" t="s">
        <v>3070</v>
      </c>
      <c r="F1529" s="53" t="s">
        <v>1885</v>
      </c>
      <c r="G1529" s="53" t="s">
        <v>901</v>
      </c>
      <c r="H1529" s="53" t="s">
        <v>902</v>
      </c>
      <c r="I1529" s="53" t="s">
        <v>656</v>
      </c>
      <c r="J1529" s="53" t="s">
        <v>3044</v>
      </c>
    </row>
    <row r="1530" spans="1:10" ht="15" customHeight="1" x14ac:dyDescent="0.35">
      <c r="A1530" s="53" t="s">
        <v>896</v>
      </c>
      <c r="B1530" s="53" t="s">
        <v>3559</v>
      </c>
      <c r="C1530" s="53" t="s">
        <v>1240</v>
      </c>
      <c r="D1530" s="53">
        <v>1</v>
      </c>
      <c r="E1530" s="53" t="s">
        <v>3070</v>
      </c>
      <c r="F1530" s="53" t="s">
        <v>1885</v>
      </c>
      <c r="G1530" s="53" t="s">
        <v>901</v>
      </c>
      <c r="H1530" s="53" t="s">
        <v>902</v>
      </c>
      <c r="I1530" s="53" t="s">
        <v>656</v>
      </c>
      <c r="J1530" s="53" t="s">
        <v>2443</v>
      </c>
    </row>
    <row r="1531" spans="1:10" ht="15" customHeight="1" x14ac:dyDescent="0.35">
      <c r="A1531" s="53" t="s">
        <v>896</v>
      </c>
      <c r="B1531" s="53" t="s">
        <v>3560</v>
      </c>
      <c r="C1531" s="53" t="s">
        <v>1143</v>
      </c>
      <c r="D1531" s="53">
        <v>1</v>
      </c>
      <c r="E1531" s="53" t="s">
        <v>3070</v>
      </c>
      <c r="F1531" s="53" t="s">
        <v>1885</v>
      </c>
      <c r="G1531" s="53" t="s">
        <v>901</v>
      </c>
      <c r="H1531" s="53" t="s">
        <v>902</v>
      </c>
      <c r="I1531" s="53" t="s">
        <v>656</v>
      </c>
      <c r="J1531" s="53" t="s">
        <v>2222</v>
      </c>
    </row>
    <row r="1532" spans="1:10" ht="15" customHeight="1" x14ac:dyDescent="0.35">
      <c r="A1532" s="53" t="s">
        <v>896</v>
      </c>
      <c r="B1532" s="53" t="s">
        <v>3561</v>
      </c>
      <c r="C1532" s="53" t="s">
        <v>1118</v>
      </c>
      <c r="D1532" s="53">
        <v>1</v>
      </c>
      <c r="E1532" s="53" t="s">
        <v>3070</v>
      </c>
      <c r="F1532" s="53" t="s">
        <v>1885</v>
      </c>
      <c r="G1532" s="53" t="s">
        <v>901</v>
      </c>
      <c r="H1532" s="53" t="s">
        <v>902</v>
      </c>
      <c r="I1532" s="53" t="s">
        <v>656</v>
      </c>
      <c r="J1532" s="53" t="s">
        <v>2866</v>
      </c>
    </row>
    <row r="1533" spans="1:10" ht="15" customHeight="1" x14ac:dyDescent="0.35">
      <c r="A1533" s="53" t="s">
        <v>896</v>
      </c>
      <c r="B1533" s="53" t="s">
        <v>3562</v>
      </c>
      <c r="C1533" s="53" t="s">
        <v>989</v>
      </c>
      <c r="D1533" s="53">
        <v>1</v>
      </c>
      <c r="E1533" s="53" t="s">
        <v>3070</v>
      </c>
      <c r="F1533" s="53" t="s">
        <v>1885</v>
      </c>
      <c r="G1533" s="53" t="s">
        <v>901</v>
      </c>
      <c r="H1533" s="53" t="s">
        <v>902</v>
      </c>
      <c r="I1533" s="53" t="s">
        <v>656</v>
      </c>
      <c r="J1533" s="53" t="s">
        <v>2692</v>
      </c>
    </row>
    <row r="1534" spans="1:10" ht="15" customHeight="1" x14ac:dyDescent="0.35">
      <c r="A1534" s="53" t="s">
        <v>896</v>
      </c>
      <c r="B1534" s="53" t="s">
        <v>3563</v>
      </c>
      <c r="C1534" s="53" t="s">
        <v>959</v>
      </c>
      <c r="D1534" s="53">
        <v>1</v>
      </c>
      <c r="E1534" s="53" t="s">
        <v>3070</v>
      </c>
      <c r="F1534" s="53" t="s">
        <v>1885</v>
      </c>
      <c r="G1534" s="53" t="s">
        <v>901</v>
      </c>
      <c r="H1534" s="53" t="s">
        <v>902</v>
      </c>
      <c r="I1534" s="53" t="s">
        <v>656</v>
      </c>
      <c r="J1534" s="53" t="s">
        <v>2222</v>
      </c>
    </row>
    <row r="1535" spans="1:10" ht="15" customHeight="1" x14ac:dyDescent="0.35">
      <c r="A1535" s="53" t="s">
        <v>896</v>
      </c>
      <c r="B1535" s="53" t="s">
        <v>3564</v>
      </c>
      <c r="C1535" s="53" t="s">
        <v>1494</v>
      </c>
      <c r="D1535" s="53">
        <v>1</v>
      </c>
      <c r="E1535" s="53" t="s">
        <v>3070</v>
      </c>
      <c r="F1535" s="53" t="s">
        <v>1885</v>
      </c>
      <c r="G1535" s="53" t="s">
        <v>901</v>
      </c>
      <c r="H1535" s="53" t="s">
        <v>902</v>
      </c>
      <c r="I1535" s="53" t="s">
        <v>656</v>
      </c>
      <c r="J1535" s="53" t="s">
        <v>2649</v>
      </c>
    </row>
    <row r="1536" spans="1:10" ht="15" customHeight="1" x14ac:dyDescent="0.35">
      <c r="A1536" s="53" t="s">
        <v>896</v>
      </c>
      <c r="B1536" s="53" t="s">
        <v>3565</v>
      </c>
      <c r="C1536" s="53" t="s">
        <v>898</v>
      </c>
      <c r="D1536" s="53">
        <v>1</v>
      </c>
      <c r="E1536" s="53" t="s">
        <v>3070</v>
      </c>
      <c r="F1536" s="53" t="s">
        <v>1885</v>
      </c>
      <c r="G1536" s="53" t="s">
        <v>901</v>
      </c>
      <c r="H1536" s="53" t="s">
        <v>902</v>
      </c>
      <c r="I1536" s="53" t="s">
        <v>656</v>
      </c>
      <c r="J1536" s="53" t="s">
        <v>2649</v>
      </c>
    </row>
    <row r="1537" spans="1:10" ht="15" customHeight="1" x14ac:dyDescent="0.35">
      <c r="A1537" s="53" t="s">
        <v>896</v>
      </c>
      <c r="B1537" s="53" t="s">
        <v>3566</v>
      </c>
      <c r="C1537" s="53" t="s">
        <v>1084</v>
      </c>
      <c r="D1537" s="53">
        <v>1</v>
      </c>
      <c r="E1537" s="53" t="s">
        <v>3070</v>
      </c>
      <c r="F1537" s="53" t="s">
        <v>1885</v>
      </c>
      <c r="G1537" s="53" t="s">
        <v>901</v>
      </c>
      <c r="H1537" s="53" t="s">
        <v>902</v>
      </c>
      <c r="I1537" s="53" t="s">
        <v>656</v>
      </c>
      <c r="J1537" s="53" t="s">
        <v>2222</v>
      </c>
    </row>
    <row r="1538" spans="1:10" ht="15" customHeight="1" x14ac:dyDescent="0.35">
      <c r="A1538" s="53" t="s">
        <v>896</v>
      </c>
      <c r="B1538" s="53" t="s">
        <v>3567</v>
      </c>
      <c r="C1538" s="53" t="s">
        <v>2971</v>
      </c>
      <c r="D1538" s="53">
        <v>1</v>
      </c>
      <c r="E1538" s="53" t="s">
        <v>3070</v>
      </c>
      <c r="F1538" s="53" t="s">
        <v>1885</v>
      </c>
      <c r="G1538" s="53" t="s">
        <v>901</v>
      </c>
      <c r="H1538" s="53" t="s">
        <v>902</v>
      </c>
      <c r="I1538" s="53" t="s">
        <v>656</v>
      </c>
      <c r="J1538" s="53" t="s">
        <v>2649</v>
      </c>
    </row>
    <row r="1539" spans="1:10" ht="15" customHeight="1" x14ac:dyDescent="0.35">
      <c r="A1539" s="53" t="s">
        <v>896</v>
      </c>
      <c r="B1539" s="53" t="s">
        <v>3568</v>
      </c>
      <c r="C1539" s="53" t="s">
        <v>959</v>
      </c>
      <c r="D1539" s="53">
        <v>1</v>
      </c>
      <c r="E1539" s="53" t="s">
        <v>3070</v>
      </c>
      <c r="F1539" s="53" t="s">
        <v>1885</v>
      </c>
      <c r="G1539" s="53" t="s">
        <v>901</v>
      </c>
      <c r="H1539" s="53" t="s">
        <v>902</v>
      </c>
      <c r="I1539" s="53" t="s">
        <v>656</v>
      </c>
      <c r="J1539" s="53" t="s">
        <v>2222</v>
      </c>
    </row>
    <row r="1540" spans="1:10" ht="15" customHeight="1" x14ac:dyDescent="0.35">
      <c r="A1540" s="53" t="s">
        <v>896</v>
      </c>
      <c r="B1540" s="53" t="s">
        <v>3569</v>
      </c>
      <c r="C1540" s="53" t="s">
        <v>905</v>
      </c>
      <c r="D1540" s="53">
        <v>1</v>
      </c>
      <c r="E1540" s="53" t="s">
        <v>3070</v>
      </c>
      <c r="F1540" s="53" t="s">
        <v>1885</v>
      </c>
      <c r="G1540" s="53" t="s">
        <v>901</v>
      </c>
      <c r="H1540" s="53" t="s">
        <v>902</v>
      </c>
      <c r="I1540" s="53" t="s">
        <v>656</v>
      </c>
      <c r="J1540" s="53" t="s">
        <v>2866</v>
      </c>
    </row>
    <row r="1541" spans="1:10" ht="15" customHeight="1" x14ac:dyDescent="0.35">
      <c r="A1541" s="53" t="s">
        <v>896</v>
      </c>
      <c r="B1541" s="53" t="s">
        <v>3570</v>
      </c>
      <c r="C1541" s="53" t="s">
        <v>1077</v>
      </c>
      <c r="D1541" s="53">
        <v>1</v>
      </c>
      <c r="E1541" s="53" t="s">
        <v>3070</v>
      </c>
      <c r="F1541" s="53" t="s">
        <v>1885</v>
      </c>
      <c r="G1541" s="53" t="s">
        <v>901</v>
      </c>
      <c r="H1541" s="53" t="s">
        <v>902</v>
      </c>
      <c r="I1541" s="53" t="s">
        <v>656</v>
      </c>
      <c r="J1541" s="53" t="s">
        <v>2222</v>
      </c>
    </row>
    <row r="1542" spans="1:10" ht="15" customHeight="1" x14ac:dyDescent="0.35">
      <c r="A1542" s="53" t="s">
        <v>896</v>
      </c>
      <c r="B1542" s="53" t="s">
        <v>3571</v>
      </c>
      <c r="C1542" s="53" t="s">
        <v>909</v>
      </c>
      <c r="D1542" s="53">
        <v>1</v>
      </c>
      <c r="E1542" s="53" t="s">
        <v>3070</v>
      </c>
      <c r="F1542" s="53" t="s">
        <v>1885</v>
      </c>
      <c r="G1542" s="53" t="s">
        <v>901</v>
      </c>
      <c r="H1542" s="53" t="s">
        <v>902</v>
      </c>
      <c r="I1542" s="53" t="s">
        <v>656</v>
      </c>
      <c r="J1542" s="53" t="s">
        <v>2222</v>
      </c>
    </row>
    <row r="1543" spans="1:10" ht="15" customHeight="1" x14ac:dyDescent="0.35">
      <c r="A1543" s="53" t="s">
        <v>896</v>
      </c>
      <c r="B1543" s="53" t="s">
        <v>3572</v>
      </c>
      <c r="C1543" s="53" t="s">
        <v>1101</v>
      </c>
      <c r="D1543" s="53">
        <v>1</v>
      </c>
      <c r="E1543" s="53" t="s">
        <v>3070</v>
      </c>
      <c r="F1543" s="53" t="s">
        <v>1885</v>
      </c>
      <c r="G1543" s="53" t="s">
        <v>901</v>
      </c>
      <c r="H1543" s="53" t="s">
        <v>902</v>
      </c>
      <c r="I1543" s="53" t="s">
        <v>656</v>
      </c>
      <c r="J1543" s="53" t="s">
        <v>2095</v>
      </c>
    </row>
    <row r="1544" spans="1:10" ht="15" customHeight="1" x14ac:dyDescent="0.35">
      <c r="A1544" s="53" t="s">
        <v>896</v>
      </c>
      <c r="B1544" s="53" t="s">
        <v>3573</v>
      </c>
      <c r="C1544" s="53" t="s">
        <v>1077</v>
      </c>
      <c r="D1544" s="53">
        <v>1</v>
      </c>
      <c r="E1544" s="53" t="s">
        <v>3070</v>
      </c>
      <c r="F1544" s="53" t="s">
        <v>1885</v>
      </c>
      <c r="G1544" s="53" t="s">
        <v>901</v>
      </c>
      <c r="H1544" s="53" t="s">
        <v>902</v>
      </c>
      <c r="I1544" s="53" t="s">
        <v>656</v>
      </c>
      <c r="J1544" s="53" t="s">
        <v>2222</v>
      </c>
    </row>
    <row r="1545" spans="1:10" ht="15" customHeight="1" x14ac:dyDescent="0.35">
      <c r="A1545" s="53" t="s">
        <v>896</v>
      </c>
      <c r="B1545" s="53" t="s">
        <v>3574</v>
      </c>
      <c r="C1545" s="53" t="s">
        <v>921</v>
      </c>
      <c r="D1545" s="53">
        <v>1</v>
      </c>
      <c r="E1545" s="53" t="s">
        <v>3070</v>
      </c>
      <c r="F1545" s="53" t="s">
        <v>1885</v>
      </c>
      <c r="G1545" s="53" t="s">
        <v>901</v>
      </c>
      <c r="H1545" s="53" t="s">
        <v>902</v>
      </c>
      <c r="I1545" s="53" t="s">
        <v>656</v>
      </c>
      <c r="J1545" s="53" t="s">
        <v>2443</v>
      </c>
    </row>
    <row r="1546" spans="1:10" ht="15" customHeight="1" x14ac:dyDescent="0.35">
      <c r="A1546" s="53" t="s">
        <v>896</v>
      </c>
      <c r="B1546" s="53" t="s">
        <v>3575</v>
      </c>
      <c r="C1546" s="53" t="s">
        <v>921</v>
      </c>
      <c r="D1546" s="53">
        <v>1</v>
      </c>
      <c r="E1546" s="53" t="s">
        <v>3070</v>
      </c>
      <c r="F1546" s="53" t="s">
        <v>1885</v>
      </c>
      <c r="G1546" s="53" t="s">
        <v>901</v>
      </c>
      <c r="H1546" s="53" t="s">
        <v>902</v>
      </c>
      <c r="I1546" s="53" t="s">
        <v>656</v>
      </c>
      <c r="J1546" s="53" t="s">
        <v>2866</v>
      </c>
    </row>
    <row r="1547" spans="1:10" ht="15" customHeight="1" x14ac:dyDescent="0.35">
      <c r="A1547" s="53" t="s">
        <v>896</v>
      </c>
      <c r="B1547" s="53" t="s">
        <v>3576</v>
      </c>
      <c r="C1547" s="53" t="s">
        <v>1143</v>
      </c>
      <c r="D1547" s="53">
        <v>1</v>
      </c>
      <c r="E1547" s="53" t="s">
        <v>3070</v>
      </c>
      <c r="F1547" s="53" t="s">
        <v>1885</v>
      </c>
      <c r="G1547" s="53" t="s">
        <v>901</v>
      </c>
      <c r="H1547" s="53" t="s">
        <v>902</v>
      </c>
      <c r="I1547" s="53" t="s">
        <v>656</v>
      </c>
      <c r="J1547" s="53" t="s">
        <v>2222</v>
      </c>
    </row>
    <row r="1548" spans="1:10" ht="15" customHeight="1" x14ac:dyDescent="0.35">
      <c r="A1548" s="53" t="s">
        <v>896</v>
      </c>
      <c r="B1548" s="53" t="s">
        <v>3577</v>
      </c>
      <c r="C1548" s="53" t="s">
        <v>946</v>
      </c>
      <c r="D1548" s="53">
        <v>1</v>
      </c>
      <c r="E1548" s="53" t="s">
        <v>3070</v>
      </c>
      <c r="F1548" s="53" t="s">
        <v>1885</v>
      </c>
      <c r="G1548" s="53" t="s">
        <v>901</v>
      </c>
      <c r="H1548" s="53" t="s">
        <v>902</v>
      </c>
      <c r="I1548" s="53" t="s">
        <v>656</v>
      </c>
      <c r="J1548" s="53" t="s">
        <v>2985</v>
      </c>
    </row>
    <row r="1549" spans="1:10" ht="15" customHeight="1" x14ac:dyDescent="0.35">
      <c r="A1549" s="53" t="s">
        <v>896</v>
      </c>
      <c r="B1549" s="53" t="s">
        <v>3578</v>
      </c>
      <c r="C1549" s="53" t="s">
        <v>1009</v>
      </c>
      <c r="D1549" s="53">
        <v>1</v>
      </c>
      <c r="E1549" s="53" t="s">
        <v>3070</v>
      </c>
      <c r="F1549" s="53" t="s">
        <v>1885</v>
      </c>
      <c r="G1549" s="53" t="s">
        <v>901</v>
      </c>
      <c r="H1549" s="53" t="s">
        <v>902</v>
      </c>
      <c r="I1549" s="53" t="s">
        <v>656</v>
      </c>
      <c r="J1549" s="53" t="s">
        <v>2443</v>
      </c>
    </row>
    <row r="1550" spans="1:10" ht="15" customHeight="1" x14ac:dyDescent="0.35">
      <c r="A1550" s="53" t="s">
        <v>896</v>
      </c>
      <c r="B1550" s="53" t="s">
        <v>3579</v>
      </c>
      <c r="C1550" s="53" t="s">
        <v>909</v>
      </c>
      <c r="D1550" s="53">
        <v>1</v>
      </c>
      <c r="E1550" s="53" t="s">
        <v>3070</v>
      </c>
      <c r="F1550" s="53" t="s">
        <v>1885</v>
      </c>
      <c r="G1550" s="53" t="s">
        <v>901</v>
      </c>
      <c r="H1550" s="53" t="s">
        <v>902</v>
      </c>
      <c r="I1550" s="53" t="s">
        <v>656</v>
      </c>
      <c r="J1550" s="53" t="s">
        <v>2443</v>
      </c>
    </row>
    <row r="1551" spans="1:10" ht="15" customHeight="1" x14ac:dyDescent="0.35">
      <c r="A1551" s="53" t="s">
        <v>896</v>
      </c>
      <c r="B1551" s="53" t="s">
        <v>3580</v>
      </c>
      <c r="C1551" s="53" t="s">
        <v>1240</v>
      </c>
      <c r="D1551" s="53">
        <v>1</v>
      </c>
      <c r="E1551" s="53" t="s">
        <v>3070</v>
      </c>
      <c r="F1551" s="53" t="s">
        <v>1885</v>
      </c>
      <c r="G1551" s="53" t="s">
        <v>901</v>
      </c>
      <c r="H1551" s="53" t="s">
        <v>902</v>
      </c>
      <c r="I1551" s="53" t="s">
        <v>656</v>
      </c>
      <c r="J1551" s="53" t="s">
        <v>2649</v>
      </c>
    </row>
    <row r="1552" spans="1:10" ht="15" customHeight="1" x14ac:dyDescent="0.35">
      <c r="A1552" s="53" t="s">
        <v>896</v>
      </c>
      <c r="B1552" s="53" t="s">
        <v>3581</v>
      </c>
      <c r="C1552" s="53" t="s">
        <v>909</v>
      </c>
      <c r="D1552" s="53">
        <v>1</v>
      </c>
      <c r="E1552" s="53" t="s">
        <v>3070</v>
      </c>
      <c r="F1552" s="53" t="s">
        <v>1885</v>
      </c>
      <c r="G1552" s="53" t="s">
        <v>901</v>
      </c>
      <c r="H1552" s="53" t="s">
        <v>902</v>
      </c>
      <c r="I1552" s="53" t="s">
        <v>656</v>
      </c>
      <c r="J1552" s="53" t="s">
        <v>2972</v>
      </c>
    </row>
    <row r="1553" spans="1:10" ht="15" customHeight="1" x14ac:dyDescent="0.35">
      <c r="A1553" s="53" t="s">
        <v>896</v>
      </c>
      <c r="B1553" s="53" t="s">
        <v>3582</v>
      </c>
      <c r="C1553" s="53" t="s">
        <v>1050</v>
      </c>
      <c r="D1553" s="53">
        <v>1</v>
      </c>
      <c r="E1553" s="53" t="s">
        <v>3070</v>
      </c>
      <c r="F1553" s="53" t="s">
        <v>1885</v>
      </c>
      <c r="G1553" s="53" t="s">
        <v>901</v>
      </c>
      <c r="H1553" s="53" t="s">
        <v>902</v>
      </c>
      <c r="I1553" s="53" t="s">
        <v>656</v>
      </c>
      <c r="J1553" s="53" t="s">
        <v>2095</v>
      </c>
    </row>
    <row r="1554" spans="1:10" ht="15" customHeight="1" x14ac:dyDescent="0.35">
      <c r="A1554" s="53" t="s">
        <v>896</v>
      </c>
      <c r="B1554" s="53" t="s">
        <v>3583</v>
      </c>
      <c r="C1554" s="53" t="s">
        <v>963</v>
      </c>
      <c r="D1554" s="53">
        <v>1</v>
      </c>
      <c r="E1554" s="53" t="s">
        <v>3070</v>
      </c>
      <c r="F1554" s="53" t="s">
        <v>1885</v>
      </c>
      <c r="G1554" s="53" t="s">
        <v>901</v>
      </c>
      <c r="H1554" s="53" t="s">
        <v>902</v>
      </c>
      <c r="I1554" s="53" t="s">
        <v>656</v>
      </c>
      <c r="J1554" s="53" t="s">
        <v>2222</v>
      </c>
    </row>
    <row r="1555" spans="1:10" ht="15" customHeight="1" x14ac:dyDescent="0.35">
      <c r="A1555" s="53" t="s">
        <v>896</v>
      </c>
      <c r="B1555" s="53" t="s">
        <v>3584</v>
      </c>
      <c r="C1555" s="53" t="s">
        <v>1077</v>
      </c>
      <c r="D1555" s="53">
        <v>1</v>
      </c>
      <c r="E1555" s="53" t="s">
        <v>3070</v>
      </c>
      <c r="F1555" s="53" t="s">
        <v>1885</v>
      </c>
      <c r="G1555" s="53" t="s">
        <v>901</v>
      </c>
      <c r="H1555" s="53" t="s">
        <v>902</v>
      </c>
      <c r="I1555" s="53" t="s">
        <v>656</v>
      </c>
      <c r="J1555" s="53" t="s">
        <v>2866</v>
      </c>
    </row>
    <row r="1556" spans="1:10" ht="15" customHeight="1" x14ac:dyDescent="0.35">
      <c r="A1556" s="53" t="s">
        <v>896</v>
      </c>
      <c r="B1556" s="53" t="s">
        <v>3585</v>
      </c>
      <c r="C1556" s="53" t="s">
        <v>921</v>
      </c>
      <c r="D1556" s="53">
        <v>1</v>
      </c>
      <c r="E1556" s="53" t="s">
        <v>3070</v>
      </c>
      <c r="F1556" s="53" t="s">
        <v>1885</v>
      </c>
      <c r="G1556" s="53" t="s">
        <v>901</v>
      </c>
      <c r="H1556" s="53" t="s">
        <v>902</v>
      </c>
      <c r="I1556" s="53" t="s">
        <v>656</v>
      </c>
      <c r="J1556" s="53" t="s">
        <v>2866</v>
      </c>
    </row>
    <row r="1557" spans="1:10" ht="15" customHeight="1" x14ac:dyDescent="0.35">
      <c r="A1557" s="53" t="s">
        <v>896</v>
      </c>
      <c r="B1557" s="53" t="s">
        <v>3586</v>
      </c>
      <c r="C1557" s="53" t="s">
        <v>921</v>
      </c>
      <c r="D1557" s="53">
        <v>1</v>
      </c>
      <c r="E1557" s="53" t="s">
        <v>3070</v>
      </c>
      <c r="F1557" s="53" t="s">
        <v>1885</v>
      </c>
      <c r="G1557" s="53" t="s">
        <v>901</v>
      </c>
      <c r="H1557" s="53" t="s">
        <v>902</v>
      </c>
      <c r="I1557" s="53" t="s">
        <v>656</v>
      </c>
      <c r="J1557" s="53" t="s">
        <v>2866</v>
      </c>
    </row>
    <row r="1558" spans="1:10" ht="15" customHeight="1" x14ac:dyDescent="0.35">
      <c r="A1558" s="53" t="s">
        <v>896</v>
      </c>
      <c r="B1558" s="53" t="s">
        <v>3587</v>
      </c>
      <c r="C1558" s="53" t="s">
        <v>1122</v>
      </c>
      <c r="D1558" s="53">
        <v>1</v>
      </c>
      <c r="E1558" s="53" t="s">
        <v>3070</v>
      </c>
      <c r="F1558" s="53" t="s">
        <v>1885</v>
      </c>
      <c r="G1558" s="53" t="s">
        <v>901</v>
      </c>
      <c r="H1558" s="53" t="s">
        <v>902</v>
      </c>
      <c r="I1558" s="53" t="s">
        <v>656</v>
      </c>
      <c r="J1558" s="53" t="s">
        <v>2222</v>
      </c>
    </row>
    <row r="1559" spans="1:10" ht="15" customHeight="1" x14ac:dyDescent="0.35">
      <c r="A1559" s="53" t="s">
        <v>896</v>
      </c>
      <c r="B1559" s="53" t="s">
        <v>3588</v>
      </c>
      <c r="C1559" s="53" t="s">
        <v>1240</v>
      </c>
      <c r="D1559" s="53">
        <v>1</v>
      </c>
      <c r="E1559" s="53" t="s">
        <v>3070</v>
      </c>
      <c r="F1559" s="53" t="s">
        <v>1885</v>
      </c>
      <c r="G1559" s="53" t="s">
        <v>901</v>
      </c>
      <c r="H1559" s="53" t="s">
        <v>902</v>
      </c>
      <c r="I1559" s="53" t="s">
        <v>656</v>
      </c>
      <c r="J1559" s="53" t="s">
        <v>2095</v>
      </c>
    </row>
    <row r="1560" spans="1:10" ht="15" customHeight="1" x14ac:dyDescent="0.35">
      <c r="A1560" s="53" t="s">
        <v>896</v>
      </c>
      <c r="B1560" s="53" t="s">
        <v>3589</v>
      </c>
      <c r="C1560" s="53" t="s">
        <v>1009</v>
      </c>
      <c r="D1560" s="53">
        <v>1</v>
      </c>
      <c r="E1560" s="53" t="s">
        <v>3070</v>
      </c>
      <c r="F1560" s="53" t="s">
        <v>1885</v>
      </c>
      <c r="G1560" s="53" t="s">
        <v>901</v>
      </c>
      <c r="H1560" s="53" t="s">
        <v>902</v>
      </c>
      <c r="I1560" s="53" t="s">
        <v>656</v>
      </c>
      <c r="J1560" s="53" t="s">
        <v>2443</v>
      </c>
    </row>
    <row r="1561" spans="1:10" ht="15" customHeight="1" x14ac:dyDescent="0.35">
      <c r="A1561" s="53" t="s">
        <v>896</v>
      </c>
      <c r="B1561" s="53" t="s">
        <v>3590</v>
      </c>
      <c r="C1561" s="53" t="s">
        <v>3591</v>
      </c>
      <c r="D1561" s="53">
        <v>1</v>
      </c>
      <c r="E1561" s="53" t="s">
        <v>3070</v>
      </c>
      <c r="F1561" s="53" t="s">
        <v>1885</v>
      </c>
      <c r="G1561" s="53" t="s">
        <v>901</v>
      </c>
      <c r="H1561" s="53" t="s">
        <v>902</v>
      </c>
      <c r="I1561" s="53" t="s">
        <v>656</v>
      </c>
      <c r="J1561" s="53" t="s">
        <v>2222</v>
      </c>
    </row>
    <row r="1562" spans="1:10" ht="15" customHeight="1" x14ac:dyDescent="0.35">
      <c r="A1562" s="53" t="s">
        <v>896</v>
      </c>
      <c r="B1562" s="53" t="s">
        <v>3592</v>
      </c>
      <c r="C1562" s="53" t="s">
        <v>1240</v>
      </c>
      <c r="D1562" s="53">
        <v>1</v>
      </c>
      <c r="E1562" s="53" t="s">
        <v>3070</v>
      </c>
      <c r="F1562" s="53" t="s">
        <v>1885</v>
      </c>
      <c r="G1562" s="53" t="s">
        <v>901</v>
      </c>
      <c r="H1562" s="53" t="s">
        <v>902</v>
      </c>
      <c r="I1562" s="53" t="s">
        <v>656</v>
      </c>
      <c r="J1562" s="53" t="s">
        <v>2095</v>
      </c>
    </row>
    <row r="1563" spans="1:10" ht="15" customHeight="1" x14ac:dyDescent="0.35">
      <c r="A1563" s="53" t="s">
        <v>896</v>
      </c>
      <c r="B1563" s="53" t="s">
        <v>3593</v>
      </c>
      <c r="C1563" s="53" t="s">
        <v>909</v>
      </c>
      <c r="D1563" s="53">
        <v>1</v>
      </c>
      <c r="E1563" s="53" t="s">
        <v>3070</v>
      </c>
      <c r="F1563" s="53" t="s">
        <v>1885</v>
      </c>
      <c r="G1563" s="53" t="s">
        <v>901</v>
      </c>
      <c r="H1563" s="53" t="s">
        <v>902</v>
      </c>
      <c r="I1563" s="53" t="s">
        <v>656</v>
      </c>
      <c r="J1563" s="53" t="s">
        <v>2692</v>
      </c>
    </row>
    <row r="1564" spans="1:10" ht="15" customHeight="1" x14ac:dyDescent="0.35">
      <c r="A1564" s="53" t="s">
        <v>896</v>
      </c>
      <c r="B1564" s="53" t="s">
        <v>3594</v>
      </c>
      <c r="C1564" s="53" t="s">
        <v>2971</v>
      </c>
      <c r="D1564" s="53">
        <v>1</v>
      </c>
      <c r="E1564" s="53" t="s">
        <v>3070</v>
      </c>
      <c r="F1564" s="53" t="s">
        <v>1885</v>
      </c>
      <c r="G1564" s="53" t="s">
        <v>901</v>
      </c>
      <c r="H1564" s="53" t="s">
        <v>902</v>
      </c>
      <c r="I1564" s="53" t="s">
        <v>656</v>
      </c>
      <c r="J1564" s="53" t="s">
        <v>2222</v>
      </c>
    </row>
    <row r="1565" spans="1:10" ht="15" customHeight="1" x14ac:dyDescent="0.35">
      <c r="A1565" s="53" t="s">
        <v>896</v>
      </c>
      <c r="B1565" s="53" t="s">
        <v>3595</v>
      </c>
      <c r="C1565" s="53" t="s">
        <v>1077</v>
      </c>
      <c r="D1565" s="53">
        <v>1</v>
      </c>
      <c r="E1565" s="53" t="s">
        <v>3070</v>
      </c>
      <c r="F1565" s="53" t="s">
        <v>1885</v>
      </c>
      <c r="G1565" s="53" t="s">
        <v>901</v>
      </c>
      <c r="H1565" s="53" t="s">
        <v>902</v>
      </c>
      <c r="I1565" s="53" t="s">
        <v>656</v>
      </c>
      <c r="J1565" s="53" t="s">
        <v>2222</v>
      </c>
    </row>
    <row r="1566" spans="1:10" ht="15" customHeight="1" x14ac:dyDescent="0.35">
      <c r="A1566" s="53" t="s">
        <v>896</v>
      </c>
      <c r="B1566" s="53" t="s">
        <v>3596</v>
      </c>
      <c r="C1566" s="53" t="s">
        <v>1817</v>
      </c>
      <c r="D1566" s="53">
        <v>1</v>
      </c>
      <c r="E1566" s="53" t="s">
        <v>3070</v>
      </c>
      <c r="F1566" s="53" t="s">
        <v>1885</v>
      </c>
      <c r="G1566" s="53" t="s">
        <v>901</v>
      </c>
      <c r="H1566" s="53" t="s">
        <v>902</v>
      </c>
      <c r="I1566" s="53" t="s">
        <v>656</v>
      </c>
      <c r="J1566" s="53" t="s">
        <v>2443</v>
      </c>
    </row>
    <row r="1567" spans="1:10" ht="15" customHeight="1" x14ac:dyDescent="0.35">
      <c r="A1567" s="53" t="s">
        <v>896</v>
      </c>
      <c r="B1567" s="53" t="s">
        <v>3597</v>
      </c>
      <c r="C1567" s="53" t="s">
        <v>909</v>
      </c>
      <c r="D1567" s="53">
        <v>1</v>
      </c>
      <c r="E1567" s="53" t="s">
        <v>3070</v>
      </c>
      <c r="F1567" s="53" t="s">
        <v>1885</v>
      </c>
      <c r="G1567" s="53" t="s">
        <v>901</v>
      </c>
      <c r="H1567" s="53" t="s">
        <v>902</v>
      </c>
      <c r="I1567" s="53" t="s">
        <v>656</v>
      </c>
      <c r="J1567" s="53" t="s">
        <v>2222</v>
      </c>
    </row>
    <row r="1568" spans="1:10" ht="15" customHeight="1" x14ac:dyDescent="0.35">
      <c r="A1568" s="53" t="s">
        <v>896</v>
      </c>
      <c r="B1568" s="53" t="s">
        <v>3598</v>
      </c>
      <c r="C1568" s="53" t="s">
        <v>1077</v>
      </c>
      <c r="D1568" s="53">
        <v>1</v>
      </c>
      <c r="E1568" s="53" t="s">
        <v>3070</v>
      </c>
      <c r="F1568" s="53" t="s">
        <v>1885</v>
      </c>
      <c r="G1568" s="53" t="s">
        <v>901</v>
      </c>
      <c r="H1568" s="53" t="s">
        <v>902</v>
      </c>
      <c r="I1568" s="53" t="s">
        <v>656</v>
      </c>
      <c r="J1568" s="53" t="s">
        <v>2803</v>
      </c>
    </row>
    <row r="1569" spans="1:10" ht="15" customHeight="1" x14ac:dyDescent="0.35">
      <c r="A1569" s="53" t="s">
        <v>896</v>
      </c>
      <c r="B1569" s="53" t="s">
        <v>3599</v>
      </c>
      <c r="C1569" s="53" t="s">
        <v>1077</v>
      </c>
      <c r="D1569" s="53">
        <v>1</v>
      </c>
      <c r="E1569" s="53" t="s">
        <v>3070</v>
      </c>
      <c r="F1569" s="53" t="s">
        <v>1885</v>
      </c>
      <c r="G1569" s="53" t="s">
        <v>901</v>
      </c>
      <c r="H1569" s="53" t="s">
        <v>902</v>
      </c>
      <c r="I1569" s="53" t="s">
        <v>656</v>
      </c>
      <c r="J1569" s="53" t="s">
        <v>2222</v>
      </c>
    </row>
    <row r="1570" spans="1:10" ht="15" customHeight="1" x14ac:dyDescent="0.35">
      <c r="A1570" s="53" t="s">
        <v>896</v>
      </c>
      <c r="B1570" s="53" t="s">
        <v>3600</v>
      </c>
      <c r="C1570" s="53" t="s">
        <v>959</v>
      </c>
      <c r="D1570" s="53">
        <v>1</v>
      </c>
      <c r="E1570" s="53" t="s">
        <v>3070</v>
      </c>
      <c r="F1570" s="53" t="s">
        <v>1885</v>
      </c>
      <c r="G1570" s="53" t="s">
        <v>901</v>
      </c>
      <c r="H1570" s="53" t="s">
        <v>902</v>
      </c>
      <c r="I1570" s="53" t="s">
        <v>656</v>
      </c>
      <c r="J1570" s="53" t="s">
        <v>2095</v>
      </c>
    </row>
    <row r="1571" spans="1:10" ht="15" customHeight="1" x14ac:dyDescent="0.35">
      <c r="A1571" s="53" t="s">
        <v>896</v>
      </c>
      <c r="B1571" s="53" t="s">
        <v>3601</v>
      </c>
      <c r="C1571" s="53" t="s">
        <v>1077</v>
      </c>
      <c r="D1571" s="53">
        <v>1</v>
      </c>
      <c r="E1571" s="53" t="s">
        <v>3070</v>
      </c>
      <c r="F1571" s="53" t="s">
        <v>1885</v>
      </c>
      <c r="G1571" s="53" t="s">
        <v>901</v>
      </c>
      <c r="H1571" s="53" t="s">
        <v>902</v>
      </c>
      <c r="I1571" s="53" t="s">
        <v>656</v>
      </c>
      <c r="J1571" s="53" t="s">
        <v>2222</v>
      </c>
    </row>
    <row r="1572" spans="1:10" ht="15" customHeight="1" x14ac:dyDescent="0.35">
      <c r="A1572" s="53" t="s">
        <v>896</v>
      </c>
      <c r="B1572" s="53" t="s">
        <v>3602</v>
      </c>
      <c r="C1572" s="53" t="s">
        <v>1143</v>
      </c>
      <c r="D1572" s="53">
        <v>1</v>
      </c>
      <c r="E1572" s="53" t="s">
        <v>3070</v>
      </c>
      <c r="F1572" s="53" t="s">
        <v>1885</v>
      </c>
      <c r="G1572" s="53" t="s">
        <v>901</v>
      </c>
      <c r="H1572" s="53" t="s">
        <v>902</v>
      </c>
      <c r="I1572" s="53" t="s">
        <v>656</v>
      </c>
      <c r="J1572" s="53" t="s">
        <v>2222</v>
      </c>
    </row>
    <row r="1573" spans="1:10" ht="15" customHeight="1" x14ac:dyDescent="0.35">
      <c r="A1573" s="53" t="s">
        <v>896</v>
      </c>
      <c r="B1573" s="53" t="s">
        <v>3603</v>
      </c>
      <c r="C1573" s="53" t="s">
        <v>905</v>
      </c>
      <c r="D1573" s="53">
        <v>1</v>
      </c>
      <c r="E1573" s="53" t="s">
        <v>3070</v>
      </c>
      <c r="F1573" s="53" t="s">
        <v>1885</v>
      </c>
      <c r="G1573" s="53" t="s">
        <v>901</v>
      </c>
      <c r="H1573" s="53" t="s">
        <v>902</v>
      </c>
      <c r="I1573" s="53" t="s">
        <v>656</v>
      </c>
      <c r="J1573" s="53" t="s">
        <v>2222</v>
      </c>
    </row>
    <row r="1574" spans="1:10" ht="15" customHeight="1" x14ac:dyDescent="0.35">
      <c r="A1574" s="53" t="s">
        <v>896</v>
      </c>
      <c r="B1574" s="53" t="s">
        <v>3604</v>
      </c>
      <c r="C1574" s="53" t="s">
        <v>1136</v>
      </c>
      <c r="D1574" s="53">
        <v>1</v>
      </c>
      <c r="E1574" s="53" t="s">
        <v>3070</v>
      </c>
      <c r="F1574" s="53" t="s">
        <v>1885</v>
      </c>
      <c r="G1574" s="53" t="s">
        <v>901</v>
      </c>
      <c r="H1574" s="53" t="s">
        <v>902</v>
      </c>
      <c r="I1574" s="53" t="s">
        <v>656</v>
      </c>
      <c r="J1574" s="53" t="s">
        <v>2222</v>
      </c>
    </row>
    <row r="1575" spans="1:10" ht="15" customHeight="1" x14ac:dyDescent="0.35">
      <c r="A1575" s="53" t="s">
        <v>896</v>
      </c>
      <c r="B1575" s="53" t="s">
        <v>3605</v>
      </c>
      <c r="C1575" s="53" t="s">
        <v>2971</v>
      </c>
      <c r="D1575" s="53">
        <v>1</v>
      </c>
      <c r="E1575" s="53" t="s">
        <v>3070</v>
      </c>
      <c r="F1575" s="53" t="s">
        <v>1885</v>
      </c>
      <c r="G1575" s="53" t="s">
        <v>901</v>
      </c>
      <c r="H1575" s="53" t="s">
        <v>902</v>
      </c>
      <c r="I1575" s="53" t="s">
        <v>656</v>
      </c>
      <c r="J1575" s="53" t="s">
        <v>2649</v>
      </c>
    </row>
    <row r="1576" spans="1:10" ht="15" customHeight="1" x14ac:dyDescent="0.35">
      <c r="A1576" s="53" t="s">
        <v>896</v>
      </c>
      <c r="B1576" s="53" t="s">
        <v>3606</v>
      </c>
      <c r="C1576" s="53" t="s">
        <v>1101</v>
      </c>
      <c r="D1576" s="53">
        <v>1</v>
      </c>
      <c r="E1576" s="53" t="s">
        <v>3070</v>
      </c>
      <c r="F1576" s="53" t="s">
        <v>1885</v>
      </c>
      <c r="G1576" s="53" t="s">
        <v>901</v>
      </c>
      <c r="H1576" s="53" t="s">
        <v>902</v>
      </c>
      <c r="I1576" s="53" t="s">
        <v>656</v>
      </c>
      <c r="J1576" s="53" t="s">
        <v>2692</v>
      </c>
    </row>
    <row r="1577" spans="1:10" ht="15" customHeight="1" x14ac:dyDescent="0.35">
      <c r="A1577" s="53" t="s">
        <v>896</v>
      </c>
      <c r="B1577" s="53" t="s">
        <v>3607</v>
      </c>
      <c r="C1577" s="53" t="s">
        <v>1050</v>
      </c>
      <c r="D1577" s="53">
        <v>1</v>
      </c>
      <c r="E1577" s="53" t="s">
        <v>3070</v>
      </c>
      <c r="F1577" s="53" t="s">
        <v>1885</v>
      </c>
      <c r="G1577" s="53" t="s">
        <v>901</v>
      </c>
      <c r="H1577" s="53" t="s">
        <v>902</v>
      </c>
      <c r="I1577" s="53" t="s">
        <v>656</v>
      </c>
      <c r="J1577" s="53" t="s">
        <v>2692</v>
      </c>
    </row>
    <row r="1578" spans="1:10" ht="15" customHeight="1" x14ac:dyDescent="0.35">
      <c r="A1578" s="53" t="s">
        <v>896</v>
      </c>
      <c r="B1578" s="53" t="s">
        <v>3608</v>
      </c>
      <c r="C1578" s="53" t="s">
        <v>1077</v>
      </c>
      <c r="D1578" s="53">
        <v>1</v>
      </c>
      <c r="E1578" s="53" t="s">
        <v>3070</v>
      </c>
      <c r="F1578" s="53" t="s">
        <v>1885</v>
      </c>
      <c r="G1578" s="53" t="s">
        <v>901</v>
      </c>
      <c r="H1578" s="53" t="s">
        <v>902</v>
      </c>
      <c r="I1578" s="53" t="s">
        <v>656</v>
      </c>
      <c r="J1578" s="53" t="s">
        <v>2649</v>
      </c>
    </row>
    <row r="1579" spans="1:10" ht="15" customHeight="1" x14ac:dyDescent="0.35">
      <c r="A1579" s="53" t="s">
        <v>896</v>
      </c>
      <c r="B1579" s="53" t="s">
        <v>3609</v>
      </c>
      <c r="C1579" s="53" t="s">
        <v>1690</v>
      </c>
      <c r="D1579" s="53">
        <v>1</v>
      </c>
      <c r="E1579" s="53" t="s">
        <v>3070</v>
      </c>
      <c r="F1579" s="53" t="s">
        <v>1885</v>
      </c>
      <c r="G1579" s="53" t="s">
        <v>901</v>
      </c>
      <c r="H1579" s="53" t="s">
        <v>902</v>
      </c>
      <c r="I1579" s="53" t="s">
        <v>656</v>
      </c>
      <c r="J1579" s="53" t="s">
        <v>2222</v>
      </c>
    </row>
    <row r="1580" spans="1:10" ht="15" customHeight="1" x14ac:dyDescent="0.35">
      <c r="A1580" s="53" t="s">
        <v>896</v>
      </c>
      <c r="B1580" s="53" t="s">
        <v>3610</v>
      </c>
      <c r="C1580" s="53" t="s">
        <v>1077</v>
      </c>
      <c r="D1580" s="53">
        <v>1</v>
      </c>
      <c r="E1580" s="53" t="s">
        <v>3070</v>
      </c>
      <c r="F1580" s="53" t="s">
        <v>1885</v>
      </c>
      <c r="G1580" s="53" t="s">
        <v>901</v>
      </c>
      <c r="H1580" s="53" t="s">
        <v>902</v>
      </c>
      <c r="I1580" s="53" t="s">
        <v>656</v>
      </c>
      <c r="J1580" s="53" t="s">
        <v>2803</v>
      </c>
    </row>
    <row r="1581" spans="1:10" ht="15" customHeight="1" x14ac:dyDescent="0.35">
      <c r="A1581" s="53" t="s">
        <v>896</v>
      </c>
      <c r="B1581" s="53" t="s">
        <v>3611</v>
      </c>
      <c r="C1581" s="53" t="s">
        <v>1143</v>
      </c>
      <c r="D1581" s="53">
        <v>1</v>
      </c>
      <c r="E1581" s="53" t="s">
        <v>3070</v>
      </c>
      <c r="F1581" s="53" t="s">
        <v>1885</v>
      </c>
      <c r="G1581" s="53" t="s">
        <v>901</v>
      </c>
      <c r="H1581" s="53" t="s">
        <v>902</v>
      </c>
      <c r="I1581" s="53" t="s">
        <v>656</v>
      </c>
      <c r="J1581" s="53" t="s">
        <v>2222</v>
      </c>
    </row>
    <row r="1582" spans="1:10" ht="15" customHeight="1" x14ac:dyDescent="0.35">
      <c r="A1582" s="53" t="s">
        <v>896</v>
      </c>
      <c r="B1582" s="53" t="s">
        <v>3612</v>
      </c>
      <c r="C1582" s="53" t="s">
        <v>3052</v>
      </c>
      <c r="D1582" s="53">
        <v>1</v>
      </c>
      <c r="E1582" s="53" t="s">
        <v>3070</v>
      </c>
      <c r="F1582" s="53" t="s">
        <v>1885</v>
      </c>
      <c r="G1582" s="53" t="s">
        <v>901</v>
      </c>
      <c r="H1582" s="53" t="s">
        <v>902</v>
      </c>
      <c r="I1582" s="53" t="s">
        <v>656</v>
      </c>
      <c r="J1582" s="53" t="s">
        <v>2692</v>
      </c>
    </row>
    <row r="1583" spans="1:10" ht="15" customHeight="1" x14ac:dyDescent="0.35">
      <c r="A1583" s="53" t="s">
        <v>896</v>
      </c>
      <c r="B1583" s="53" t="s">
        <v>3613</v>
      </c>
      <c r="C1583" s="53" t="s">
        <v>909</v>
      </c>
      <c r="D1583" s="53">
        <v>1</v>
      </c>
      <c r="E1583" s="53" t="s">
        <v>3070</v>
      </c>
      <c r="F1583" s="53" t="s">
        <v>1885</v>
      </c>
      <c r="G1583" s="53" t="s">
        <v>901</v>
      </c>
      <c r="H1583" s="53" t="s">
        <v>902</v>
      </c>
      <c r="I1583" s="53" t="s">
        <v>656</v>
      </c>
      <c r="J1583" s="53" t="s">
        <v>2222</v>
      </c>
    </row>
    <row r="1584" spans="1:10" ht="15" customHeight="1" x14ac:dyDescent="0.35">
      <c r="A1584" s="53" t="s">
        <v>896</v>
      </c>
      <c r="B1584" s="53" t="s">
        <v>3614</v>
      </c>
      <c r="C1584" s="53" t="s">
        <v>2257</v>
      </c>
      <c r="D1584" s="53">
        <v>1</v>
      </c>
      <c r="E1584" s="53" t="s">
        <v>3070</v>
      </c>
      <c r="F1584" s="53" t="s">
        <v>1885</v>
      </c>
      <c r="G1584" s="53" t="s">
        <v>901</v>
      </c>
      <c r="H1584" s="53" t="s">
        <v>902</v>
      </c>
      <c r="I1584" s="53" t="s">
        <v>656</v>
      </c>
      <c r="J1584" s="53" t="s">
        <v>2443</v>
      </c>
    </row>
    <row r="1585" spans="1:10" ht="15" customHeight="1" x14ac:dyDescent="0.35">
      <c r="A1585" s="53" t="s">
        <v>896</v>
      </c>
      <c r="B1585" s="53" t="s">
        <v>3615</v>
      </c>
      <c r="C1585" s="53" t="s">
        <v>1143</v>
      </c>
      <c r="D1585" s="53">
        <v>1</v>
      </c>
      <c r="E1585" s="53" t="s">
        <v>3070</v>
      </c>
      <c r="F1585" s="53" t="s">
        <v>1885</v>
      </c>
      <c r="G1585" s="53" t="s">
        <v>901</v>
      </c>
      <c r="H1585" s="53" t="s">
        <v>902</v>
      </c>
      <c r="I1585" s="53" t="s">
        <v>656</v>
      </c>
      <c r="J1585" s="53" t="s">
        <v>2692</v>
      </c>
    </row>
    <row r="1586" spans="1:10" ht="15" customHeight="1" x14ac:dyDescent="0.35">
      <c r="A1586" s="53" t="s">
        <v>896</v>
      </c>
      <c r="B1586" s="53" t="s">
        <v>3616</v>
      </c>
      <c r="C1586" s="53" t="s">
        <v>2602</v>
      </c>
      <c r="D1586" s="53">
        <v>1</v>
      </c>
      <c r="E1586" s="53" t="s">
        <v>3070</v>
      </c>
      <c r="F1586" s="53" t="s">
        <v>1885</v>
      </c>
      <c r="G1586" s="53" t="s">
        <v>901</v>
      </c>
      <c r="H1586" s="53" t="s">
        <v>902</v>
      </c>
      <c r="I1586" s="53" t="s">
        <v>656</v>
      </c>
      <c r="J1586" s="53" t="s">
        <v>2222</v>
      </c>
    </row>
    <row r="1587" spans="1:10" ht="15" customHeight="1" x14ac:dyDescent="0.35">
      <c r="A1587" s="53" t="s">
        <v>896</v>
      </c>
      <c r="B1587" s="53" t="s">
        <v>3617</v>
      </c>
      <c r="C1587" s="53" t="s">
        <v>2598</v>
      </c>
      <c r="D1587" s="53">
        <v>1</v>
      </c>
      <c r="E1587" s="53" t="s">
        <v>3070</v>
      </c>
      <c r="F1587" s="53" t="s">
        <v>1885</v>
      </c>
      <c r="G1587" s="53" t="s">
        <v>901</v>
      </c>
      <c r="H1587" s="53" t="s">
        <v>902</v>
      </c>
      <c r="I1587" s="53" t="s">
        <v>656</v>
      </c>
      <c r="J1587" s="53" t="s">
        <v>2866</v>
      </c>
    </row>
    <row r="1588" spans="1:10" ht="15" customHeight="1" x14ac:dyDescent="0.35">
      <c r="A1588" s="53" t="s">
        <v>896</v>
      </c>
      <c r="B1588" s="53" t="s">
        <v>3618</v>
      </c>
      <c r="C1588" s="53" t="s">
        <v>1077</v>
      </c>
      <c r="D1588" s="53">
        <v>1</v>
      </c>
      <c r="E1588" s="53" t="s">
        <v>3070</v>
      </c>
      <c r="F1588" s="53" t="s">
        <v>1885</v>
      </c>
      <c r="G1588" s="53" t="s">
        <v>901</v>
      </c>
      <c r="H1588" s="53" t="s">
        <v>902</v>
      </c>
      <c r="I1588" s="53" t="s">
        <v>656</v>
      </c>
      <c r="J1588" s="53" t="s">
        <v>2965</v>
      </c>
    </row>
    <row r="1589" spans="1:10" ht="15" customHeight="1" x14ac:dyDescent="0.35">
      <c r="A1589" s="53" t="s">
        <v>896</v>
      </c>
      <c r="B1589" s="53" t="s">
        <v>3619</v>
      </c>
      <c r="C1589" s="53" t="s">
        <v>1143</v>
      </c>
      <c r="D1589" s="53">
        <v>1</v>
      </c>
      <c r="E1589" s="53" t="s">
        <v>3070</v>
      </c>
      <c r="F1589" s="53" t="s">
        <v>1885</v>
      </c>
      <c r="G1589" s="53" t="s">
        <v>901</v>
      </c>
      <c r="H1589" s="53" t="s">
        <v>902</v>
      </c>
      <c r="I1589" s="53" t="s">
        <v>656</v>
      </c>
      <c r="J1589" s="53" t="s">
        <v>2965</v>
      </c>
    </row>
    <row r="1590" spans="1:10" ht="15" customHeight="1" x14ac:dyDescent="0.35">
      <c r="A1590" s="53" t="s">
        <v>896</v>
      </c>
      <c r="B1590" s="53" t="s">
        <v>3620</v>
      </c>
      <c r="C1590" s="53" t="s">
        <v>909</v>
      </c>
      <c r="D1590" s="53">
        <v>1</v>
      </c>
      <c r="E1590" s="53" t="s">
        <v>3070</v>
      </c>
      <c r="F1590" s="53" t="s">
        <v>1885</v>
      </c>
      <c r="G1590" s="53" t="s">
        <v>901</v>
      </c>
      <c r="H1590" s="53" t="s">
        <v>902</v>
      </c>
      <c r="I1590" s="53" t="s">
        <v>656</v>
      </c>
      <c r="J1590" s="53" t="s">
        <v>2692</v>
      </c>
    </row>
    <row r="1591" spans="1:10" ht="15" customHeight="1" x14ac:dyDescent="0.35">
      <c r="A1591" s="53" t="s">
        <v>896</v>
      </c>
      <c r="B1591" s="53" t="s">
        <v>3621</v>
      </c>
      <c r="C1591" s="53" t="s">
        <v>909</v>
      </c>
      <c r="D1591" s="53">
        <v>1</v>
      </c>
      <c r="E1591" s="53" t="s">
        <v>3070</v>
      </c>
      <c r="F1591" s="53" t="s">
        <v>1885</v>
      </c>
      <c r="G1591" s="53" t="s">
        <v>901</v>
      </c>
      <c r="H1591" s="53" t="s">
        <v>902</v>
      </c>
      <c r="I1591" s="53" t="s">
        <v>656</v>
      </c>
      <c r="J1591" s="53" t="s">
        <v>2972</v>
      </c>
    </row>
    <row r="1592" spans="1:10" ht="15" customHeight="1" x14ac:dyDescent="0.35">
      <c r="A1592" s="53" t="s">
        <v>896</v>
      </c>
      <c r="B1592" s="53" t="s">
        <v>3622</v>
      </c>
      <c r="C1592" s="53" t="s">
        <v>1690</v>
      </c>
      <c r="D1592" s="53">
        <v>1</v>
      </c>
      <c r="E1592" s="53" t="s">
        <v>3070</v>
      </c>
      <c r="F1592" s="53" t="s">
        <v>1885</v>
      </c>
      <c r="G1592" s="53" t="s">
        <v>901</v>
      </c>
      <c r="H1592" s="53" t="s">
        <v>902</v>
      </c>
      <c r="I1592" s="53" t="s">
        <v>656</v>
      </c>
      <c r="J1592" s="53" t="s">
        <v>2965</v>
      </c>
    </row>
    <row r="1593" spans="1:10" ht="15" customHeight="1" x14ac:dyDescent="0.35">
      <c r="A1593" s="53" t="s">
        <v>896</v>
      </c>
      <c r="B1593" s="53" t="s">
        <v>3623</v>
      </c>
      <c r="C1593" s="53" t="s">
        <v>1077</v>
      </c>
      <c r="D1593" s="53">
        <v>1</v>
      </c>
      <c r="E1593" s="53" t="s">
        <v>3070</v>
      </c>
      <c r="F1593" s="53" t="s">
        <v>1885</v>
      </c>
      <c r="G1593" s="53" t="s">
        <v>901</v>
      </c>
      <c r="H1593" s="53" t="s">
        <v>902</v>
      </c>
      <c r="I1593" s="53" t="s">
        <v>656</v>
      </c>
      <c r="J1593" s="53" t="s">
        <v>2803</v>
      </c>
    </row>
    <row r="1594" spans="1:10" ht="15" customHeight="1" x14ac:dyDescent="0.35">
      <c r="A1594" s="53" t="s">
        <v>896</v>
      </c>
      <c r="B1594" s="53" t="s">
        <v>3624</v>
      </c>
      <c r="C1594" s="53" t="s">
        <v>1077</v>
      </c>
      <c r="D1594" s="53">
        <v>1</v>
      </c>
      <c r="E1594" s="53" t="s">
        <v>3070</v>
      </c>
      <c r="F1594" s="53" t="s">
        <v>1885</v>
      </c>
      <c r="G1594" s="53" t="s">
        <v>901</v>
      </c>
      <c r="H1594" s="53" t="s">
        <v>902</v>
      </c>
      <c r="I1594" s="53" t="s">
        <v>656</v>
      </c>
      <c r="J1594" s="53" t="s">
        <v>2222</v>
      </c>
    </row>
    <row r="1595" spans="1:10" ht="15" customHeight="1" x14ac:dyDescent="0.35">
      <c r="A1595" s="53" t="s">
        <v>896</v>
      </c>
      <c r="B1595" s="53" t="s">
        <v>3625</v>
      </c>
      <c r="C1595" s="53" t="s">
        <v>921</v>
      </c>
      <c r="D1595" s="53">
        <v>1</v>
      </c>
      <c r="E1595" s="53" t="s">
        <v>3070</v>
      </c>
      <c r="F1595" s="53" t="s">
        <v>1885</v>
      </c>
      <c r="G1595" s="53" t="s">
        <v>901</v>
      </c>
      <c r="H1595" s="53" t="s">
        <v>902</v>
      </c>
      <c r="I1595" s="53" t="s">
        <v>656</v>
      </c>
      <c r="J1595" s="53" t="s">
        <v>2866</v>
      </c>
    </row>
    <row r="1596" spans="1:10" ht="15" customHeight="1" x14ac:dyDescent="0.35">
      <c r="A1596" s="53" t="s">
        <v>896</v>
      </c>
      <c r="B1596" s="53" t="s">
        <v>3626</v>
      </c>
      <c r="C1596" s="53" t="s">
        <v>2971</v>
      </c>
      <c r="D1596" s="53">
        <v>1</v>
      </c>
      <c r="E1596" s="53" t="s">
        <v>3070</v>
      </c>
      <c r="F1596" s="53" t="s">
        <v>1885</v>
      </c>
      <c r="G1596" s="53" t="s">
        <v>901</v>
      </c>
      <c r="H1596" s="53" t="s">
        <v>902</v>
      </c>
      <c r="I1596" s="53" t="s">
        <v>656</v>
      </c>
      <c r="J1596" s="53" t="s">
        <v>2972</v>
      </c>
    </row>
    <row r="1597" spans="1:10" ht="15" customHeight="1" x14ac:dyDescent="0.35">
      <c r="A1597" s="53" t="s">
        <v>896</v>
      </c>
      <c r="B1597" s="53" t="s">
        <v>3627</v>
      </c>
      <c r="C1597" s="53" t="s">
        <v>1136</v>
      </c>
      <c r="D1597" s="53">
        <v>1</v>
      </c>
      <c r="E1597" s="53" t="s">
        <v>3070</v>
      </c>
      <c r="F1597" s="53" t="s">
        <v>1885</v>
      </c>
      <c r="G1597" s="53" t="s">
        <v>901</v>
      </c>
      <c r="H1597" s="53" t="s">
        <v>902</v>
      </c>
      <c r="I1597" s="53" t="s">
        <v>656</v>
      </c>
      <c r="J1597" s="53" t="s">
        <v>2692</v>
      </c>
    </row>
    <row r="1598" spans="1:10" ht="15" customHeight="1" x14ac:dyDescent="0.35">
      <c r="A1598" s="53" t="s">
        <v>896</v>
      </c>
      <c r="B1598" s="53" t="s">
        <v>3628</v>
      </c>
      <c r="C1598" s="53" t="s">
        <v>1143</v>
      </c>
      <c r="D1598" s="53">
        <v>1</v>
      </c>
      <c r="E1598" s="53" t="s">
        <v>3070</v>
      </c>
      <c r="F1598" s="53" t="s">
        <v>1885</v>
      </c>
      <c r="G1598" s="53" t="s">
        <v>901</v>
      </c>
      <c r="H1598" s="53" t="s">
        <v>902</v>
      </c>
      <c r="I1598" s="53" t="s">
        <v>656</v>
      </c>
      <c r="J1598" s="53" t="s">
        <v>2985</v>
      </c>
    </row>
    <row r="1599" spans="1:10" ht="15" customHeight="1" x14ac:dyDescent="0.35">
      <c r="A1599" s="53" t="s">
        <v>896</v>
      </c>
      <c r="B1599" s="53" t="s">
        <v>3629</v>
      </c>
      <c r="C1599" s="53" t="s">
        <v>1077</v>
      </c>
      <c r="D1599" s="53">
        <v>1</v>
      </c>
      <c r="E1599" s="53" t="s">
        <v>3070</v>
      </c>
      <c r="F1599" s="53" t="s">
        <v>1885</v>
      </c>
      <c r="G1599" s="53" t="s">
        <v>901</v>
      </c>
      <c r="H1599" s="53" t="s">
        <v>902</v>
      </c>
      <c r="I1599" s="53" t="s">
        <v>656</v>
      </c>
      <c r="J1599" s="53" t="s">
        <v>2222</v>
      </c>
    </row>
    <row r="1600" spans="1:10" ht="15" customHeight="1" x14ac:dyDescent="0.35">
      <c r="A1600" s="53" t="s">
        <v>896</v>
      </c>
      <c r="B1600" s="53" t="s">
        <v>3630</v>
      </c>
      <c r="C1600" s="53" t="s">
        <v>963</v>
      </c>
      <c r="D1600" s="53">
        <v>1</v>
      </c>
      <c r="E1600" s="53" t="s">
        <v>3070</v>
      </c>
      <c r="F1600" s="53" t="s">
        <v>1885</v>
      </c>
      <c r="G1600" s="53" t="s">
        <v>901</v>
      </c>
      <c r="H1600" s="53" t="s">
        <v>902</v>
      </c>
      <c r="I1600" s="53" t="s">
        <v>656</v>
      </c>
      <c r="J1600" s="53" t="s">
        <v>2222</v>
      </c>
    </row>
    <row r="1601" spans="1:10" ht="15" customHeight="1" x14ac:dyDescent="0.35">
      <c r="A1601" s="53" t="s">
        <v>896</v>
      </c>
      <c r="B1601" s="53" t="s">
        <v>3631</v>
      </c>
      <c r="C1601" s="53" t="s">
        <v>2971</v>
      </c>
      <c r="D1601" s="53">
        <v>1</v>
      </c>
      <c r="E1601" s="53" t="s">
        <v>3070</v>
      </c>
      <c r="F1601" s="53" t="s">
        <v>1885</v>
      </c>
      <c r="G1601" s="53" t="s">
        <v>901</v>
      </c>
      <c r="H1601" s="53" t="s">
        <v>902</v>
      </c>
      <c r="I1601" s="53" t="s">
        <v>656</v>
      </c>
      <c r="J1601" s="53" t="s">
        <v>2972</v>
      </c>
    </row>
    <row r="1602" spans="1:10" ht="15" customHeight="1" x14ac:dyDescent="0.35">
      <c r="A1602" s="53" t="s">
        <v>896</v>
      </c>
      <c r="B1602" s="53" t="s">
        <v>3632</v>
      </c>
      <c r="C1602" s="53" t="s">
        <v>921</v>
      </c>
      <c r="D1602" s="53">
        <v>1</v>
      </c>
      <c r="E1602" s="53" t="s">
        <v>3070</v>
      </c>
      <c r="F1602" s="53" t="s">
        <v>1885</v>
      </c>
      <c r="G1602" s="53" t="s">
        <v>901</v>
      </c>
      <c r="H1602" s="53" t="s">
        <v>902</v>
      </c>
      <c r="I1602" s="53" t="s">
        <v>656</v>
      </c>
      <c r="J1602" s="53" t="s">
        <v>2866</v>
      </c>
    </row>
    <row r="1603" spans="1:10" ht="15" customHeight="1" x14ac:dyDescent="0.35">
      <c r="A1603" s="53" t="s">
        <v>896</v>
      </c>
      <c r="B1603" s="53" t="s">
        <v>3633</v>
      </c>
      <c r="C1603" s="53" t="s">
        <v>909</v>
      </c>
      <c r="D1603" s="53">
        <v>1</v>
      </c>
      <c r="E1603" s="53" t="s">
        <v>3070</v>
      </c>
      <c r="F1603" s="53" t="s">
        <v>1885</v>
      </c>
      <c r="G1603" s="53" t="s">
        <v>901</v>
      </c>
      <c r="H1603" s="53" t="s">
        <v>902</v>
      </c>
      <c r="I1603" s="53" t="s">
        <v>656</v>
      </c>
      <c r="J1603" s="53" t="s">
        <v>2972</v>
      </c>
    </row>
    <row r="1604" spans="1:10" ht="15" customHeight="1" x14ac:dyDescent="0.35">
      <c r="A1604" s="53" t="s">
        <v>896</v>
      </c>
      <c r="B1604" s="53" t="s">
        <v>3634</v>
      </c>
      <c r="C1604" s="53" t="s">
        <v>921</v>
      </c>
      <c r="D1604" s="53">
        <v>1</v>
      </c>
      <c r="E1604" s="53" t="s">
        <v>3070</v>
      </c>
      <c r="F1604" s="53" t="s">
        <v>1885</v>
      </c>
      <c r="G1604" s="53" t="s">
        <v>901</v>
      </c>
      <c r="H1604" s="53" t="s">
        <v>902</v>
      </c>
      <c r="I1604" s="53" t="s">
        <v>656</v>
      </c>
      <c r="J1604" s="53" t="s">
        <v>2095</v>
      </c>
    </row>
    <row r="1605" spans="1:10" ht="15" customHeight="1" x14ac:dyDescent="0.35">
      <c r="A1605" s="53" t="s">
        <v>896</v>
      </c>
      <c r="B1605" s="53" t="s">
        <v>3635</v>
      </c>
      <c r="C1605" s="53" t="s">
        <v>1077</v>
      </c>
      <c r="D1605" s="53">
        <v>1</v>
      </c>
      <c r="E1605" s="53" t="s">
        <v>3070</v>
      </c>
      <c r="F1605" s="53" t="s">
        <v>1885</v>
      </c>
      <c r="G1605" s="53" t="s">
        <v>901</v>
      </c>
      <c r="H1605" s="53" t="s">
        <v>902</v>
      </c>
      <c r="I1605" s="53" t="s">
        <v>656</v>
      </c>
      <c r="J1605" s="53" t="s">
        <v>2222</v>
      </c>
    </row>
    <row r="1606" spans="1:10" ht="15" customHeight="1" x14ac:dyDescent="0.35">
      <c r="A1606" s="53" t="s">
        <v>896</v>
      </c>
      <c r="B1606" s="53" t="s">
        <v>3636</v>
      </c>
      <c r="C1606" s="53" t="s">
        <v>989</v>
      </c>
      <c r="D1606" s="53">
        <v>1</v>
      </c>
      <c r="E1606" s="53" t="s">
        <v>3070</v>
      </c>
      <c r="F1606" s="53" t="s">
        <v>1885</v>
      </c>
      <c r="G1606" s="53" t="s">
        <v>901</v>
      </c>
      <c r="H1606" s="53" t="s">
        <v>902</v>
      </c>
      <c r="I1606" s="53" t="s">
        <v>656</v>
      </c>
      <c r="J1606" s="53" t="s">
        <v>2692</v>
      </c>
    </row>
    <row r="1607" spans="1:10" ht="15" customHeight="1" x14ac:dyDescent="0.35">
      <c r="A1607" s="53" t="s">
        <v>896</v>
      </c>
      <c r="B1607" s="53" t="s">
        <v>3637</v>
      </c>
      <c r="C1607" s="53" t="s">
        <v>1240</v>
      </c>
      <c r="D1607" s="53">
        <v>1</v>
      </c>
      <c r="E1607" s="53" t="s">
        <v>3070</v>
      </c>
      <c r="F1607" s="53" t="s">
        <v>1885</v>
      </c>
      <c r="G1607" s="53" t="s">
        <v>901</v>
      </c>
      <c r="H1607" s="53" t="s">
        <v>902</v>
      </c>
      <c r="I1607" s="53" t="s">
        <v>656</v>
      </c>
      <c r="J1607" s="53" t="s">
        <v>2095</v>
      </c>
    </row>
    <row r="1608" spans="1:10" ht="15" customHeight="1" x14ac:dyDescent="0.35">
      <c r="A1608" s="53" t="s">
        <v>896</v>
      </c>
      <c r="B1608" s="53" t="s">
        <v>3638</v>
      </c>
      <c r="C1608" s="53" t="s">
        <v>1111</v>
      </c>
      <c r="D1608" s="53">
        <v>1</v>
      </c>
      <c r="E1608" s="53" t="s">
        <v>3070</v>
      </c>
      <c r="F1608" s="53" t="s">
        <v>1885</v>
      </c>
      <c r="G1608" s="53" t="s">
        <v>901</v>
      </c>
      <c r="H1608" s="53" t="s">
        <v>902</v>
      </c>
      <c r="I1608" s="53" t="s">
        <v>656</v>
      </c>
      <c r="J1608" s="53" t="s">
        <v>2443</v>
      </c>
    </row>
    <row r="1609" spans="1:10" ht="15" customHeight="1" x14ac:dyDescent="0.35">
      <c r="A1609" s="53" t="s">
        <v>896</v>
      </c>
      <c r="B1609" s="53" t="s">
        <v>3639</v>
      </c>
      <c r="C1609" s="53" t="s">
        <v>1050</v>
      </c>
      <c r="D1609" s="53">
        <v>1</v>
      </c>
      <c r="E1609" s="53" t="s">
        <v>3070</v>
      </c>
      <c r="F1609" s="53" t="s">
        <v>1885</v>
      </c>
      <c r="G1609" s="53" t="s">
        <v>901</v>
      </c>
      <c r="H1609" s="53" t="s">
        <v>902</v>
      </c>
      <c r="I1609" s="53" t="s">
        <v>656</v>
      </c>
      <c r="J1609" s="53" t="s">
        <v>2692</v>
      </c>
    </row>
    <row r="1610" spans="1:10" ht="15" customHeight="1" x14ac:dyDescent="0.35">
      <c r="A1610" s="53" t="s">
        <v>896</v>
      </c>
      <c r="B1610" s="53" t="s">
        <v>3640</v>
      </c>
      <c r="C1610" s="53" t="s">
        <v>909</v>
      </c>
      <c r="D1610" s="53">
        <v>1</v>
      </c>
      <c r="E1610" s="53" t="s">
        <v>3070</v>
      </c>
      <c r="F1610" s="53" t="s">
        <v>1885</v>
      </c>
      <c r="G1610" s="53" t="s">
        <v>901</v>
      </c>
      <c r="H1610" s="53" t="s">
        <v>902</v>
      </c>
      <c r="I1610" s="53" t="s">
        <v>656</v>
      </c>
      <c r="J1610" s="53" t="s">
        <v>2972</v>
      </c>
    </row>
    <row r="1611" spans="1:10" ht="15" customHeight="1" x14ac:dyDescent="0.35">
      <c r="A1611" s="53" t="s">
        <v>896</v>
      </c>
      <c r="B1611" s="53" t="s">
        <v>3641</v>
      </c>
      <c r="C1611" s="53" t="s">
        <v>909</v>
      </c>
      <c r="D1611" s="53">
        <v>1</v>
      </c>
      <c r="E1611" s="53" t="s">
        <v>3070</v>
      </c>
      <c r="F1611" s="53" t="s">
        <v>1885</v>
      </c>
      <c r="G1611" s="53" t="s">
        <v>901</v>
      </c>
      <c r="H1611" s="53" t="s">
        <v>902</v>
      </c>
      <c r="I1611" s="53" t="s">
        <v>656</v>
      </c>
      <c r="J1611" s="53" t="s">
        <v>2972</v>
      </c>
    </row>
    <row r="1612" spans="1:10" ht="15" customHeight="1" x14ac:dyDescent="0.35">
      <c r="A1612" s="53" t="s">
        <v>896</v>
      </c>
      <c r="B1612" s="53" t="s">
        <v>3642</v>
      </c>
      <c r="C1612" s="53" t="s">
        <v>1077</v>
      </c>
      <c r="D1612" s="53">
        <v>1</v>
      </c>
      <c r="E1612" s="53" t="s">
        <v>3070</v>
      </c>
      <c r="F1612" s="53" t="s">
        <v>1885</v>
      </c>
      <c r="G1612" s="53" t="s">
        <v>901</v>
      </c>
      <c r="H1612" s="53" t="s">
        <v>902</v>
      </c>
      <c r="I1612" s="53" t="s">
        <v>656</v>
      </c>
      <c r="J1612" s="53" t="s">
        <v>2985</v>
      </c>
    </row>
    <row r="1613" spans="1:10" ht="15" customHeight="1" x14ac:dyDescent="0.35">
      <c r="A1613" s="53" t="s">
        <v>896</v>
      </c>
      <c r="B1613" s="53" t="s">
        <v>3643</v>
      </c>
      <c r="C1613" s="53" t="s">
        <v>946</v>
      </c>
      <c r="D1613" s="53">
        <v>1</v>
      </c>
      <c r="E1613" s="53" t="s">
        <v>3070</v>
      </c>
      <c r="F1613" s="53" t="s">
        <v>1885</v>
      </c>
      <c r="G1613" s="53" t="s">
        <v>901</v>
      </c>
      <c r="H1613" s="53" t="s">
        <v>902</v>
      </c>
      <c r="I1613" s="53" t="s">
        <v>656</v>
      </c>
      <c r="J1613" s="53" t="s">
        <v>2803</v>
      </c>
    </row>
    <row r="1614" spans="1:10" ht="15" customHeight="1" x14ac:dyDescent="0.35">
      <c r="A1614" s="53" t="s">
        <v>896</v>
      </c>
      <c r="B1614" s="53" t="s">
        <v>3644</v>
      </c>
      <c r="C1614" s="53" t="s">
        <v>2971</v>
      </c>
      <c r="D1614" s="53">
        <v>1</v>
      </c>
      <c r="E1614" s="53" t="s">
        <v>3070</v>
      </c>
      <c r="F1614" s="53" t="s">
        <v>1885</v>
      </c>
      <c r="G1614" s="53" t="s">
        <v>901</v>
      </c>
      <c r="H1614" s="53" t="s">
        <v>902</v>
      </c>
      <c r="I1614" s="53" t="s">
        <v>656</v>
      </c>
      <c r="J1614" s="53" t="s">
        <v>2972</v>
      </c>
    </row>
    <row r="1615" spans="1:10" ht="15" customHeight="1" x14ac:dyDescent="0.35">
      <c r="A1615" s="53" t="s">
        <v>896</v>
      </c>
      <c r="B1615" s="53" t="s">
        <v>3645</v>
      </c>
      <c r="C1615" s="53" t="s">
        <v>2257</v>
      </c>
      <c r="D1615" s="53">
        <v>1</v>
      </c>
      <c r="E1615" s="53" t="s">
        <v>3070</v>
      </c>
      <c r="F1615" s="53" t="s">
        <v>1885</v>
      </c>
      <c r="G1615" s="53" t="s">
        <v>901</v>
      </c>
      <c r="H1615" s="53" t="s">
        <v>902</v>
      </c>
      <c r="I1615" s="53" t="s">
        <v>656</v>
      </c>
      <c r="J1615" s="53" t="s">
        <v>2443</v>
      </c>
    </row>
    <row r="1616" spans="1:10" ht="15" customHeight="1" x14ac:dyDescent="0.35">
      <c r="A1616" s="53" t="s">
        <v>896</v>
      </c>
      <c r="B1616" s="53" t="s">
        <v>3646</v>
      </c>
      <c r="C1616" s="53" t="s">
        <v>946</v>
      </c>
      <c r="D1616" s="53">
        <v>1</v>
      </c>
      <c r="E1616" s="53" t="s">
        <v>3070</v>
      </c>
      <c r="F1616" s="53" t="s">
        <v>1885</v>
      </c>
      <c r="G1616" s="53" t="s">
        <v>901</v>
      </c>
      <c r="H1616" s="53" t="s">
        <v>902</v>
      </c>
      <c r="I1616" s="53" t="s">
        <v>656</v>
      </c>
      <c r="J1616" s="53" t="s">
        <v>2222</v>
      </c>
    </row>
    <row r="1617" spans="1:10" ht="15" customHeight="1" x14ac:dyDescent="0.35">
      <c r="A1617" s="53" t="s">
        <v>896</v>
      </c>
      <c r="B1617" s="53" t="s">
        <v>3647</v>
      </c>
      <c r="C1617" s="53" t="s">
        <v>2257</v>
      </c>
      <c r="D1617" s="53">
        <v>1</v>
      </c>
      <c r="E1617" s="53" t="s">
        <v>3070</v>
      </c>
      <c r="F1617" s="53" t="s">
        <v>1885</v>
      </c>
      <c r="G1617" s="53" t="s">
        <v>901</v>
      </c>
      <c r="H1617" s="53" t="s">
        <v>902</v>
      </c>
      <c r="I1617" s="53" t="s">
        <v>656</v>
      </c>
      <c r="J1617" s="53" t="s">
        <v>2985</v>
      </c>
    </row>
    <row r="1618" spans="1:10" ht="15" customHeight="1" x14ac:dyDescent="0.35">
      <c r="A1618" s="53" t="s">
        <v>896</v>
      </c>
      <c r="B1618" s="53" t="s">
        <v>3648</v>
      </c>
      <c r="C1618" s="53" t="s">
        <v>1136</v>
      </c>
      <c r="D1618" s="53">
        <v>1</v>
      </c>
      <c r="E1618" s="53" t="s">
        <v>3070</v>
      </c>
      <c r="F1618" s="53" t="s">
        <v>1885</v>
      </c>
      <c r="G1618" s="53" t="s">
        <v>901</v>
      </c>
      <c r="H1618" s="53" t="s">
        <v>902</v>
      </c>
      <c r="I1618" s="53" t="s">
        <v>656</v>
      </c>
      <c r="J1618" s="53" t="s">
        <v>2866</v>
      </c>
    </row>
    <row r="1619" spans="1:10" ht="15" customHeight="1" x14ac:dyDescent="0.35">
      <c r="A1619" s="53" t="s">
        <v>896</v>
      </c>
      <c r="B1619" s="53" t="s">
        <v>3649</v>
      </c>
      <c r="C1619" s="53" t="s">
        <v>2971</v>
      </c>
      <c r="D1619" s="53">
        <v>1</v>
      </c>
      <c r="E1619" s="53" t="s">
        <v>3070</v>
      </c>
      <c r="F1619" s="53" t="s">
        <v>1885</v>
      </c>
      <c r="G1619" s="53" t="s">
        <v>901</v>
      </c>
      <c r="H1619" s="53" t="s">
        <v>902</v>
      </c>
      <c r="I1619" s="53" t="s">
        <v>656</v>
      </c>
      <c r="J1619" s="53" t="s">
        <v>2972</v>
      </c>
    </row>
    <row r="1620" spans="1:10" ht="15" customHeight="1" x14ac:dyDescent="0.35">
      <c r="A1620" s="53" t="s">
        <v>896</v>
      </c>
      <c r="B1620" s="53" t="s">
        <v>3650</v>
      </c>
      <c r="C1620" s="53" t="s">
        <v>1077</v>
      </c>
      <c r="D1620" s="53">
        <v>1</v>
      </c>
      <c r="E1620" s="53" t="s">
        <v>3070</v>
      </c>
      <c r="F1620" s="53" t="s">
        <v>1885</v>
      </c>
      <c r="G1620" s="53" t="s">
        <v>901</v>
      </c>
      <c r="H1620" s="53" t="s">
        <v>902</v>
      </c>
      <c r="I1620" s="53" t="s">
        <v>656</v>
      </c>
      <c r="J1620" s="53" t="s">
        <v>2222</v>
      </c>
    </row>
    <row r="1621" spans="1:10" ht="15" customHeight="1" x14ac:dyDescent="0.35">
      <c r="A1621" s="53" t="s">
        <v>896</v>
      </c>
      <c r="B1621" s="53" t="s">
        <v>3651</v>
      </c>
      <c r="C1621" s="53" t="s">
        <v>2598</v>
      </c>
      <c r="D1621" s="53">
        <v>1</v>
      </c>
      <c r="E1621" s="53" t="s">
        <v>3070</v>
      </c>
      <c r="F1621" s="53" t="s">
        <v>1885</v>
      </c>
      <c r="G1621" s="53" t="s">
        <v>901</v>
      </c>
      <c r="H1621" s="53" t="s">
        <v>902</v>
      </c>
      <c r="I1621" s="53" t="s">
        <v>656</v>
      </c>
      <c r="J1621" s="53" t="s">
        <v>2443</v>
      </c>
    </row>
    <row r="1622" spans="1:10" ht="15" customHeight="1" x14ac:dyDescent="0.35">
      <c r="A1622" s="53" t="s">
        <v>896</v>
      </c>
      <c r="B1622" s="53" t="s">
        <v>3652</v>
      </c>
      <c r="C1622" s="53" t="s">
        <v>1129</v>
      </c>
      <c r="D1622" s="53">
        <v>1</v>
      </c>
      <c r="E1622" s="53" t="s">
        <v>3070</v>
      </c>
      <c r="F1622" s="53" t="s">
        <v>1885</v>
      </c>
      <c r="G1622" s="53" t="s">
        <v>901</v>
      </c>
      <c r="H1622" s="53" t="s">
        <v>902</v>
      </c>
      <c r="I1622" s="53" t="s">
        <v>656</v>
      </c>
      <c r="J1622" s="53" t="s">
        <v>2692</v>
      </c>
    </row>
    <row r="1623" spans="1:10" ht="15" customHeight="1" x14ac:dyDescent="0.35">
      <c r="A1623" s="53" t="s">
        <v>896</v>
      </c>
      <c r="B1623" s="53" t="s">
        <v>3653</v>
      </c>
      <c r="C1623" s="53" t="s">
        <v>1690</v>
      </c>
      <c r="D1623" s="53">
        <v>1</v>
      </c>
      <c r="E1623" s="53" t="s">
        <v>3070</v>
      </c>
      <c r="F1623" s="53" t="s">
        <v>1885</v>
      </c>
      <c r="G1623" s="53" t="s">
        <v>901</v>
      </c>
      <c r="H1623" s="53" t="s">
        <v>902</v>
      </c>
      <c r="I1623" s="53" t="s">
        <v>656</v>
      </c>
      <c r="J1623" s="53" t="s">
        <v>2222</v>
      </c>
    </row>
    <row r="1624" spans="1:10" ht="15" customHeight="1" x14ac:dyDescent="0.35">
      <c r="A1624" s="53" t="s">
        <v>896</v>
      </c>
      <c r="B1624" s="53" t="s">
        <v>3654</v>
      </c>
      <c r="C1624" s="53" t="s">
        <v>1009</v>
      </c>
      <c r="D1624" s="53">
        <v>1</v>
      </c>
      <c r="E1624" s="53" t="s">
        <v>3070</v>
      </c>
      <c r="F1624" s="53" t="s">
        <v>1885</v>
      </c>
      <c r="G1624" s="53" t="s">
        <v>901</v>
      </c>
      <c r="H1624" s="53" t="s">
        <v>902</v>
      </c>
      <c r="I1624" s="53" t="s">
        <v>656</v>
      </c>
      <c r="J1624" s="53" t="s">
        <v>2443</v>
      </c>
    </row>
    <row r="1625" spans="1:10" ht="15" customHeight="1" x14ac:dyDescent="0.35">
      <c r="A1625" s="53" t="s">
        <v>896</v>
      </c>
      <c r="B1625" s="53" t="s">
        <v>3655</v>
      </c>
      <c r="C1625" s="53" t="s">
        <v>989</v>
      </c>
      <c r="D1625" s="53">
        <v>1</v>
      </c>
      <c r="E1625" s="53" t="s">
        <v>3070</v>
      </c>
      <c r="F1625" s="53" t="s">
        <v>1885</v>
      </c>
      <c r="G1625" s="53" t="s">
        <v>901</v>
      </c>
      <c r="H1625" s="53" t="s">
        <v>902</v>
      </c>
      <c r="I1625" s="53" t="s">
        <v>656</v>
      </c>
      <c r="J1625" s="53" t="s">
        <v>2692</v>
      </c>
    </row>
    <row r="1626" spans="1:10" ht="15" customHeight="1" x14ac:dyDescent="0.35">
      <c r="A1626" s="53" t="s">
        <v>896</v>
      </c>
      <c r="B1626" s="53" t="s">
        <v>3656</v>
      </c>
      <c r="C1626" s="53" t="s">
        <v>989</v>
      </c>
      <c r="D1626" s="53">
        <v>1</v>
      </c>
      <c r="E1626" s="53" t="s">
        <v>3070</v>
      </c>
      <c r="F1626" s="53" t="s">
        <v>1885</v>
      </c>
      <c r="G1626" s="53" t="s">
        <v>901</v>
      </c>
      <c r="H1626" s="53" t="s">
        <v>902</v>
      </c>
      <c r="I1626" s="53" t="s">
        <v>656</v>
      </c>
      <c r="J1626" s="53" t="s">
        <v>2692</v>
      </c>
    </row>
    <row r="1627" spans="1:10" ht="15" customHeight="1" x14ac:dyDescent="0.35">
      <c r="A1627" s="53" t="s">
        <v>896</v>
      </c>
      <c r="B1627" s="53" t="s">
        <v>3657</v>
      </c>
      <c r="C1627" s="53" t="s">
        <v>1240</v>
      </c>
      <c r="D1627" s="53">
        <v>1</v>
      </c>
      <c r="E1627" s="53" t="s">
        <v>3070</v>
      </c>
      <c r="F1627" s="53" t="s">
        <v>1885</v>
      </c>
      <c r="G1627" s="53" t="s">
        <v>901</v>
      </c>
      <c r="H1627" s="53" t="s">
        <v>902</v>
      </c>
      <c r="I1627" s="53" t="s">
        <v>656</v>
      </c>
      <c r="J1627" s="53" t="s">
        <v>2443</v>
      </c>
    </row>
    <row r="1628" spans="1:10" ht="15" customHeight="1" x14ac:dyDescent="0.35">
      <c r="A1628" s="53" t="s">
        <v>896</v>
      </c>
      <c r="B1628" s="53" t="s">
        <v>3658</v>
      </c>
      <c r="C1628" s="53" t="s">
        <v>1129</v>
      </c>
      <c r="D1628" s="53">
        <v>1</v>
      </c>
      <c r="E1628" s="53" t="s">
        <v>3070</v>
      </c>
      <c r="F1628" s="53" t="s">
        <v>1885</v>
      </c>
      <c r="G1628" s="53" t="s">
        <v>901</v>
      </c>
      <c r="H1628" s="53" t="s">
        <v>902</v>
      </c>
      <c r="I1628" s="53" t="s">
        <v>656</v>
      </c>
      <c r="J1628" s="53" t="s">
        <v>2222</v>
      </c>
    </row>
    <row r="1629" spans="1:10" ht="15" customHeight="1" x14ac:dyDescent="0.35">
      <c r="A1629" s="53" t="s">
        <v>896</v>
      </c>
      <c r="B1629" s="53" t="s">
        <v>3659</v>
      </c>
      <c r="C1629" s="53" t="s">
        <v>3404</v>
      </c>
      <c r="D1629" s="53">
        <v>1</v>
      </c>
      <c r="E1629" s="53" t="s">
        <v>3070</v>
      </c>
      <c r="F1629" s="53" t="s">
        <v>1885</v>
      </c>
      <c r="G1629" s="53" t="s">
        <v>901</v>
      </c>
      <c r="H1629" s="53" t="s">
        <v>902</v>
      </c>
      <c r="I1629" s="53" t="s">
        <v>656</v>
      </c>
      <c r="J1629" s="53" t="s">
        <v>2649</v>
      </c>
    </row>
    <row r="1630" spans="1:10" ht="15" customHeight="1" x14ac:dyDescent="0.35">
      <c r="A1630" s="53" t="s">
        <v>896</v>
      </c>
      <c r="B1630" s="53" t="s">
        <v>3660</v>
      </c>
      <c r="C1630" s="53" t="s">
        <v>989</v>
      </c>
      <c r="D1630" s="53">
        <v>1</v>
      </c>
      <c r="E1630" s="53" t="s">
        <v>3070</v>
      </c>
      <c r="F1630" s="53" t="s">
        <v>1885</v>
      </c>
      <c r="G1630" s="53" t="s">
        <v>901</v>
      </c>
      <c r="H1630" s="53" t="s">
        <v>902</v>
      </c>
      <c r="I1630" s="53" t="s">
        <v>656</v>
      </c>
      <c r="J1630" s="53" t="s">
        <v>2095</v>
      </c>
    </row>
    <row r="1631" spans="1:10" ht="15" customHeight="1" x14ac:dyDescent="0.35">
      <c r="A1631" s="53" t="s">
        <v>896</v>
      </c>
      <c r="B1631" s="53" t="s">
        <v>3661</v>
      </c>
      <c r="C1631" s="53" t="s">
        <v>898</v>
      </c>
      <c r="D1631" s="53">
        <v>1</v>
      </c>
      <c r="E1631" s="53" t="s">
        <v>3070</v>
      </c>
      <c r="F1631" s="53" t="s">
        <v>1885</v>
      </c>
      <c r="G1631" s="53" t="s">
        <v>901</v>
      </c>
      <c r="H1631" s="53" t="s">
        <v>902</v>
      </c>
      <c r="I1631" s="53" t="s">
        <v>656</v>
      </c>
      <c r="J1631" s="53" t="s">
        <v>2649</v>
      </c>
    </row>
    <row r="1632" spans="1:10" ht="15" customHeight="1" x14ac:dyDescent="0.35">
      <c r="A1632" s="53" t="s">
        <v>896</v>
      </c>
      <c r="B1632" s="53" t="s">
        <v>3662</v>
      </c>
      <c r="C1632" s="53" t="s">
        <v>989</v>
      </c>
      <c r="D1632" s="53">
        <v>1</v>
      </c>
      <c r="E1632" s="53" t="s">
        <v>3070</v>
      </c>
      <c r="F1632" s="53" t="s">
        <v>1885</v>
      </c>
      <c r="G1632" s="53" t="s">
        <v>901</v>
      </c>
      <c r="H1632" s="53" t="s">
        <v>902</v>
      </c>
      <c r="I1632" s="53" t="s">
        <v>656</v>
      </c>
      <c r="J1632" s="53" t="s">
        <v>2649</v>
      </c>
    </row>
    <row r="1633" spans="1:10" ht="15" customHeight="1" x14ac:dyDescent="0.35">
      <c r="A1633" s="53" t="s">
        <v>896</v>
      </c>
      <c r="B1633" s="53" t="s">
        <v>3663</v>
      </c>
      <c r="C1633" s="53" t="s">
        <v>2598</v>
      </c>
      <c r="D1633" s="53">
        <v>1</v>
      </c>
      <c r="E1633" s="53" t="s">
        <v>3070</v>
      </c>
      <c r="F1633" s="53" t="s">
        <v>1885</v>
      </c>
      <c r="G1633" s="53" t="s">
        <v>901</v>
      </c>
      <c r="H1633" s="53" t="s">
        <v>902</v>
      </c>
      <c r="I1633" s="53" t="s">
        <v>656</v>
      </c>
      <c r="J1633" s="53" t="s">
        <v>2443</v>
      </c>
    </row>
    <row r="1634" spans="1:10" ht="15" customHeight="1" x14ac:dyDescent="0.35">
      <c r="A1634" s="53" t="s">
        <v>896</v>
      </c>
      <c r="B1634" s="53" t="s">
        <v>3664</v>
      </c>
      <c r="C1634" s="53" t="s">
        <v>909</v>
      </c>
      <c r="D1634" s="53">
        <v>1</v>
      </c>
      <c r="E1634" s="53" t="s">
        <v>3070</v>
      </c>
      <c r="F1634" s="53" t="s">
        <v>1885</v>
      </c>
      <c r="G1634" s="53" t="s">
        <v>901</v>
      </c>
      <c r="H1634" s="53" t="s">
        <v>902</v>
      </c>
      <c r="I1634" s="53" t="s">
        <v>656</v>
      </c>
      <c r="J1634" s="53" t="s">
        <v>2222</v>
      </c>
    </row>
    <row r="1635" spans="1:10" ht="15" customHeight="1" x14ac:dyDescent="0.35">
      <c r="A1635" s="53" t="s">
        <v>896</v>
      </c>
      <c r="B1635" s="53" t="s">
        <v>3665</v>
      </c>
      <c r="C1635" s="53" t="s">
        <v>1101</v>
      </c>
      <c r="D1635" s="53">
        <v>1</v>
      </c>
      <c r="E1635" s="53" t="s">
        <v>3070</v>
      </c>
      <c r="F1635" s="53" t="s">
        <v>1885</v>
      </c>
      <c r="G1635" s="53" t="s">
        <v>901</v>
      </c>
      <c r="H1635" s="53" t="s">
        <v>902</v>
      </c>
      <c r="I1635" s="53" t="s">
        <v>656</v>
      </c>
      <c r="J1635" s="53" t="s">
        <v>2692</v>
      </c>
    </row>
    <row r="1636" spans="1:10" ht="15" customHeight="1" x14ac:dyDescent="0.35">
      <c r="A1636" s="53" t="s">
        <v>896</v>
      </c>
      <c r="B1636" s="53" t="s">
        <v>3666</v>
      </c>
      <c r="C1636" s="53" t="s">
        <v>1101</v>
      </c>
      <c r="D1636" s="53">
        <v>1</v>
      </c>
      <c r="E1636" s="53" t="s">
        <v>3070</v>
      </c>
      <c r="F1636" s="53" t="s">
        <v>1885</v>
      </c>
      <c r="G1636" s="53" t="s">
        <v>901</v>
      </c>
      <c r="H1636" s="53" t="s">
        <v>902</v>
      </c>
      <c r="I1636" s="53" t="s">
        <v>656</v>
      </c>
      <c r="J1636" s="53" t="s">
        <v>2692</v>
      </c>
    </row>
    <row r="1637" spans="1:10" ht="15" customHeight="1" x14ac:dyDescent="0.35">
      <c r="A1637" s="53" t="s">
        <v>896</v>
      </c>
      <c r="B1637" s="53" t="s">
        <v>3667</v>
      </c>
      <c r="C1637" s="53" t="s">
        <v>1136</v>
      </c>
      <c r="D1637" s="53">
        <v>1</v>
      </c>
      <c r="E1637" s="53" t="s">
        <v>3070</v>
      </c>
      <c r="F1637" s="53" t="s">
        <v>1885</v>
      </c>
      <c r="G1637" s="53" t="s">
        <v>901</v>
      </c>
      <c r="H1637" s="53" t="s">
        <v>902</v>
      </c>
      <c r="I1637" s="53" t="s">
        <v>656</v>
      </c>
      <c r="J1637" s="53" t="s">
        <v>2222</v>
      </c>
    </row>
    <row r="1638" spans="1:10" ht="15" customHeight="1" x14ac:dyDescent="0.35">
      <c r="A1638" s="53" t="s">
        <v>896</v>
      </c>
      <c r="B1638" s="53" t="s">
        <v>3668</v>
      </c>
      <c r="C1638" s="53" t="s">
        <v>1111</v>
      </c>
      <c r="D1638" s="53">
        <v>1</v>
      </c>
      <c r="E1638" s="53" t="s">
        <v>3070</v>
      </c>
      <c r="F1638" s="53" t="s">
        <v>1885</v>
      </c>
      <c r="G1638" s="53" t="s">
        <v>901</v>
      </c>
      <c r="H1638" s="53" t="s">
        <v>902</v>
      </c>
      <c r="I1638" s="53" t="s">
        <v>656</v>
      </c>
      <c r="J1638" s="53" t="s">
        <v>2443</v>
      </c>
    </row>
    <row r="1639" spans="1:10" ht="15" customHeight="1" x14ac:dyDescent="0.35">
      <c r="A1639" s="53" t="s">
        <v>896</v>
      </c>
      <c r="B1639" s="53" t="s">
        <v>3669</v>
      </c>
      <c r="C1639" s="53" t="s">
        <v>1494</v>
      </c>
      <c r="D1639" s="53">
        <v>1</v>
      </c>
      <c r="E1639" s="53" t="s">
        <v>3070</v>
      </c>
      <c r="F1639" s="53" t="s">
        <v>1885</v>
      </c>
      <c r="G1639" s="53" t="s">
        <v>901</v>
      </c>
      <c r="H1639" s="53" t="s">
        <v>902</v>
      </c>
      <c r="I1639" s="53" t="s">
        <v>656</v>
      </c>
      <c r="J1639" s="53" t="s">
        <v>2649</v>
      </c>
    </row>
    <row r="1640" spans="1:10" ht="15" customHeight="1" x14ac:dyDescent="0.35">
      <c r="A1640" s="53" t="s">
        <v>896</v>
      </c>
      <c r="B1640" s="53" t="s">
        <v>3670</v>
      </c>
      <c r="C1640" s="53" t="s">
        <v>909</v>
      </c>
      <c r="D1640" s="53">
        <v>1</v>
      </c>
      <c r="E1640" s="53" t="s">
        <v>3070</v>
      </c>
      <c r="F1640" s="53" t="s">
        <v>1885</v>
      </c>
      <c r="G1640" s="53" t="s">
        <v>901</v>
      </c>
      <c r="H1640" s="53" t="s">
        <v>902</v>
      </c>
      <c r="I1640" s="53" t="s">
        <v>656</v>
      </c>
      <c r="J1640" s="53" t="s">
        <v>2222</v>
      </c>
    </row>
    <row r="1641" spans="1:10" ht="15" customHeight="1" x14ac:dyDescent="0.35">
      <c r="A1641" s="53" t="s">
        <v>896</v>
      </c>
      <c r="B1641" s="53" t="s">
        <v>3671</v>
      </c>
      <c r="C1641" s="53" t="s">
        <v>2598</v>
      </c>
      <c r="D1641" s="53">
        <v>1</v>
      </c>
      <c r="E1641" s="53" t="s">
        <v>3070</v>
      </c>
      <c r="F1641" s="53" t="s">
        <v>1885</v>
      </c>
      <c r="G1641" s="53" t="s">
        <v>901</v>
      </c>
      <c r="H1641" s="53" t="s">
        <v>902</v>
      </c>
      <c r="I1641" s="53" t="s">
        <v>656</v>
      </c>
      <c r="J1641" s="53" t="s">
        <v>2443</v>
      </c>
    </row>
    <row r="1642" spans="1:10" ht="15" customHeight="1" x14ac:dyDescent="0.35">
      <c r="A1642" s="53" t="s">
        <v>896</v>
      </c>
      <c r="B1642" s="53" t="s">
        <v>3672</v>
      </c>
      <c r="C1642" s="53" t="s">
        <v>1101</v>
      </c>
      <c r="D1642" s="53">
        <v>1</v>
      </c>
      <c r="E1642" s="53" t="s">
        <v>3070</v>
      </c>
      <c r="F1642" s="53" t="s">
        <v>1885</v>
      </c>
      <c r="G1642" s="53" t="s">
        <v>901</v>
      </c>
      <c r="H1642" s="53" t="s">
        <v>902</v>
      </c>
      <c r="I1642" s="53" t="s">
        <v>656</v>
      </c>
      <c r="J1642" s="53" t="s">
        <v>2443</v>
      </c>
    </row>
    <row r="1643" spans="1:10" ht="15" customHeight="1" x14ac:dyDescent="0.35">
      <c r="A1643" s="53" t="s">
        <v>896</v>
      </c>
      <c r="B1643" s="53" t="s">
        <v>3673</v>
      </c>
      <c r="C1643" s="53" t="s">
        <v>1212</v>
      </c>
      <c r="D1643" s="53">
        <v>1</v>
      </c>
      <c r="E1643" s="53" t="s">
        <v>3070</v>
      </c>
      <c r="F1643" s="53" t="s">
        <v>1885</v>
      </c>
      <c r="G1643" s="53" t="s">
        <v>901</v>
      </c>
      <c r="H1643" s="53" t="s">
        <v>902</v>
      </c>
      <c r="I1643" s="53" t="s">
        <v>656</v>
      </c>
      <c r="J1643" s="53" t="s">
        <v>3044</v>
      </c>
    </row>
    <row r="1644" spans="1:10" ht="15" customHeight="1" x14ac:dyDescent="0.35">
      <c r="A1644" s="53" t="s">
        <v>896</v>
      </c>
      <c r="B1644" s="53" t="s">
        <v>3674</v>
      </c>
      <c r="C1644" s="53" t="s">
        <v>1143</v>
      </c>
      <c r="D1644" s="53">
        <v>1</v>
      </c>
      <c r="E1644" s="53" t="s">
        <v>3070</v>
      </c>
      <c r="F1644" s="53" t="s">
        <v>1885</v>
      </c>
      <c r="G1644" s="53" t="s">
        <v>901</v>
      </c>
      <c r="H1644" s="53" t="s">
        <v>902</v>
      </c>
      <c r="I1644" s="53" t="s">
        <v>656</v>
      </c>
      <c r="J1644" s="53" t="s">
        <v>2222</v>
      </c>
    </row>
    <row r="1645" spans="1:10" ht="15" customHeight="1" x14ac:dyDescent="0.35">
      <c r="A1645" s="53" t="s">
        <v>896</v>
      </c>
      <c r="B1645" s="53" t="s">
        <v>3675</v>
      </c>
      <c r="C1645" s="53" t="s">
        <v>1009</v>
      </c>
      <c r="D1645" s="53">
        <v>1</v>
      </c>
      <c r="E1645" s="53" t="s">
        <v>3070</v>
      </c>
      <c r="F1645" s="53" t="s">
        <v>1885</v>
      </c>
      <c r="G1645" s="53" t="s">
        <v>901</v>
      </c>
      <c r="H1645" s="53" t="s">
        <v>902</v>
      </c>
      <c r="I1645" s="53" t="s">
        <v>656</v>
      </c>
      <c r="J1645" s="53" t="s">
        <v>2443</v>
      </c>
    </row>
    <row r="1646" spans="1:10" ht="15" customHeight="1" x14ac:dyDescent="0.35">
      <c r="A1646" s="53" t="s">
        <v>896</v>
      </c>
      <c r="B1646" s="53" t="s">
        <v>3676</v>
      </c>
      <c r="C1646" s="53" t="s">
        <v>1077</v>
      </c>
      <c r="D1646" s="53">
        <v>1</v>
      </c>
      <c r="E1646" s="53" t="s">
        <v>3070</v>
      </c>
      <c r="F1646" s="53" t="s">
        <v>1885</v>
      </c>
      <c r="G1646" s="53" t="s">
        <v>901</v>
      </c>
      <c r="H1646" s="53" t="s">
        <v>902</v>
      </c>
      <c r="I1646" s="53" t="s">
        <v>656</v>
      </c>
      <c r="J1646" s="53" t="s">
        <v>2803</v>
      </c>
    </row>
    <row r="1647" spans="1:10" ht="15" customHeight="1" x14ac:dyDescent="0.35">
      <c r="A1647" s="53" t="s">
        <v>896</v>
      </c>
      <c r="B1647" s="53" t="s">
        <v>3677</v>
      </c>
      <c r="C1647" s="53" t="s">
        <v>909</v>
      </c>
      <c r="D1647" s="53">
        <v>1</v>
      </c>
      <c r="E1647" s="53" t="s">
        <v>3070</v>
      </c>
      <c r="F1647" s="53" t="s">
        <v>1885</v>
      </c>
      <c r="G1647" s="53" t="s">
        <v>901</v>
      </c>
      <c r="H1647" s="53" t="s">
        <v>902</v>
      </c>
      <c r="I1647" s="53" t="s">
        <v>656</v>
      </c>
      <c r="J1647" s="53" t="s">
        <v>2222</v>
      </c>
    </row>
    <row r="1648" spans="1:10" ht="15" customHeight="1" x14ac:dyDescent="0.35">
      <c r="A1648" s="53" t="s">
        <v>896</v>
      </c>
      <c r="B1648" s="53" t="s">
        <v>3678</v>
      </c>
      <c r="C1648" s="53" t="s">
        <v>1494</v>
      </c>
      <c r="D1648" s="53">
        <v>1</v>
      </c>
      <c r="E1648" s="53" t="s">
        <v>3070</v>
      </c>
      <c r="F1648" s="53" t="s">
        <v>1885</v>
      </c>
      <c r="G1648" s="53" t="s">
        <v>901</v>
      </c>
      <c r="H1648" s="53" t="s">
        <v>902</v>
      </c>
      <c r="I1648" s="53" t="s">
        <v>656</v>
      </c>
      <c r="J1648" s="53" t="s">
        <v>2649</v>
      </c>
    </row>
    <row r="1649" spans="1:10" ht="15" customHeight="1" x14ac:dyDescent="0.35">
      <c r="A1649" s="53" t="s">
        <v>896</v>
      </c>
      <c r="B1649" s="53" t="s">
        <v>3679</v>
      </c>
      <c r="C1649" s="53" t="s">
        <v>1240</v>
      </c>
      <c r="D1649" s="53">
        <v>1</v>
      </c>
      <c r="E1649" s="53" t="s">
        <v>3070</v>
      </c>
      <c r="F1649" s="53" t="s">
        <v>1885</v>
      </c>
      <c r="G1649" s="53" t="s">
        <v>901</v>
      </c>
      <c r="H1649" s="53" t="s">
        <v>902</v>
      </c>
      <c r="I1649" s="53" t="s">
        <v>656</v>
      </c>
      <c r="J1649" s="53" t="s">
        <v>2443</v>
      </c>
    </row>
    <row r="1650" spans="1:10" ht="15" customHeight="1" x14ac:dyDescent="0.35">
      <c r="A1650" s="53" t="s">
        <v>896</v>
      </c>
      <c r="B1650" s="53" t="s">
        <v>3680</v>
      </c>
      <c r="C1650" s="53" t="s">
        <v>1143</v>
      </c>
      <c r="D1650" s="53">
        <v>1</v>
      </c>
      <c r="E1650" s="53" t="s">
        <v>3070</v>
      </c>
      <c r="F1650" s="53" t="s">
        <v>1885</v>
      </c>
      <c r="G1650" s="53" t="s">
        <v>901</v>
      </c>
      <c r="H1650" s="53" t="s">
        <v>902</v>
      </c>
      <c r="I1650" s="53" t="s">
        <v>656</v>
      </c>
      <c r="J1650" s="53" t="s">
        <v>2222</v>
      </c>
    </row>
    <row r="1651" spans="1:10" ht="15" customHeight="1" x14ac:dyDescent="0.35">
      <c r="A1651" s="53" t="s">
        <v>896</v>
      </c>
      <c r="B1651" s="53" t="s">
        <v>3681</v>
      </c>
      <c r="C1651" s="53" t="s">
        <v>1077</v>
      </c>
      <c r="D1651" s="53">
        <v>1</v>
      </c>
      <c r="E1651" s="53" t="s">
        <v>3070</v>
      </c>
      <c r="F1651" s="53" t="s">
        <v>1885</v>
      </c>
      <c r="G1651" s="53" t="s">
        <v>901</v>
      </c>
      <c r="H1651" s="53" t="s">
        <v>902</v>
      </c>
      <c r="I1651" s="53" t="s">
        <v>656</v>
      </c>
      <c r="J1651" s="53" t="s">
        <v>2222</v>
      </c>
    </row>
    <row r="1652" spans="1:10" ht="15" customHeight="1" x14ac:dyDescent="0.35">
      <c r="A1652" s="53" t="s">
        <v>896</v>
      </c>
      <c r="B1652" s="53" t="s">
        <v>3682</v>
      </c>
      <c r="C1652" s="53" t="s">
        <v>942</v>
      </c>
      <c r="D1652" s="53">
        <v>1</v>
      </c>
      <c r="E1652" s="53" t="s">
        <v>3070</v>
      </c>
      <c r="F1652" s="53" t="s">
        <v>1885</v>
      </c>
      <c r="G1652" s="53" t="s">
        <v>901</v>
      </c>
      <c r="H1652" s="53" t="s">
        <v>902</v>
      </c>
      <c r="I1652" s="53" t="s">
        <v>656</v>
      </c>
      <c r="J1652" s="53" t="s">
        <v>2222</v>
      </c>
    </row>
    <row r="1653" spans="1:10" ht="15" customHeight="1" x14ac:dyDescent="0.35">
      <c r="A1653" s="53" t="s">
        <v>896</v>
      </c>
      <c r="B1653" s="53" t="s">
        <v>3683</v>
      </c>
      <c r="C1653" s="53" t="s">
        <v>1077</v>
      </c>
      <c r="D1653" s="53">
        <v>1</v>
      </c>
      <c r="E1653" s="53" t="s">
        <v>3070</v>
      </c>
      <c r="F1653" s="53" t="s">
        <v>1885</v>
      </c>
      <c r="G1653" s="53" t="s">
        <v>901</v>
      </c>
      <c r="H1653" s="53" t="s">
        <v>902</v>
      </c>
      <c r="I1653" s="53" t="s">
        <v>656</v>
      </c>
      <c r="J1653" s="53" t="s">
        <v>2222</v>
      </c>
    </row>
    <row r="1654" spans="1:10" ht="15" customHeight="1" x14ac:dyDescent="0.35">
      <c r="A1654" s="53" t="s">
        <v>896</v>
      </c>
      <c r="B1654" s="53" t="s">
        <v>3684</v>
      </c>
      <c r="C1654" s="53" t="s">
        <v>1077</v>
      </c>
      <c r="D1654" s="53">
        <v>1</v>
      </c>
      <c r="E1654" s="53" t="s">
        <v>3070</v>
      </c>
      <c r="F1654" s="53" t="s">
        <v>1885</v>
      </c>
      <c r="G1654" s="53" t="s">
        <v>901</v>
      </c>
      <c r="H1654" s="53" t="s">
        <v>902</v>
      </c>
      <c r="I1654" s="53" t="s">
        <v>656</v>
      </c>
      <c r="J1654" s="53" t="s">
        <v>2095</v>
      </c>
    </row>
    <row r="1655" spans="1:10" ht="15" customHeight="1" x14ac:dyDescent="0.35">
      <c r="A1655" s="53" t="s">
        <v>896</v>
      </c>
      <c r="B1655" s="53" t="s">
        <v>3685</v>
      </c>
      <c r="C1655" s="53" t="s">
        <v>2971</v>
      </c>
      <c r="D1655" s="53">
        <v>1</v>
      </c>
      <c r="E1655" s="53" t="s">
        <v>3070</v>
      </c>
      <c r="F1655" s="53" t="s">
        <v>1885</v>
      </c>
      <c r="G1655" s="53" t="s">
        <v>901</v>
      </c>
      <c r="H1655" s="53" t="s">
        <v>902</v>
      </c>
      <c r="I1655" s="53" t="s">
        <v>656</v>
      </c>
      <c r="J1655" s="53" t="s">
        <v>2803</v>
      </c>
    </row>
    <row r="1656" spans="1:10" ht="15" customHeight="1" x14ac:dyDescent="0.35">
      <c r="A1656" s="53" t="s">
        <v>896</v>
      </c>
      <c r="B1656" s="53" t="s">
        <v>3686</v>
      </c>
      <c r="C1656" s="53" t="s">
        <v>1077</v>
      </c>
      <c r="D1656" s="53">
        <v>1</v>
      </c>
      <c r="E1656" s="53" t="s">
        <v>3070</v>
      </c>
      <c r="F1656" s="53" t="s">
        <v>1885</v>
      </c>
      <c r="G1656" s="53" t="s">
        <v>901</v>
      </c>
      <c r="H1656" s="53" t="s">
        <v>902</v>
      </c>
      <c r="I1656" s="53" t="s">
        <v>656</v>
      </c>
      <c r="J1656" s="53" t="s">
        <v>2222</v>
      </c>
    </row>
    <row r="1657" spans="1:10" ht="15" customHeight="1" x14ac:dyDescent="0.35">
      <c r="A1657" s="53" t="s">
        <v>896</v>
      </c>
      <c r="B1657" s="53" t="s">
        <v>3687</v>
      </c>
      <c r="C1657" s="53" t="s">
        <v>1077</v>
      </c>
      <c r="D1657" s="53">
        <v>1</v>
      </c>
      <c r="E1657" s="53" t="s">
        <v>3070</v>
      </c>
      <c r="F1657" s="53" t="s">
        <v>1885</v>
      </c>
      <c r="G1657" s="53" t="s">
        <v>901</v>
      </c>
      <c r="H1657" s="53" t="s">
        <v>902</v>
      </c>
      <c r="I1657" s="53" t="s">
        <v>656</v>
      </c>
      <c r="J1657" s="53" t="s">
        <v>2222</v>
      </c>
    </row>
    <row r="1658" spans="1:10" ht="15" customHeight="1" x14ac:dyDescent="0.35">
      <c r="A1658" s="53" t="s">
        <v>896</v>
      </c>
      <c r="B1658" s="53" t="s">
        <v>3688</v>
      </c>
      <c r="C1658" s="53" t="s">
        <v>1077</v>
      </c>
      <c r="D1658" s="53">
        <v>1</v>
      </c>
      <c r="E1658" s="53" t="s">
        <v>3070</v>
      </c>
      <c r="F1658" s="53" t="s">
        <v>1885</v>
      </c>
      <c r="G1658" s="53" t="s">
        <v>901</v>
      </c>
      <c r="H1658" s="53" t="s">
        <v>902</v>
      </c>
      <c r="I1658" s="53" t="s">
        <v>656</v>
      </c>
      <c r="J1658" s="53" t="s">
        <v>2222</v>
      </c>
    </row>
    <row r="1659" spans="1:10" ht="15" customHeight="1" x14ac:dyDescent="0.35">
      <c r="A1659" s="53" t="s">
        <v>896</v>
      </c>
      <c r="B1659" s="53" t="s">
        <v>3689</v>
      </c>
      <c r="C1659" s="53" t="s">
        <v>1077</v>
      </c>
      <c r="D1659" s="53">
        <v>1</v>
      </c>
      <c r="E1659" s="53" t="s">
        <v>3070</v>
      </c>
      <c r="F1659" s="53" t="s">
        <v>1885</v>
      </c>
      <c r="G1659" s="53" t="s">
        <v>901</v>
      </c>
      <c r="H1659" s="53" t="s">
        <v>902</v>
      </c>
      <c r="I1659" s="53" t="s">
        <v>656</v>
      </c>
      <c r="J1659" s="53" t="s">
        <v>2222</v>
      </c>
    </row>
    <row r="1660" spans="1:10" ht="15" customHeight="1" x14ac:dyDescent="0.35">
      <c r="A1660" s="53" t="s">
        <v>896</v>
      </c>
      <c r="B1660" s="53" t="s">
        <v>3690</v>
      </c>
      <c r="C1660" s="53" t="s">
        <v>1111</v>
      </c>
      <c r="D1660" s="53">
        <v>1</v>
      </c>
      <c r="E1660" s="53" t="s">
        <v>3070</v>
      </c>
      <c r="F1660" s="53" t="s">
        <v>1885</v>
      </c>
      <c r="G1660" s="53" t="s">
        <v>901</v>
      </c>
      <c r="H1660" s="53" t="s">
        <v>902</v>
      </c>
      <c r="I1660" s="53" t="s">
        <v>656</v>
      </c>
      <c r="J1660" s="53" t="s">
        <v>2443</v>
      </c>
    </row>
    <row r="1661" spans="1:10" ht="15" customHeight="1" x14ac:dyDescent="0.35">
      <c r="A1661" s="53" t="s">
        <v>896</v>
      </c>
      <c r="B1661" s="53" t="s">
        <v>3691</v>
      </c>
      <c r="C1661" s="53" t="s">
        <v>1494</v>
      </c>
      <c r="D1661" s="53">
        <v>1</v>
      </c>
      <c r="E1661" s="53" t="s">
        <v>3070</v>
      </c>
      <c r="F1661" s="53" t="s">
        <v>1885</v>
      </c>
      <c r="G1661" s="53" t="s">
        <v>901</v>
      </c>
      <c r="H1661" s="53" t="s">
        <v>902</v>
      </c>
      <c r="I1661" s="53" t="s">
        <v>656</v>
      </c>
      <c r="J1661" s="53" t="s">
        <v>2649</v>
      </c>
    </row>
  </sheetData>
  <dataValidations count="1">
    <dataValidation type="list" allowBlank="1" sqref="F2:F2661" xr:uid="{00000000-0002-0000-1300-000000000000}">
      <formula1>"A,A1,B,C,D"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pageSetUpPr fitToPage="1"/>
  </sheetPr>
  <dimension ref="A1:K55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6" customWidth="1"/>
    <col min="2" max="2" width="22" customWidth="1"/>
    <col min="3" max="3" width="12" customWidth="1"/>
    <col min="4" max="4" width="14" customWidth="1"/>
    <col min="5" max="5" width="35" customWidth="1"/>
    <col min="6" max="6" width="38" customWidth="1"/>
    <col min="7" max="7" width="10" customWidth="1"/>
    <col min="8" max="8" width="17" customWidth="1"/>
    <col min="9" max="9" width="33" customWidth="1"/>
    <col min="10" max="11" width="45" customWidth="1"/>
  </cols>
  <sheetData>
    <row r="1" spans="1:11" ht="15" customHeight="1" x14ac:dyDescent="0.35">
      <c r="A1" s="11" t="s">
        <v>3704</v>
      </c>
      <c r="B1" s="11" t="s">
        <v>35</v>
      </c>
      <c r="C1" s="11" t="s">
        <v>3695</v>
      </c>
      <c r="D1" s="11" t="s">
        <v>3705</v>
      </c>
      <c r="E1" s="11" t="s">
        <v>3706</v>
      </c>
      <c r="F1" s="11" t="s">
        <v>3707</v>
      </c>
      <c r="G1" s="11" t="s">
        <v>3708</v>
      </c>
      <c r="H1" s="11" t="s">
        <v>3709</v>
      </c>
      <c r="I1" s="11" t="s">
        <v>96</v>
      </c>
      <c r="J1" s="11" t="s">
        <v>3710</v>
      </c>
      <c r="K1" s="11" t="s">
        <v>3711</v>
      </c>
    </row>
    <row r="2" spans="1:11" ht="15" customHeight="1" x14ac:dyDescent="0.35">
      <c r="A2" s="53" t="s">
        <v>150</v>
      </c>
      <c r="B2" s="53" t="s">
        <v>44</v>
      </c>
      <c r="C2" s="53" t="s">
        <v>109</v>
      </c>
      <c r="D2" s="53" t="s">
        <v>3712</v>
      </c>
      <c r="E2" s="53" t="s">
        <v>3713</v>
      </c>
      <c r="F2" s="53"/>
      <c r="G2" s="53">
        <v>2024</v>
      </c>
      <c r="H2" s="53"/>
      <c r="I2" s="53" t="s">
        <v>146</v>
      </c>
      <c r="J2" s="53" t="s">
        <v>153</v>
      </c>
      <c r="K2" s="53" t="s">
        <v>152</v>
      </c>
    </row>
    <row r="3" spans="1:11" ht="15" customHeight="1" x14ac:dyDescent="0.35">
      <c r="A3" s="53" t="s">
        <v>154</v>
      </c>
      <c r="B3" s="53" t="s">
        <v>44</v>
      </c>
      <c r="C3" s="53" t="s">
        <v>109</v>
      </c>
      <c r="D3" s="53" t="s">
        <v>3712</v>
      </c>
      <c r="E3" s="53" t="s">
        <v>3713</v>
      </c>
      <c r="F3" s="53"/>
      <c r="G3" s="53">
        <v>2024</v>
      </c>
      <c r="H3" s="53"/>
      <c r="I3" s="53" t="s">
        <v>146</v>
      </c>
      <c r="J3" s="53" t="s">
        <v>155</v>
      </c>
      <c r="K3" s="53" t="s">
        <v>152</v>
      </c>
    </row>
    <row r="4" spans="1:11" ht="15" customHeight="1" x14ac:dyDescent="0.35">
      <c r="A4" s="53" t="s">
        <v>156</v>
      </c>
      <c r="B4" s="53" t="s">
        <v>44</v>
      </c>
      <c r="C4" s="53" t="s">
        <v>109</v>
      </c>
      <c r="D4" s="53" t="s">
        <v>3712</v>
      </c>
      <c r="E4" s="53" t="s">
        <v>3713</v>
      </c>
      <c r="F4" s="53"/>
      <c r="G4" s="53">
        <v>2024</v>
      </c>
      <c r="H4" s="53"/>
      <c r="I4" s="53" t="s">
        <v>158</v>
      </c>
      <c r="J4" s="53" t="s">
        <v>159</v>
      </c>
      <c r="K4" s="53" t="s">
        <v>152</v>
      </c>
    </row>
    <row r="5" spans="1:11" ht="15" customHeight="1" x14ac:dyDescent="0.35">
      <c r="A5" s="53" t="s">
        <v>160</v>
      </c>
      <c r="B5" s="53" t="s">
        <v>44</v>
      </c>
      <c r="C5" s="53" t="s">
        <v>109</v>
      </c>
      <c r="D5" s="53" t="s">
        <v>3712</v>
      </c>
      <c r="E5" s="53" t="s">
        <v>3713</v>
      </c>
      <c r="F5" s="53"/>
      <c r="G5" s="53">
        <v>2024</v>
      </c>
      <c r="H5" s="53"/>
      <c r="I5" s="53" t="s">
        <v>146</v>
      </c>
      <c r="J5" s="53" t="s">
        <v>161</v>
      </c>
      <c r="K5" s="53" t="s">
        <v>152</v>
      </c>
    </row>
    <row r="6" spans="1:11" ht="15" customHeight="1" x14ac:dyDescent="0.35">
      <c r="A6" s="53" t="s">
        <v>162</v>
      </c>
      <c r="B6" s="53" t="s">
        <v>44</v>
      </c>
      <c r="C6" s="53" t="s">
        <v>109</v>
      </c>
      <c r="D6" s="53" t="s">
        <v>3712</v>
      </c>
      <c r="E6" s="53" t="s">
        <v>3713</v>
      </c>
      <c r="F6" s="53"/>
      <c r="G6" s="53">
        <v>2024</v>
      </c>
      <c r="H6" s="53"/>
      <c r="I6" s="53" t="s">
        <v>158</v>
      </c>
      <c r="J6" s="53" t="s">
        <v>159</v>
      </c>
      <c r="K6" s="53" t="s">
        <v>152</v>
      </c>
    </row>
    <row r="7" spans="1:11" ht="15" customHeight="1" x14ac:dyDescent="0.35">
      <c r="A7" s="53" t="s">
        <v>163</v>
      </c>
      <c r="B7" s="53" t="s">
        <v>44</v>
      </c>
      <c r="C7" s="53" t="s">
        <v>109</v>
      </c>
      <c r="D7" s="53" t="s">
        <v>3712</v>
      </c>
      <c r="E7" s="53" t="s">
        <v>3713</v>
      </c>
      <c r="F7" s="53"/>
      <c r="G7" s="53">
        <v>2024</v>
      </c>
      <c r="H7" s="53"/>
      <c r="I7" s="53" t="s">
        <v>146</v>
      </c>
      <c r="J7" s="53" t="s">
        <v>164</v>
      </c>
      <c r="K7" s="53" t="s">
        <v>152</v>
      </c>
    </row>
    <row r="8" spans="1:11" ht="15" customHeight="1" x14ac:dyDescent="0.35">
      <c r="A8" s="53" t="s">
        <v>165</v>
      </c>
      <c r="B8" s="53" t="s">
        <v>44</v>
      </c>
      <c r="C8" s="53" t="s">
        <v>109</v>
      </c>
      <c r="D8" s="53" t="s">
        <v>3712</v>
      </c>
      <c r="E8" s="53" t="s">
        <v>3713</v>
      </c>
      <c r="F8" s="53"/>
      <c r="G8" s="53">
        <v>2024</v>
      </c>
      <c r="H8" s="53"/>
      <c r="I8" s="53" t="s">
        <v>158</v>
      </c>
      <c r="J8" s="53" t="s">
        <v>159</v>
      </c>
      <c r="K8" s="53" t="s">
        <v>152</v>
      </c>
    </row>
    <row r="9" spans="1:11" ht="15" customHeight="1" x14ac:dyDescent="0.35">
      <c r="A9" s="53" t="s">
        <v>166</v>
      </c>
      <c r="B9" s="53" t="s">
        <v>44</v>
      </c>
      <c r="C9" s="53" t="s">
        <v>109</v>
      </c>
      <c r="D9" s="53" t="s">
        <v>3712</v>
      </c>
      <c r="E9" s="53" t="s">
        <v>3713</v>
      </c>
      <c r="F9" s="53"/>
      <c r="G9" s="53">
        <v>2024</v>
      </c>
      <c r="H9" s="53"/>
      <c r="I9" s="53" t="s">
        <v>146</v>
      </c>
      <c r="J9" s="53" t="s">
        <v>167</v>
      </c>
      <c r="K9" s="53" t="s">
        <v>152</v>
      </c>
    </row>
    <row r="10" spans="1:11" ht="15" customHeight="1" x14ac:dyDescent="0.35">
      <c r="A10" s="53" t="s">
        <v>168</v>
      </c>
      <c r="B10" s="53" t="s">
        <v>44</v>
      </c>
      <c r="C10" s="53" t="s">
        <v>109</v>
      </c>
      <c r="D10" s="53" t="s">
        <v>3712</v>
      </c>
      <c r="E10" s="53" t="s">
        <v>3713</v>
      </c>
      <c r="F10" s="53"/>
      <c r="G10" s="53">
        <v>2024</v>
      </c>
      <c r="H10" s="53"/>
      <c r="I10" s="53" t="s">
        <v>158</v>
      </c>
      <c r="J10" s="53" t="s">
        <v>159</v>
      </c>
      <c r="K10" s="53" t="s">
        <v>152</v>
      </c>
    </row>
    <row r="11" spans="1:11" ht="15" customHeight="1" x14ac:dyDescent="0.35">
      <c r="A11" s="53" t="s">
        <v>169</v>
      </c>
      <c r="B11" s="53" t="s">
        <v>44</v>
      </c>
      <c r="C11" s="53" t="s">
        <v>109</v>
      </c>
      <c r="D11" s="53" t="s">
        <v>3712</v>
      </c>
      <c r="E11" s="53" t="s">
        <v>3713</v>
      </c>
      <c r="F11" s="53"/>
      <c r="G11" s="53">
        <v>2024</v>
      </c>
      <c r="H11" s="53"/>
      <c r="I11" s="53" t="s">
        <v>146</v>
      </c>
      <c r="J11" s="53" t="s">
        <v>170</v>
      </c>
      <c r="K11" s="53" t="s">
        <v>152</v>
      </c>
    </row>
    <row r="12" spans="1:11" ht="15" customHeight="1" x14ac:dyDescent="0.35">
      <c r="A12" s="53" t="s">
        <v>171</v>
      </c>
      <c r="B12" s="53" t="s">
        <v>44</v>
      </c>
      <c r="C12" s="53" t="s">
        <v>109</v>
      </c>
      <c r="D12" s="53" t="s">
        <v>3712</v>
      </c>
      <c r="E12" s="53" t="s">
        <v>3713</v>
      </c>
      <c r="F12" s="53"/>
      <c r="G12" s="53">
        <v>2024</v>
      </c>
      <c r="H12" s="53"/>
      <c r="I12" s="53" t="s">
        <v>158</v>
      </c>
      <c r="J12" s="53" t="s">
        <v>159</v>
      </c>
      <c r="K12" s="53" t="s">
        <v>152</v>
      </c>
    </row>
    <row r="13" spans="1:11" ht="15" customHeight="1" x14ac:dyDescent="0.35">
      <c r="A13" s="53" t="s">
        <v>172</v>
      </c>
      <c r="B13" s="53" t="s">
        <v>44</v>
      </c>
      <c r="C13" s="53" t="s">
        <v>109</v>
      </c>
      <c r="D13" s="53" t="s">
        <v>3712</v>
      </c>
      <c r="E13" s="53" t="s">
        <v>3713</v>
      </c>
      <c r="F13" s="53"/>
      <c r="G13" s="53">
        <v>2024</v>
      </c>
      <c r="H13" s="53"/>
      <c r="I13" s="53" t="s">
        <v>146</v>
      </c>
      <c r="J13" s="53" t="s">
        <v>173</v>
      </c>
      <c r="K13" s="53" t="s">
        <v>152</v>
      </c>
    </row>
    <row r="14" spans="1:11" ht="15" customHeight="1" x14ac:dyDescent="0.35">
      <c r="A14" s="53" t="s">
        <v>174</v>
      </c>
      <c r="B14" s="53" t="s">
        <v>44</v>
      </c>
      <c r="C14" s="53" t="s">
        <v>109</v>
      </c>
      <c r="D14" s="53" t="s">
        <v>3712</v>
      </c>
      <c r="E14" s="53" t="s">
        <v>3713</v>
      </c>
      <c r="F14" s="53"/>
      <c r="G14" s="53">
        <v>2024</v>
      </c>
      <c r="H14" s="53"/>
      <c r="I14" s="53" t="s">
        <v>158</v>
      </c>
      <c r="J14" s="53" t="s">
        <v>159</v>
      </c>
      <c r="K14" s="53" t="s">
        <v>152</v>
      </c>
    </row>
    <row r="15" spans="1:11" ht="15" customHeight="1" x14ac:dyDescent="0.35">
      <c r="A15" s="53" t="s">
        <v>175</v>
      </c>
      <c r="B15" s="53" t="s">
        <v>44</v>
      </c>
      <c r="C15" s="53" t="s">
        <v>109</v>
      </c>
      <c r="D15" s="53" t="s">
        <v>3712</v>
      </c>
      <c r="E15" s="53" t="s">
        <v>3713</v>
      </c>
      <c r="F15" s="53"/>
      <c r="G15" s="53">
        <v>2024</v>
      </c>
      <c r="H15" s="53"/>
      <c r="I15" s="53" t="s">
        <v>146</v>
      </c>
      <c r="J15" s="53" t="s">
        <v>176</v>
      </c>
      <c r="K15" s="53" t="s">
        <v>152</v>
      </c>
    </row>
    <row r="16" spans="1:11" ht="15" customHeight="1" x14ac:dyDescent="0.35">
      <c r="A16" s="53" t="s">
        <v>177</v>
      </c>
      <c r="B16" s="53" t="s">
        <v>44</v>
      </c>
      <c r="C16" s="53" t="s">
        <v>109</v>
      </c>
      <c r="D16" s="53" t="s">
        <v>3712</v>
      </c>
      <c r="E16" s="53" t="s">
        <v>3713</v>
      </c>
      <c r="F16" s="53"/>
      <c r="G16" s="53">
        <v>2024</v>
      </c>
      <c r="H16" s="53"/>
      <c r="I16" s="53" t="s">
        <v>146</v>
      </c>
      <c r="J16" s="53" t="s">
        <v>178</v>
      </c>
      <c r="K16" s="53" t="s">
        <v>152</v>
      </c>
    </row>
    <row r="17" spans="1:11" ht="15" customHeight="1" x14ac:dyDescent="0.35">
      <c r="A17" s="53" t="s">
        <v>179</v>
      </c>
      <c r="B17" s="53" t="s">
        <v>44</v>
      </c>
      <c r="C17" s="53" t="s">
        <v>109</v>
      </c>
      <c r="D17" s="53" t="s">
        <v>3712</v>
      </c>
      <c r="E17" s="53" t="s">
        <v>3713</v>
      </c>
      <c r="F17" s="53"/>
      <c r="G17" s="53">
        <v>2024</v>
      </c>
      <c r="H17" s="53"/>
      <c r="I17" s="53" t="s">
        <v>146</v>
      </c>
      <c r="J17" s="53" t="s">
        <v>180</v>
      </c>
      <c r="K17" s="53" t="s">
        <v>152</v>
      </c>
    </row>
    <row r="18" spans="1:11" ht="15" customHeight="1" x14ac:dyDescent="0.35">
      <c r="A18" s="53" t="s">
        <v>181</v>
      </c>
      <c r="B18" s="53" t="s">
        <v>44</v>
      </c>
      <c r="C18" s="53" t="s">
        <v>109</v>
      </c>
      <c r="D18" s="53" t="s">
        <v>3712</v>
      </c>
      <c r="E18" s="53" t="s">
        <v>3713</v>
      </c>
      <c r="F18" s="53"/>
      <c r="G18" s="53">
        <v>2024</v>
      </c>
      <c r="H18" s="53"/>
      <c r="I18" s="53" t="s">
        <v>146</v>
      </c>
      <c r="J18" s="53" t="s">
        <v>182</v>
      </c>
      <c r="K18" s="53" t="s">
        <v>152</v>
      </c>
    </row>
    <row r="19" spans="1:11" ht="15" customHeight="1" x14ac:dyDescent="0.35">
      <c r="A19" s="53" t="s">
        <v>183</v>
      </c>
      <c r="B19" s="53" t="s">
        <v>44</v>
      </c>
      <c r="C19" s="53" t="s">
        <v>109</v>
      </c>
      <c r="D19" s="53" t="s">
        <v>3712</v>
      </c>
      <c r="E19" s="53" t="s">
        <v>3713</v>
      </c>
      <c r="F19" s="53"/>
      <c r="G19" s="53">
        <v>2024</v>
      </c>
      <c r="H19" s="53"/>
      <c r="I19" s="53" t="s">
        <v>146</v>
      </c>
      <c r="J19" s="53" t="s">
        <v>184</v>
      </c>
      <c r="K19" s="53" t="s">
        <v>152</v>
      </c>
    </row>
    <row r="20" spans="1:11" ht="15" customHeight="1" x14ac:dyDescent="0.35">
      <c r="A20" s="53" t="s">
        <v>185</v>
      </c>
      <c r="B20" s="53" t="s">
        <v>44</v>
      </c>
      <c r="C20" s="53" t="s">
        <v>109</v>
      </c>
      <c r="D20" s="53" t="s">
        <v>3712</v>
      </c>
      <c r="E20" s="53" t="s">
        <v>3713</v>
      </c>
      <c r="F20" s="53"/>
      <c r="G20" s="53">
        <v>2024</v>
      </c>
      <c r="H20" s="53"/>
      <c r="I20" s="53" t="s">
        <v>146</v>
      </c>
      <c r="J20" s="53" t="s">
        <v>186</v>
      </c>
      <c r="K20" s="53" t="s">
        <v>152</v>
      </c>
    </row>
    <row r="21" spans="1:11" ht="15" customHeight="1" x14ac:dyDescent="0.35">
      <c r="A21" s="53" t="s">
        <v>187</v>
      </c>
      <c r="B21" s="53" t="s">
        <v>44</v>
      </c>
      <c r="C21" s="53" t="s">
        <v>109</v>
      </c>
      <c r="D21" s="53" t="s">
        <v>3712</v>
      </c>
      <c r="E21" s="53" t="s">
        <v>3713</v>
      </c>
      <c r="F21" s="53"/>
      <c r="G21" s="53">
        <v>2024</v>
      </c>
      <c r="H21" s="53"/>
      <c r="I21" s="53" t="s">
        <v>158</v>
      </c>
      <c r="J21" s="53" t="s">
        <v>188</v>
      </c>
      <c r="K21" s="53" t="s">
        <v>152</v>
      </c>
    </row>
    <row r="22" spans="1:11" ht="15" customHeight="1" x14ac:dyDescent="0.35">
      <c r="A22" s="53" t="s">
        <v>189</v>
      </c>
      <c r="B22" s="53" t="s">
        <v>44</v>
      </c>
      <c r="C22" s="53" t="s">
        <v>109</v>
      </c>
      <c r="D22" s="53" t="s">
        <v>3712</v>
      </c>
      <c r="E22" s="53" t="s">
        <v>3713</v>
      </c>
      <c r="F22" s="53"/>
      <c r="G22" s="53">
        <v>2024</v>
      </c>
      <c r="H22" s="53"/>
      <c r="I22" s="53" t="s">
        <v>146</v>
      </c>
      <c r="J22" s="53" t="s">
        <v>190</v>
      </c>
      <c r="K22" s="53" t="s">
        <v>152</v>
      </c>
    </row>
    <row r="23" spans="1:11" ht="15" customHeight="1" x14ac:dyDescent="0.35">
      <c r="A23" s="53" t="s">
        <v>433</v>
      </c>
      <c r="B23" s="53" t="s">
        <v>42</v>
      </c>
      <c r="C23" s="53" t="s">
        <v>109</v>
      </c>
      <c r="D23" s="53" t="s">
        <v>3714</v>
      </c>
      <c r="E23" s="53" t="s">
        <v>3715</v>
      </c>
      <c r="F23" s="53"/>
      <c r="G23" s="53"/>
      <c r="H23" s="53" t="s">
        <v>3716</v>
      </c>
      <c r="I23" s="53" t="s">
        <v>146</v>
      </c>
      <c r="J23" s="53" t="s">
        <v>435</v>
      </c>
      <c r="K23" s="53" t="s">
        <v>434</v>
      </c>
    </row>
    <row r="24" spans="1:11" ht="15" customHeight="1" x14ac:dyDescent="0.35">
      <c r="A24" s="53" t="s">
        <v>433</v>
      </c>
      <c r="B24" s="53" t="s">
        <v>42</v>
      </c>
      <c r="C24" s="53" t="s">
        <v>109</v>
      </c>
      <c r="D24" s="53" t="s">
        <v>3714</v>
      </c>
      <c r="E24" s="53" t="s">
        <v>3715</v>
      </c>
      <c r="F24" s="53"/>
      <c r="G24" s="53"/>
      <c r="H24" s="53" t="s">
        <v>3716</v>
      </c>
      <c r="I24" s="53" t="s">
        <v>146</v>
      </c>
      <c r="J24" s="53" t="s">
        <v>436</v>
      </c>
      <c r="K24" s="53" t="s">
        <v>434</v>
      </c>
    </row>
    <row r="25" spans="1:11" ht="15" customHeight="1" x14ac:dyDescent="0.35">
      <c r="A25" s="53" t="s">
        <v>433</v>
      </c>
      <c r="B25" s="53" t="s">
        <v>42</v>
      </c>
      <c r="C25" s="53" t="s">
        <v>109</v>
      </c>
      <c r="D25" s="53" t="s">
        <v>3714</v>
      </c>
      <c r="E25" s="53" t="s">
        <v>3715</v>
      </c>
      <c r="F25" s="53"/>
      <c r="G25" s="53"/>
      <c r="H25" s="53" t="s">
        <v>3716</v>
      </c>
      <c r="I25" s="53" t="s">
        <v>146</v>
      </c>
      <c r="J25" s="53" t="s">
        <v>437</v>
      </c>
      <c r="K25" s="53" t="s">
        <v>434</v>
      </c>
    </row>
    <row r="26" spans="1:11" ht="15" customHeight="1" x14ac:dyDescent="0.35">
      <c r="A26" s="53" t="s">
        <v>433</v>
      </c>
      <c r="B26" s="53" t="s">
        <v>42</v>
      </c>
      <c r="C26" s="53" t="s">
        <v>109</v>
      </c>
      <c r="D26" s="53" t="s">
        <v>3714</v>
      </c>
      <c r="E26" s="53" t="s">
        <v>3715</v>
      </c>
      <c r="F26" s="53"/>
      <c r="G26" s="53"/>
      <c r="H26" s="53"/>
      <c r="I26" s="53" t="s">
        <v>146</v>
      </c>
      <c r="J26" s="53" t="s">
        <v>438</v>
      </c>
      <c r="K26" s="53" t="s">
        <v>434</v>
      </c>
    </row>
    <row r="27" spans="1:11" ht="15" customHeight="1" x14ac:dyDescent="0.35">
      <c r="A27" s="53" t="s">
        <v>439</v>
      </c>
      <c r="B27" s="53" t="s">
        <v>40</v>
      </c>
      <c r="C27" s="53" t="s">
        <v>109</v>
      </c>
      <c r="D27" s="53" t="s">
        <v>3717</v>
      </c>
      <c r="E27" s="53" t="s">
        <v>3718</v>
      </c>
      <c r="F27" s="53"/>
      <c r="G27" s="53"/>
      <c r="H27" s="53"/>
      <c r="I27" s="53" t="s">
        <v>146</v>
      </c>
      <c r="J27" s="53" t="s">
        <v>441</v>
      </c>
      <c r="K27" s="53" t="s">
        <v>440</v>
      </c>
    </row>
    <row r="28" spans="1:11" ht="15" customHeight="1" x14ac:dyDescent="0.35">
      <c r="A28" s="53" t="s">
        <v>442</v>
      </c>
      <c r="B28" s="53" t="s">
        <v>40</v>
      </c>
      <c r="C28" s="53" t="s">
        <v>109</v>
      </c>
      <c r="D28" s="53" t="s">
        <v>3717</v>
      </c>
      <c r="E28" s="53" t="s">
        <v>3718</v>
      </c>
      <c r="F28" s="53"/>
      <c r="G28" s="53"/>
      <c r="H28" s="53"/>
      <c r="I28" s="53" t="s">
        <v>146</v>
      </c>
      <c r="J28" s="53" t="s">
        <v>443</v>
      </c>
      <c r="K28" s="53" t="s">
        <v>440</v>
      </c>
    </row>
    <row r="29" spans="1:11" ht="15" customHeight="1" x14ac:dyDescent="0.35">
      <c r="A29" s="53" t="s">
        <v>444</v>
      </c>
      <c r="B29" s="53" t="s">
        <v>40</v>
      </c>
      <c r="C29" s="53" t="s">
        <v>109</v>
      </c>
      <c r="D29" s="53" t="s">
        <v>3717</v>
      </c>
      <c r="E29" s="53" t="s">
        <v>3718</v>
      </c>
      <c r="F29" s="53"/>
      <c r="G29" s="53"/>
      <c r="H29" s="53"/>
      <c r="I29" s="53" t="s">
        <v>146</v>
      </c>
      <c r="J29" s="53" t="s">
        <v>445</v>
      </c>
      <c r="K29" s="53" t="s">
        <v>440</v>
      </c>
    </row>
    <row r="30" spans="1:11" ht="15" customHeight="1" x14ac:dyDescent="0.35">
      <c r="A30" s="53" t="s">
        <v>446</v>
      </c>
      <c r="B30" s="53" t="s">
        <v>40</v>
      </c>
      <c r="C30" s="53" t="s">
        <v>109</v>
      </c>
      <c r="D30" s="53" t="s">
        <v>3717</v>
      </c>
      <c r="E30" s="53" t="s">
        <v>3718</v>
      </c>
      <c r="F30" s="53"/>
      <c r="G30" s="53"/>
      <c r="H30" s="53"/>
      <c r="I30" s="53" t="s">
        <v>146</v>
      </c>
      <c r="J30" s="53" t="s">
        <v>447</v>
      </c>
      <c r="K30" s="53" t="s">
        <v>440</v>
      </c>
    </row>
    <row r="31" spans="1:11" ht="15" customHeight="1" x14ac:dyDescent="0.35">
      <c r="A31" s="53" t="s">
        <v>448</v>
      </c>
      <c r="B31" s="53" t="s">
        <v>40</v>
      </c>
      <c r="C31" s="53" t="s">
        <v>109</v>
      </c>
      <c r="D31" s="53" t="s">
        <v>3717</v>
      </c>
      <c r="E31" s="53" t="s">
        <v>3718</v>
      </c>
      <c r="F31" s="53"/>
      <c r="G31" s="53"/>
      <c r="H31" s="53"/>
      <c r="I31" s="53" t="s">
        <v>146</v>
      </c>
      <c r="J31" s="53" t="s">
        <v>449</v>
      </c>
      <c r="K31" s="53" t="s">
        <v>440</v>
      </c>
    </row>
    <row r="32" spans="1:11" ht="15" customHeight="1" x14ac:dyDescent="0.35">
      <c r="A32" s="53" t="s">
        <v>450</v>
      </c>
      <c r="B32" s="53" t="s">
        <v>40</v>
      </c>
      <c r="C32" s="53" t="s">
        <v>109</v>
      </c>
      <c r="D32" s="53" t="s">
        <v>3717</v>
      </c>
      <c r="E32" s="53" t="s">
        <v>3718</v>
      </c>
      <c r="F32" s="53"/>
      <c r="G32" s="53"/>
      <c r="H32" s="53"/>
      <c r="I32" s="53" t="s">
        <v>146</v>
      </c>
      <c r="J32" s="53" t="s">
        <v>451</v>
      </c>
      <c r="K32" s="53" t="s">
        <v>440</v>
      </c>
    </row>
    <row r="33" spans="1:11" ht="15" customHeight="1" x14ac:dyDescent="0.35">
      <c r="A33" s="53" t="s">
        <v>452</v>
      </c>
      <c r="B33" s="53" t="s">
        <v>40</v>
      </c>
      <c r="C33" s="53" t="s">
        <v>109</v>
      </c>
      <c r="D33" s="53" t="s">
        <v>3717</v>
      </c>
      <c r="E33" s="53" t="s">
        <v>3718</v>
      </c>
      <c r="F33" s="53"/>
      <c r="G33" s="53"/>
      <c r="H33" s="53"/>
      <c r="I33" s="53" t="s">
        <v>146</v>
      </c>
      <c r="J33" s="53" t="s">
        <v>453</v>
      </c>
      <c r="K33" s="53" t="s">
        <v>440</v>
      </c>
    </row>
    <row r="34" spans="1:11" ht="15" customHeight="1" x14ac:dyDescent="0.35">
      <c r="A34" s="53" t="s">
        <v>454</v>
      </c>
      <c r="B34" s="53" t="s">
        <v>40</v>
      </c>
      <c r="C34" s="53" t="s">
        <v>109</v>
      </c>
      <c r="D34" s="53" t="s">
        <v>3717</v>
      </c>
      <c r="E34" s="53" t="s">
        <v>3718</v>
      </c>
      <c r="F34" s="53"/>
      <c r="G34" s="53"/>
      <c r="H34" s="53"/>
      <c r="I34" s="53" t="s">
        <v>158</v>
      </c>
      <c r="J34" s="53" t="s">
        <v>455</v>
      </c>
      <c r="K34" s="53" t="s">
        <v>440</v>
      </c>
    </row>
    <row r="35" spans="1:11" ht="15" customHeight="1" x14ac:dyDescent="0.35">
      <c r="A35" s="53" t="s">
        <v>456</v>
      </c>
      <c r="B35" s="53" t="s">
        <v>40</v>
      </c>
      <c r="C35" s="53" t="s">
        <v>109</v>
      </c>
      <c r="D35" s="53" t="s">
        <v>3717</v>
      </c>
      <c r="E35" s="53" t="s">
        <v>3718</v>
      </c>
      <c r="F35" s="53"/>
      <c r="G35" s="53"/>
      <c r="H35" s="53"/>
      <c r="I35" s="53" t="s">
        <v>146</v>
      </c>
      <c r="J35" s="53" t="s">
        <v>453</v>
      </c>
      <c r="K35" s="53" t="s">
        <v>440</v>
      </c>
    </row>
    <row r="36" spans="1:11" ht="15" customHeight="1" x14ac:dyDescent="0.35">
      <c r="A36" s="53" t="s">
        <v>457</v>
      </c>
      <c r="B36" s="53" t="s">
        <v>40</v>
      </c>
      <c r="C36" s="53" t="s">
        <v>109</v>
      </c>
      <c r="D36" s="53" t="s">
        <v>3717</v>
      </c>
      <c r="E36" s="53" t="s">
        <v>3718</v>
      </c>
      <c r="F36" s="53"/>
      <c r="G36" s="53"/>
      <c r="H36" s="53"/>
      <c r="I36" s="53" t="s">
        <v>146</v>
      </c>
      <c r="J36" s="53" t="s">
        <v>458</v>
      </c>
      <c r="K36" s="53" t="s">
        <v>440</v>
      </c>
    </row>
    <row r="37" spans="1:11" ht="15" customHeight="1" x14ac:dyDescent="0.35">
      <c r="A37" s="53" t="s">
        <v>459</v>
      </c>
      <c r="B37" s="53" t="s">
        <v>40</v>
      </c>
      <c r="C37" s="53" t="s">
        <v>109</v>
      </c>
      <c r="D37" s="53" t="s">
        <v>3717</v>
      </c>
      <c r="E37" s="53" t="s">
        <v>3718</v>
      </c>
      <c r="F37" s="53"/>
      <c r="G37" s="53"/>
      <c r="H37" s="53"/>
      <c r="I37" s="53" t="s">
        <v>146</v>
      </c>
      <c r="J37" s="53" t="s">
        <v>460</v>
      </c>
      <c r="K37" s="53" t="s">
        <v>440</v>
      </c>
    </row>
    <row r="38" spans="1:11" ht="15" customHeight="1" x14ac:dyDescent="0.35">
      <c r="A38" s="53" t="s">
        <v>461</v>
      </c>
      <c r="B38" s="53" t="s">
        <v>40</v>
      </c>
      <c r="C38" s="53" t="s">
        <v>109</v>
      </c>
      <c r="D38" s="53" t="s">
        <v>3717</v>
      </c>
      <c r="E38" s="53" t="s">
        <v>3718</v>
      </c>
      <c r="F38" s="53"/>
      <c r="G38" s="53"/>
      <c r="H38" s="53"/>
      <c r="I38" s="53" t="s">
        <v>146</v>
      </c>
      <c r="J38" s="53" t="s">
        <v>462</v>
      </c>
      <c r="K38" s="53" t="s">
        <v>440</v>
      </c>
    </row>
    <row r="39" spans="1:11" ht="15" customHeight="1" x14ac:dyDescent="0.35">
      <c r="A39" s="53" t="s">
        <v>463</v>
      </c>
      <c r="B39" s="53" t="s">
        <v>40</v>
      </c>
      <c r="C39" s="53" t="s">
        <v>109</v>
      </c>
      <c r="D39" s="53" t="s">
        <v>3717</v>
      </c>
      <c r="E39" s="53" t="s">
        <v>3718</v>
      </c>
      <c r="F39" s="53"/>
      <c r="G39" s="53"/>
      <c r="H39" s="53"/>
      <c r="I39" s="53" t="s">
        <v>158</v>
      </c>
      <c r="J39" s="53" t="s">
        <v>455</v>
      </c>
      <c r="K39" s="53" t="s">
        <v>440</v>
      </c>
    </row>
    <row r="40" spans="1:11" ht="15" customHeight="1" x14ac:dyDescent="0.35">
      <c r="A40" s="53" t="s">
        <v>464</v>
      </c>
      <c r="B40" s="53" t="s">
        <v>38</v>
      </c>
      <c r="C40" s="53" t="s">
        <v>109</v>
      </c>
      <c r="D40" s="53" t="s">
        <v>3719</v>
      </c>
      <c r="E40" s="53" t="s">
        <v>3720</v>
      </c>
      <c r="F40" s="53"/>
      <c r="G40" s="53"/>
      <c r="H40" s="53"/>
      <c r="I40" s="53" t="s">
        <v>146</v>
      </c>
      <c r="J40" s="53" t="s">
        <v>466</v>
      </c>
      <c r="K40" s="53" t="s">
        <v>465</v>
      </c>
    </row>
    <row r="41" spans="1:11" ht="15" customHeight="1" x14ac:dyDescent="0.35">
      <c r="A41" s="53" t="s">
        <v>467</v>
      </c>
      <c r="B41" s="53" t="s">
        <v>38</v>
      </c>
      <c r="C41" s="53" t="s">
        <v>109</v>
      </c>
      <c r="D41" s="53" t="s">
        <v>3719</v>
      </c>
      <c r="E41" s="53" t="s">
        <v>3720</v>
      </c>
      <c r="F41" s="53"/>
      <c r="G41" s="53"/>
      <c r="H41" s="53"/>
      <c r="I41" s="53" t="s">
        <v>146</v>
      </c>
      <c r="J41" s="53" t="s">
        <v>468</v>
      </c>
      <c r="K41" s="53" t="s">
        <v>465</v>
      </c>
    </row>
    <row r="42" spans="1:11" ht="15" customHeight="1" x14ac:dyDescent="0.35">
      <c r="A42" s="53" t="s">
        <v>469</v>
      </c>
      <c r="B42" s="53" t="s">
        <v>38</v>
      </c>
      <c r="C42" s="53" t="s">
        <v>109</v>
      </c>
      <c r="D42" s="53" t="s">
        <v>3719</v>
      </c>
      <c r="E42" s="53" t="s">
        <v>3720</v>
      </c>
      <c r="F42" s="53"/>
      <c r="G42" s="53"/>
      <c r="H42" s="53"/>
      <c r="I42" s="53" t="s">
        <v>146</v>
      </c>
      <c r="J42" s="53" t="s">
        <v>470</v>
      </c>
      <c r="K42" s="53" t="s">
        <v>465</v>
      </c>
    </row>
    <row r="43" spans="1:11" ht="15" customHeight="1" x14ac:dyDescent="0.35">
      <c r="A43" s="53" t="s">
        <v>471</v>
      </c>
      <c r="B43" s="53" t="s">
        <v>38</v>
      </c>
      <c r="C43" s="53" t="s">
        <v>109</v>
      </c>
      <c r="D43" s="53" t="s">
        <v>3719</v>
      </c>
      <c r="E43" s="53" t="s">
        <v>3720</v>
      </c>
      <c r="F43" s="53"/>
      <c r="G43" s="53"/>
      <c r="H43" s="53"/>
      <c r="I43" s="53" t="s">
        <v>146</v>
      </c>
      <c r="J43" s="53" t="s">
        <v>472</v>
      </c>
      <c r="K43" s="53" t="s">
        <v>465</v>
      </c>
    </row>
    <row r="44" spans="1:11" ht="15" customHeight="1" x14ac:dyDescent="0.35">
      <c r="A44" s="53" t="s">
        <v>473</v>
      </c>
      <c r="B44" s="53" t="s">
        <v>38</v>
      </c>
      <c r="C44" s="53" t="s">
        <v>109</v>
      </c>
      <c r="D44" s="53" t="s">
        <v>3719</v>
      </c>
      <c r="E44" s="53" t="s">
        <v>3720</v>
      </c>
      <c r="F44" s="53"/>
      <c r="G44" s="53"/>
      <c r="H44" s="53"/>
      <c r="I44" s="53" t="s">
        <v>146</v>
      </c>
      <c r="J44" s="53" t="s">
        <v>474</v>
      </c>
      <c r="K44" s="53" t="s">
        <v>465</v>
      </c>
    </row>
    <row r="45" spans="1:11" ht="15" customHeight="1" x14ac:dyDescent="0.35">
      <c r="A45" s="53" t="s">
        <v>475</v>
      </c>
      <c r="B45" s="53" t="s">
        <v>38</v>
      </c>
      <c r="C45" s="53" t="s">
        <v>109</v>
      </c>
      <c r="D45" s="53" t="s">
        <v>3719</v>
      </c>
      <c r="E45" s="53" t="s">
        <v>3720</v>
      </c>
      <c r="F45" s="53"/>
      <c r="G45" s="53"/>
      <c r="H45" s="53"/>
      <c r="I45" s="53" t="s">
        <v>146</v>
      </c>
      <c r="J45" s="53" t="s">
        <v>476</v>
      </c>
      <c r="K45" s="53" t="s">
        <v>465</v>
      </c>
    </row>
    <row r="46" spans="1:11" ht="15" customHeight="1" x14ac:dyDescent="0.35">
      <c r="A46" s="53" t="s">
        <v>477</v>
      </c>
      <c r="B46" s="53" t="s">
        <v>38</v>
      </c>
      <c r="C46" s="53" t="s">
        <v>109</v>
      </c>
      <c r="D46" s="53" t="s">
        <v>3719</v>
      </c>
      <c r="E46" s="53" t="s">
        <v>3720</v>
      </c>
      <c r="F46" s="53"/>
      <c r="G46" s="53"/>
      <c r="H46" s="53"/>
      <c r="I46" s="53" t="s">
        <v>146</v>
      </c>
      <c r="J46" s="53" t="s">
        <v>478</v>
      </c>
      <c r="K46" s="53" t="s">
        <v>465</v>
      </c>
    </row>
    <row r="47" spans="1:11" ht="15" customHeight="1" x14ac:dyDescent="0.35">
      <c r="A47" s="53" t="s">
        <v>479</v>
      </c>
      <c r="B47" s="53" t="s">
        <v>38</v>
      </c>
      <c r="C47" s="53" t="s">
        <v>109</v>
      </c>
      <c r="D47" s="53" t="s">
        <v>3719</v>
      </c>
      <c r="E47" s="53" t="s">
        <v>3720</v>
      </c>
      <c r="F47" s="53"/>
      <c r="G47" s="53"/>
      <c r="H47" s="53"/>
      <c r="I47" s="53" t="s">
        <v>146</v>
      </c>
      <c r="J47" s="53" t="s">
        <v>480</v>
      </c>
      <c r="K47" s="53" t="s">
        <v>465</v>
      </c>
    </row>
    <row r="48" spans="1:11" ht="15" customHeight="1" x14ac:dyDescent="0.35">
      <c r="A48" s="53" t="s">
        <v>481</v>
      </c>
      <c r="B48" s="53" t="s">
        <v>38</v>
      </c>
      <c r="C48" s="53" t="s">
        <v>109</v>
      </c>
      <c r="D48" s="53" t="s">
        <v>3719</v>
      </c>
      <c r="E48" s="53" t="s">
        <v>3720</v>
      </c>
      <c r="F48" s="53"/>
      <c r="G48" s="53"/>
      <c r="H48" s="53"/>
      <c r="I48" s="53" t="s">
        <v>146</v>
      </c>
      <c r="J48" s="53" t="s">
        <v>482</v>
      </c>
      <c r="K48" s="53" t="s">
        <v>465</v>
      </c>
    </row>
    <row r="49" spans="1:11" ht="15" customHeight="1" x14ac:dyDescent="0.35">
      <c r="A49" s="53" t="s">
        <v>483</v>
      </c>
      <c r="B49" s="53" t="s">
        <v>38</v>
      </c>
      <c r="C49" s="53" t="s">
        <v>109</v>
      </c>
      <c r="D49" s="53" t="s">
        <v>3719</v>
      </c>
      <c r="E49" s="53" t="s">
        <v>3720</v>
      </c>
      <c r="F49" s="53"/>
      <c r="G49" s="53"/>
      <c r="H49" s="53"/>
      <c r="I49" s="53" t="s">
        <v>146</v>
      </c>
      <c r="J49" s="53" t="s">
        <v>484</v>
      </c>
      <c r="K49" s="53" t="s">
        <v>465</v>
      </c>
    </row>
    <row r="50" spans="1:11" ht="15" customHeight="1" x14ac:dyDescent="0.35">
      <c r="A50" s="53" t="s">
        <v>485</v>
      </c>
      <c r="B50" s="53" t="s">
        <v>38</v>
      </c>
      <c r="C50" s="53" t="s">
        <v>109</v>
      </c>
      <c r="D50" s="53" t="s">
        <v>3719</v>
      </c>
      <c r="E50" s="53" t="s">
        <v>3720</v>
      </c>
      <c r="F50" s="53"/>
      <c r="G50" s="53"/>
      <c r="H50" s="53"/>
      <c r="I50" s="53" t="s">
        <v>146</v>
      </c>
      <c r="J50" s="53" t="s">
        <v>486</v>
      </c>
      <c r="K50" s="53" t="s">
        <v>465</v>
      </c>
    </row>
    <row r="51" spans="1:11" ht="15" customHeight="1" x14ac:dyDescent="0.35">
      <c r="A51" s="53" t="s">
        <v>487</v>
      </c>
      <c r="B51" s="53" t="s">
        <v>38</v>
      </c>
      <c r="C51" s="53" t="s">
        <v>109</v>
      </c>
      <c r="D51" s="53" t="s">
        <v>3719</v>
      </c>
      <c r="E51" s="53" t="s">
        <v>3720</v>
      </c>
      <c r="F51" s="53"/>
      <c r="G51" s="53"/>
      <c r="H51" s="53"/>
      <c r="I51" s="53" t="s">
        <v>146</v>
      </c>
      <c r="J51" s="53" t="s">
        <v>488</v>
      </c>
      <c r="K51" s="53" t="s">
        <v>465</v>
      </c>
    </row>
    <row r="52" spans="1:11" ht="15" customHeight="1" x14ac:dyDescent="0.35">
      <c r="A52" s="53" t="s">
        <v>489</v>
      </c>
      <c r="B52" s="53" t="s">
        <v>38</v>
      </c>
      <c r="C52" s="53" t="s">
        <v>109</v>
      </c>
      <c r="D52" s="53" t="s">
        <v>3719</v>
      </c>
      <c r="E52" s="53" t="s">
        <v>3720</v>
      </c>
      <c r="F52" s="53"/>
      <c r="G52" s="53"/>
      <c r="H52" s="53"/>
      <c r="I52" s="53" t="s">
        <v>146</v>
      </c>
      <c r="J52" s="53" t="s">
        <v>490</v>
      </c>
      <c r="K52" s="53" t="s">
        <v>465</v>
      </c>
    </row>
    <row r="53" spans="1:11" ht="15" customHeight="1" x14ac:dyDescent="0.35">
      <c r="A53" s="53" t="s">
        <v>491</v>
      </c>
      <c r="B53" s="53" t="s">
        <v>38</v>
      </c>
      <c r="C53" s="53" t="s">
        <v>109</v>
      </c>
      <c r="D53" s="53" t="s">
        <v>3719</v>
      </c>
      <c r="E53" s="53" t="s">
        <v>3720</v>
      </c>
      <c r="F53" s="53"/>
      <c r="G53" s="53"/>
      <c r="H53" s="53"/>
      <c r="I53" s="53" t="s">
        <v>146</v>
      </c>
      <c r="J53" s="53" t="s">
        <v>492</v>
      </c>
      <c r="K53" s="53" t="s">
        <v>465</v>
      </c>
    </row>
    <row r="54" spans="1:11" ht="15" customHeight="1" x14ac:dyDescent="0.35">
      <c r="A54" s="53" t="s">
        <v>1311</v>
      </c>
      <c r="B54" s="53" t="s">
        <v>42</v>
      </c>
      <c r="C54" s="53" t="s">
        <v>101</v>
      </c>
      <c r="D54" s="53" t="s">
        <v>3721</v>
      </c>
      <c r="E54" s="53"/>
      <c r="F54" s="53" t="s">
        <v>1070</v>
      </c>
      <c r="G54" s="53"/>
      <c r="H54" s="53"/>
      <c r="I54" s="53" t="s">
        <v>3722</v>
      </c>
      <c r="J54" s="53" t="s">
        <v>3723</v>
      </c>
      <c r="K54" s="53" t="s">
        <v>896</v>
      </c>
    </row>
    <row r="55" spans="1:11" ht="15" customHeight="1" x14ac:dyDescent="0.35">
      <c r="A55" s="53" t="s">
        <v>1585</v>
      </c>
      <c r="B55" s="53" t="s">
        <v>42</v>
      </c>
      <c r="C55" s="53" t="s">
        <v>101</v>
      </c>
      <c r="D55" s="53" t="s">
        <v>3721</v>
      </c>
      <c r="E55" s="53"/>
      <c r="F55" s="53" t="s">
        <v>1070</v>
      </c>
      <c r="G55" s="53"/>
      <c r="H55" s="53"/>
      <c r="I55" s="53" t="s">
        <v>3722</v>
      </c>
      <c r="J55" s="53" t="s">
        <v>3724</v>
      </c>
      <c r="K55" s="53" t="s">
        <v>896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A1:M265"/>
  <sheetViews>
    <sheetView showGridLines="0" zoomScale="90" zoomScaleNormal="90" workbookViewId="0">
      <pane ySplit="1" topLeftCell="A248" activePane="bottomLeft" state="frozen"/>
      <selection pane="bottomLeft"/>
    </sheetView>
  </sheetViews>
  <sheetFormatPr baseColWidth="10" defaultColWidth="8.7265625" defaultRowHeight="14.5" x14ac:dyDescent="0.35"/>
  <cols>
    <col min="1" max="1" width="19" customWidth="1"/>
    <col min="2" max="2" width="32" customWidth="1"/>
    <col min="3" max="3" width="16" customWidth="1"/>
    <col min="4" max="4" width="22" customWidth="1"/>
    <col min="5" max="5" width="10" customWidth="1"/>
    <col min="6" max="6" width="17" customWidth="1"/>
    <col min="7" max="7" width="35" customWidth="1"/>
    <col min="8" max="9" width="10" customWidth="1"/>
    <col min="10" max="10" width="17" customWidth="1"/>
    <col min="11" max="11" width="28" customWidth="1"/>
    <col min="12" max="13" width="45" customWidth="1"/>
  </cols>
  <sheetData>
    <row r="1" spans="1:13" ht="15" customHeight="1" x14ac:dyDescent="0.35">
      <c r="A1" s="11" t="s">
        <v>3727</v>
      </c>
      <c r="B1" s="11" t="s">
        <v>3728</v>
      </c>
      <c r="C1" s="11" t="s">
        <v>3694</v>
      </c>
      <c r="D1" s="11" t="s">
        <v>35</v>
      </c>
      <c r="E1" s="11" t="s">
        <v>3695</v>
      </c>
      <c r="F1" s="11" t="s">
        <v>3705</v>
      </c>
      <c r="G1" s="11" t="s">
        <v>3706</v>
      </c>
      <c r="H1" s="11" t="s">
        <v>3729</v>
      </c>
      <c r="I1" s="11" t="s">
        <v>3708</v>
      </c>
      <c r="J1" s="11" t="s">
        <v>3709</v>
      </c>
      <c r="K1" s="11" t="s">
        <v>96</v>
      </c>
      <c r="L1" s="11" t="s">
        <v>99</v>
      </c>
      <c r="M1" s="11" t="s">
        <v>3730</v>
      </c>
    </row>
    <row r="2" spans="1:13" ht="15" customHeight="1" x14ac:dyDescent="0.35">
      <c r="A2" s="53" t="s">
        <v>144</v>
      </c>
      <c r="B2" s="53" t="s">
        <v>3731</v>
      </c>
      <c r="C2" s="53" t="s">
        <v>3732</v>
      </c>
      <c r="D2" s="53" t="s">
        <v>143</v>
      </c>
      <c r="E2" s="53" t="s">
        <v>109</v>
      </c>
      <c r="F2" s="53" t="s">
        <v>3733</v>
      </c>
      <c r="G2" s="53" t="s">
        <v>3734</v>
      </c>
      <c r="H2" s="53" t="s">
        <v>3735</v>
      </c>
      <c r="I2" s="54">
        <v>2017</v>
      </c>
      <c r="J2" s="53" t="s">
        <v>3736</v>
      </c>
      <c r="K2" s="53" t="s">
        <v>146</v>
      </c>
      <c r="L2" s="53" t="s">
        <v>149</v>
      </c>
      <c r="M2" s="53" t="s">
        <v>147</v>
      </c>
    </row>
    <row r="3" spans="1:13" ht="15" customHeight="1" x14ac:dyDescent="0.35">
      <c r="A3" s="53" t="s">
        <v>150</v>
      </c>
      <c r="B3" s="53" t="s">
        <v>150</v>
      </c>
      <c r="C3" s="53" t="s">
        <v>3701</v>
      </c>
      <c r="D3" s="53" t="s">
        <v>44</v>
      </c>
      <c r="E3" s="53" t="s">
        <v>109</v>
      </c>
      <c r="F3" s="53" t="s">
        <v>3712</v>
      </c>
      <c r="G3" s="53" t="s">
        <v>3713</v>
      </c>
      <c r="H3" s="53"/>
      <c r="I3" s="54">
        <v>2024</v>
      </c>
      <c r="J3" s="53"/>
      <c r="K3" s="53" t="s">
        <v>146</v>
      </c>
      <c r="L3" s="53" t="s">
        <v>153</v>
      </c>
      <c r="M3" s="53" t="s">
        <v>152</v>
      </c>
    </row>
    <row r="4" spans="1:13" ht="15" customHeight="1" x14ac:dyDescent="0.35">
      <c r="A4" s="53" t="s">
        <v>154</v>
      </c>
      <c r="B4" s="53" t="s">
        <v>154</v>
      </c>
      <c r="C4" s="53" t="s">
        <v>3701</v>
      </c>
      <c r="D4" s="53" t="s">
        <v>44</v>
      </c>
      <c r="E4" s="53" t="s">
        <v>109</v>
      </c>
      <c r="F4" s="53" t="s">
        <v>3712</v>
      </c>
      <c r="G4" s="53" t="s">
        <v>3713</v>
      </c>
      <c r="H4" s="53"/>
      <c r="I4" s="54">
        <v>2024</v>
      </c>
      <c r="J4" s="53"/>
      <c r="K4" s="53" t="s">
        <v>146</v>
      </c>
      <c r="L4" s="53" t="s">
        <v>155</v>
      </c>
      <c r="M4" s="53" t="s">
        <v>152</v>
      </c>
    </row>
    <row r="5" spans="1:13" ht="15" customHeight="1" x14ac:dyDescent="0.35">
      <c r="A5" s="53" t="s">
        <v>156</v>
      </c>
      <c r="B5" s="53" t="s">
        <v>156</v>
      </c>
      <c r="C5" s="53" t="s">
        <v>3701</v>
      </c>
      <c r="D5" s="53" t="s">
        <v>44</v>
      </c>
      <c r="E5" s="53" t="s">
        <v>109</v>
      </c>
      <c r="F5" s="53" t="s">
        <v>3712</v>
      </c>
      <c r="G5" s="53" t="s">
        <v>3713</v>
      </c>
      <c r="H5" s="53"/>
      <c r="I5" s="54">
        <v>2024</v>
      </c>
      <c r="J5" s="53"/>
      <c r="K5" s="53" t="s">
        <v>158</v>
      </c>
      <c r="L5" s="53" t="s">
        <v>159</v>
      </c>
      <c r="M5" s="53" t="s">
        <v>152</v>
      </c>
    </row>
    <row r="6" spans="1:13" ht="15" customHeight="1" x14ac:dyDescent="0.35">
      <c r="A6" s="53" t="s">
        <v>160</v>
      </c>
      <c r="B6" s="53" t="s">
        <v>160</v>
      </c>
      <c r="C6" s="53" t="s">
        <v>3701</v>
      </c>
      <c r="D6" s="53" t="s">
        <v>44</v>
      </c>
      <c r="E6" s="53" t="s">
        <v>109</v>
      </c>
      <c r="F6" s="53" t="s">
        <v>3712</v>
      </c>
      <c r="G6" s="53" t="s">
        <v>3713</v>
      </c>
      <c r="H6" s="53"/>
      <c r="I6" s="54">
        <v>2024</v>
      </c>
      <c r="J6" s="53"/>
      <c r="K6" s="53" t="s">
        <v>146</v>
      </c>
      <c r="L6" s="53" t="s">
        <v>161</v>
      </c>
      <c r="M6" s="53" t="s">
        <v>152</v>
      </c>
    </row>
    <row r="7" spans="1:13" ht="15" customHeight="1" x14ac:dyDescent="0.35">
      <c r="A7" s="53" t="s">
        <v>162</v>
      </c>
      <c r="B7" s="53" t="s">
        <v>162</v>
      </c>
      <c r="C7" s="53" t="s">
        <v>3701</v>
      </c>
      <c r="D7" s="53" t="s">
        <v>44</v>
      </c>
      <c r="E7" s="53" t="s">
        <v>109</v>
      </c>
      <c r="F7" s="53" t="s">
        <v>3712</v>
      </c>
      <c r="G7" s="53" t="s">
        <v>3713</v>
      </c>
      <c r="H7" s="53"/>
      <c r="I7" s="54">
        <v>2024</v>
      </c>
      <c r="J7" s="53"/>
      <c r="K7" s="53" t="s">
        <v>158</v>
      </c>
      <c r="L7" s="53" t="s">
        <v>159</v>
      </c>
      <c r="M7" s="53" t="s">
        <v>152</v>
      </c>
    </row>
    <row r="8" spans="1:13" ht="15" customHeight="1" x14ac:dyDescent="0.35">
      <c r="A8" s="53" t="s">
        <v>163</v>
      </c>
      <c r="B8" s="53" t="s">
        <v>163</v>
      </c>
      <c r="C8" s="53" t="s">
        <v>3701</v>
      </c>
      <c r="D8" s="53" t="s">
        <v>44</v>
      </c>
      <c r="E8" s="53" t="s">
        <v>109</v>
      </c>
      <c r="F8" s="53" t="s">
        <v>3712</v>
      </c>
      <c r="G8" s="53" t="s">
        <v>3713</v>
      </c>
      <c r="H8" s="53"/>
      <c r="I8" s="54">
        <v>2024</v>
      </c>
      <c r="J8" s="53"/>
      <c r="K8" s="53" t="s">
        <v>146</v>
      </c>
      <c r="L8" s="53" t="s">
        <v>164</v>
      </c>
      <c r="M8" s="53" t="s">
        <v>152</v>
      </c>
    </row>
    <row r="9" spans="1:13" ht="15" customHeight="1" x14ac:dyDescent="0.35">
      <c r="A9" s="53" t="s">
        <v>165</v>
      </c>
      <c r="B9" s="53" t="s">
        <v>165</v>
      </c>
      <c r="C9" s="53" t="s">
        <v>3701</v>
      </c>
      <c r="D9" s="53" t="s">
        <v>44</v>
      </c>
      <c r="E9" s="53" t="s">
        <v>109</v>
      </c>
      <c r="F9" s="53" t="s">
        <v>3712</v>
      </c>
      <c r="G9" s="53" t="s">
        <v>3713</v>
      </c>
      <c r="H9" s="53"/>
      <c r="I9" s="54">
        <v>2024</v>
      </c>
      <c r="J9" s="53"/>
      <c r="K9" s="53" t="s">
        <v>158</v>
      </c>
      <c r="L9" s="53" t="s">
        <v>159</v>
      </c>
      <c r="M9" s="53" t="s">
        <v>152</v>
      </c>
    </row>
    <row r="10" spans="1:13" ht="15" customHeight="1" x14ac:dyDescent="0.35">
      <c r="A10" s="53" t="s">
        <v>166</v>
      </c>
      <c r="B10" s="53" t="s">
        <v>166</v>
      </c>
      <c r="C10" s="53" t="s">
        <v>3701</v>
      </c>
      <c r="D10" s="53" t="s">
        <v>44</v>
      </c>
      <c r="E10" s="53" t="s">
        <v>109</v>
      </c>
      <c r="F10" s="53" t="s">
        <v>3712</v>
      </c>
      <c r="G10" s="53" t="s">
        <v>3713</v>
      </c>
      <c r="H10" s="53"/>
      <c r="I10" s="54">
        <v>2024</v>
      </c>
      <c r="J10" s="53"/>
      <c r="K10" s="53" t="s">
        <v>146</v>
      </c>
      <c r="L10" s="53" t="s">
        <v>167</v>
      </c>
      <c r="M10" s="53" t="s">
        <v>152</v>
      </c>
    </row>
    <row r="11" spans="1:13" ht="15" customHeight="1" x14ac:dyDescent="0.35">
      <c r="A11" s="53" t="s">
        <v>168</v>
      </c>
      <c r="B11" s="53" t="s">
        <v>168</v>
      </c>
      <c r="C11" s="53" t="s">
        <v>3701</v>
      </c>
      <c r="D11" s="53" t="s">
        <v>44</v>
      </c>
      <c r="E11" s="53" t="s">
        <v>109</v>
      </c>
      <c r="F11" s="53" t="s">
        <v>3712</v>
      </c>
      <c r="G11" s="53" t="s">
        <v>3713</v>
      </c>
      <c r="H11" s="53"/>
      <c r="I11" s="54">
        <v>2024</v>
      </c>
      <c r="J11" s="53"/>
      <c r="K11" s="53" t="s">
        <v>158</v>
      </c>
      <c r="L11" s="53" t="s">
        <v>159</v>
      </c>
      <c r="M11" s="53" t="s">
        <v>152</v>
      </c>
    </row>
    <row r="12" spans="1:13" ht="15" customHeight="1" x14ac:dyDescent="0.35">
      <c r="A12" s="53" t="s">
        <v>169</v>
      </c>
      <c r="B12" s="53" t="s">
        <v>169</v>
      </c>
      <c r="C12" s="53" t="s">
        <v>3701</v>
      </c>
      <c r="D12" s="53" t="s">
        <v>44</v>
      </c>
      <c r="E12" s="53" t="s">
        <v>109</v>
      </c>
      <c r="F12" s="53" t="s">
        <v>3712</v>
      </c>
      <c r="G12" s="53" t="s">
        <v>3713</v>
      </c>
      <c r="H12" s="53"/>
      <c r="I12" s="54">
        <v>2024</v>
      </c>
      <c r="J12" s="53"/>
      <c r="K12" s="53" t="s">
        <v>146</v>
      </c>
      <c r="L12" s="53" t="s">
        <v>170</v>
      </c>
      <c r="M12" s="53" t="s">
        <v>152</v>
      </c>
    </row>
    <row r="13" spans="1:13" ht="15" customHeight="1" x14ac:dyDescent="0.35">
      <c r="A13" s="53" t="s">
        <v>171</v>
      </c>
      <c r="B13" s="53" t="s">
        <v>171</v>
      </c>
      <c r="C13" s="53" t="s">
        <v>3701</v>
      </c>
      <c r="D13" s="53" t="s">
        <v>44</v>
      </c>
      <c r="E13" s="53" t="s">
        <v>109</v>
      </c>
      <c r="F13" s="53" t="s">
        <v>3712</v>
      </c>
      <c r="G13" s="53" t="s">
        <v>3713</v>
      </c>
      <c r="H13" s="53"/>
      <c r="I13" s="54">
        <v>2024</v>
      </c>
      <c r="J13" s="53"/>
      <c r="K13" s="53" t="s">
        <v>158</v>
      </c>
      <c r="L13" s="53" t="s">
        <v>159</v>
      </c>
      <c r="M13" s="53" t="s">
        <v>152</v>
      </c>
    </row>
    <row r="14" spans="1:13" ht="15" customHeight="1" x14ac:dyDescent="0.35">
      <c r="A14" s="53" t="s">
        <v>172</v>
      </c>
      <c r="B14" s="53" t="s">
        <v>172</v>
      </c>
      <c r="C14" s="53" t="s">
        <v>3701</v>
      </c>
      <c r="D14" s="53" t="s">
        <v>44</v>
      </c>
      <c r="E14" s="53" t="s">
        <v>109</v>
      </c>
      <c r="F14" s="53" t="s">
        <v>3712</v>
      </c>
      <c r="G14" s="53" t="s">
        <v>3713</v>
      </c>
      <c r="H14" s="53"/>
      <c r="I14" s="54">
        <v>2024</v>
      </c>
      <c r="J14" s="53"/>
      <c r="K14" s="53" t="s">
        <v>146</v>
      </c>
      <c r="L14" s="53" t="s">
        <v>173</v>
      </c>
      <c r="M14" s="53" t="s">
        <v>152</v>
      </c>
    </row>
    <row r="15" spans="1:13" ht="15" customHeight="1" x14ac:dyDescent="0.35">
      <c r="A15" s="53" t="s">
        <v>174</v>
      </c>
      <c r="B15" s="53" t="s">
        <v>174</v>
      </c>
      <c r="C15" s="53" t="s">
        <v>3701</v>
      </c>
      <c r="D15" s="53" t="s">
        <v>44</v>
      </c>
      <c r="E15" s="53" t="s">
        <v>109</v>
      </c>
      <c r="F15" s="53" t="s">
        <v>3712</v>
      </c>
      <c r="G15" s="53" t="s">
        <v>3713</v>
      </c>
      <c r="H15" s="53"/>
      <c r="I15" s="54">
        <v>2024</v>
      </c>
      <c r="J15" s="53"/>
      <c r="K15" s="53" t="s">
        <v>158</v>
      </c>
      <c r="L15" s="53" t="s">
        <v>159</v>
      </c>
      <c r="M15" s="53" t="s">
        <v>152</v>
      </c>
    </row>
    <row r="16" spans="1:13" ht="15" customHeight="1" x14ac:dyDescent="0.35">
      <c r="A16" s="53" t="s">
        <v>175</v>
      </c>
      <c r="B16" s="53" t="s">
        <v>175</v>
      </c>
      <c r="C16" s="53" t="s">
        <v>3701</v>
      </c>
      <c r="D16" s="53" t="s">
        <v>44</v>
      </c>
      <c r="E16" s="53" t="s">
        <v>109</v>
      </c>
      <c r="F16" s="53" t="s">
        <v>3712</v>
      </c>
      <c r="G16" s="53" t="s">
        <v>3713</v>
      </c>
      <c r="H16" s="53"/>
      <c r="I16" s="54">
        <v>2024</v>
      </c>
      <c r="J16" s="53"/>
      <c r="K16" s="53" t="s">
        <v>146</v>
      </c>
      <c r="L16" s="53" t="s">
        <v>176</v>
      </c>
      <c r="M16" s="53" t="s">
        <v>152</v>
      </c>
    </row>
    <row r="17" spans="1:13" ht="15" customHeight="1" x14ac:dyDescent="0.35">
      <c r="A17" s="53" t="s">
        <v>177</v>
      </c>
      <c r="B17" s="53" t="s">
        <v>177</v>
      </c>
      <c r="C17" s="53" t="s">
        <v>3701</v>
      </c>
      <c r="D17" s="53" t="s">
        <v>44</v>
      </c>
      <c r="E17" s="53" t="s">
        <v>109</v>
      </c>
      <c r="F17" s="53" t="s">
        <v>3712</v>
      </c>
      <c r="G17" s="53" t="s">
        <v>3713</v>
      </c>
      <c r="H17" s="53"/>
      <c r="I17" s="54">
        <v>2024</v>
      </c>
      <c r="J17" s="53"/>
      <c r="K17" s="53" t="s">
        <v>146</v>
      </c>
      <c r="L17" s="53" t="s">
        <v>178</v>
      </c>
      <c r="M17" s="53" t="s">
        <v>152</v>
      </c>
    </row>
    <row r="18" spans="1:13" ht="15" customHeight="1" x14ac:dyDescent="0.35">
      <c r="A18" s="53" t="s">
        <v>179</v>
      </c>
      <c r="B18" s="53" t="s">
        <v>179</v>
      </c>
      <c r="C18" s="53" t="s">
        <v>3701</v>
      </c>
      <c r="D18" s="53" t="s">
        <v>44</v>
      </c>
      <c r="E18" s="53" t="s">
        <v>109</v>
      </c>
      <c r="F18" s="53" t="s">
        <v>3712</v>
      </c>
      <c r="G18" s="53" t="s">
        <v>3713</v>
      </c>
      <c r="H18" s="53"/>
      <c r="I18" s="54">
        <v>2024</v>
      </c>
      <c r="J18" s="53"/>
      <c r="K18" s="53" t="s">
        <v>146</v>
      </c>
      <c r="L18" s="53" t="s">
        <v>180</v>
      </c>
      <c r="M18" s="53" t="s">
        <v>152</v>
      </c>
    </row>
    <row r="19" spans="1:13" ht="15" customHeight="1" x14ac:dyDescent="0.35">
      <c r="A19" s="53" t="s">
        <v>181</v>
      </c>
      <c r="B19" s="53" t="s">
        <v>181</v>
      </c>
      <c r="C19" s="53" t="s">
        <v>3701</v>
      </c>
      <c r="D19" s="53" t="s">
        <v>44</v>
      </c>
      <c r="E19" s="53" t="s">
        <v>109</v>
      </c>
      <c r="F19" s="53" t="s">
        <v>3712</v>
      </c>
      <c r="G19" s="53" t="s">
        <v>3713</v>
      </c>
      <c r="H19" s="53"/>
      <c r="I19" s="54">
        <v>2024</v>
      </c>
      <c r="J19" s="53"/>
      <c r="K19" s="53" t="s">
        <v>146</v>
      </c>
      <c r="L19" s="53" t="s">
        <v>182</v>
      </c>
      <c r="M19" s="53" t="s">
        <v>152</v>
      </c>
    </row>
    <row r="20" spans="1:13" ht="15" customHeight="1" x14ac:dyDescent="0.35">
      <c r="A20" s="53" t="s">
        <v>183</v>
      </c>
      <c r="B20" s="53" t="s">
        <v>183</v>
      </c>
      <c r="C20" s="53" t="s">
        <v>3701</v>
      </c>
      <c r="D20" s="53" t="s">
        <v>44</v>
      </c>
      <c r="E20" s="53" t="s">
        <v>109</v>
      </c>
      <c r="F20" s="53" t="s">
        <v>3712</v>
      </c>
      <c r="G20" s="53" t="s">
        <v>3713</v>
      </c>
      <c r="H20" s="53"/>
      <c r="I20" s="54">
        <v>2024</v>
      </c>
      <c r="J20" s="53"/>
      <c r="K20" s="53" t="s">
        <v>146</v>
      </c>
      <c r="L20" s="53" t="s">
        <v>184</v>
      </c>
      <c r="M20" s="53" t="s">
        <v>152</v>
      </c>
    </row>
    <row r="21" spans="1:13" ht="15" customHeight="1" x14ac:dyDescent="0.35">
      <c r="A21" s="53" t="s">
        <v>185</v>
      </c>
      <c r="B21" s="53" t="s">
        <v>185</v>
      </c>
      <c r="C21" s="53" t="s">
        <v>3701</v>
      </c>
      <c r="D21" s="53" t="s">
        <v>44</v>
      </c>
      <c r="E21" s="53" t="s">
        <v>109</v>
      </c>
      <c r="F21" s="53" t="s">
        <v>3712</v>
      </c>
      <c r="G21" s="53" t="s">
        <v>3713</v>
      </c>
      <c r="H21" s="53"/>
      <c r="I21" s="54">
        <v>2024</v>
      </c>
      <c r="J21" s="53"/>
      <c r="K21" s="53" t="s">
        <v>146</v>
      </c>
      <c r="L21" s="53" t="s">
        <v>186</v>
      </c>
      <c r="M21" s="53" t="s">
        <v>152</v>
      </c>
    </row>
    <row r="22" spans="1:13" ht="15" customHeight="1" x14ac:dyDescent="0.35">
      <c r="A22" s="53" t="s">
        <v>187</v>
      </c>
      <c r="B22" s="53" t="s">
        <v>187</v>
      </c>
      <c r="C22" s="53" t="s">
        <v>3701</v>
      </c>
      <c r="D22" s="53" t="s">
        <v>44</v>
      </c>
      <c r="E22" s="53" t="s">
        <v>109</v>
      </c>
      <c r="F22" s="53" t="s">
        <v>3712</v>
      </c>
      <c r="G22" s="53" t="s">
        <v>3713</v>
      </c>
      <c r="H22" s="53"/>
      <c r="I22" s="54">
        <v>2024</v>
      </c>
      <c r="J22" s="53"/>
      <c r="K22" s="53" t="s">
        <v>158</v>
      </c>
      <c r="L22" s="53" t="s">
        <v>188</v>
      </c>
      <c r="M22" s="53" t="s">
        <v>152</v>
      </c>
    </row>
    <row r="23" spans="1:13" ht="15" customHeight="1" x14ac:dyDescent="0.35">
      <c r="A23" s="53" t="s">
        <v>189</v>
      </c>
      <c r="B23" s="53" t="s">
        <v>189</v>
      </c>
      <c r="C23" s="53" t="s">
        <v>3701</v>
      </c>
      <c r="D23" s="53" t="s">
        <v>44</v>
      </c>
      <c r="E23" s="53" t="s">
        <v>109</v>
      </c>
      <c r="F23" s="53" t="s">
        <v>3712</v>
      </c>
      <c r="G23" s="53" t="s">
        <v>3713</v>
      </c>
      <c r="H23" s="53"/>
      <c r="I23" s="54">
        <v>2024</v>
      </c>
      <c r="J23" s="53"/>
      <c r="K23" s="53" t="s">
        <v>146</v>
      </c>
      <c r="L23" s="53" t="s">
        <v>190</v>
      </c>
      <c r="M23" s="53" t="s">
        <v>152</v>
      </c>
    </row>
    <row r="24" spans="1:13" ht="15" customHeight="1" x14ac:dyDescent="0.35">
      <c r="A24" s="53" t="s">
        <v>191</v>
      </c>
      <c r="B24" s="53" t="s">
        <v>3737</v>
      </c>
      <c r="C24" s="53" t="s">
        <v>3732</v>
      </c>
      <c r="D24" s="53" t="s">
        <v>143</v>
      </c>
      <c r="E24" s="53" t="s">
        <v>109</v>
      </c>
      <c r="F24" s="53" t="s">
        <v>3733</v>
      </c>
      <c r="G24" s="53" t="s">
        <v>3734</v>
      </c>
      <c r="H24" s="53" t="s">
        <v>3735</v>
      </c>
      <c r="I24" s="54">
        <v>1999</v>
      </c>
      <c r="J24" s="53" t="s">
        <v>3736</v>
      </c>
      <c r="K24" s="53" t="s">
        <v>146</v>
      </c>
      <c r="L24" s="53" t="s">
        <v>192</v>
      </c>
      <c r="M24" s="53" t="s">
        <v>147</v>
      </c>
    </row>
    <row r="25" spans="1:13" ht="15" customHeight="1" x14ac:dyDescent="0.35">
      <c r="A25" s="53" t="s">
        <v>193</v>
      </c>
      <c r="B25" s="53" t="s">
        <v>3738</v>
      </c>
      <c r="C25" s="53" t="s">
        <v>3732</v>
      </c>
      <c r="D25" s="53" t="s">
        <v>143</v>
      </c>
      <c r="E25" s="53" t="s">
        <v>109</v>
      </c>
      <c r="F25" s="53" t="s">
        <v>3733</v>
      </c>
      <c r="G25" s="53" t="s">
        <v>3734</v>
      </c>
      <c r="H25" s="53" t="s">
        <v>3735</v>
      </c>
      <c r="I25" s="54">
        <v>1999</v>
      </c>
      <c r="J25" s="53" t="s">
        <v>3736</v>
      </c>
      <c r="K25" s="53" t="s">
        <v>146</v>
      </c>
      <c r="L25" s="53" t="s">
        <v>194</v>
      </c>
      <c r="M25" s="53" t="s">
        <v>147</v>
      </c>
    </row>
    <row r="26" spans="1:13" ht="15" customHeight="1" x14ac:dyDescent="0.35">
      <c r="A26" s="53" t="s">
        <v>195</v>
      </c>
      <c r="B26" s="53" t="s">
        <v>3739</v>
      </c>
      <c r="C26" s="53" t="s">
        <v>3732</v>
      </c>
      <c r="D26" s="53" t="s">
        <v>143</v>
      </c>
      <c r="E26" s="53" t="s">
        <v>109</v>
      </c>
      <c r="F26" s="53" t="s">
        <v>3733</v>
      </c>
      <c r="G26" s="53" t="s">
        <v>3734</v>
      </c>
      <c r="H26" s="53" t="s">
        <v>3735</v>
      </c>
      <c r="I26" s="54">
        <v>1999</v>
      </c>
      <c r="J26" s="53" t="s">
        <v>3736</v>
      </c>
      <c r="K26" s="53" t="s">
        <v>146</v>
      </c>
      <c r="L26" s="53" t="s">
        <v>192</v>
      </c>
      <c r="M26" s="53" t="s">
        <v>147</v>
      </c>
    </row>
    <row r="27" spans="1:13" ht="15" customHeight="1" x14ac:dyDescent="0.35">
      <c r="A27" s="53" t="s">
        <v>196</v>
      </c>
      <c r="B27" s="53" t="s">
        <v>3740</v>
      </c>
      <c r="C27" s="53" t="s">
        <v>3732</v>
      </c>
      <c r="D27" s="53" t="s">
        <v>143</v>
      </c>
      <c r="E27" s="53" t="s">
        <v>109</v>
      </c>
      <c r="F27" s="53" t="s">
        <v>3733</v>
      </c>
      <c r="G27" s="53" t="s">
        <v>3734</v>
      </c>
      <c r="H27" s="53" t="s">
        <v>3735</v>
      </c>
      <c r="I27" s="54">
        <v>1999</v>
      </c>
      <c r="J27" s="53" t="s">
        <v>3736</v>
      </c>
      <c r="K27" s="53" t="s">
        <v>146</v>
      </c>
      <c r="L27" s="53" t="s">
        <v>197</v>
      </c>
      <c r="M27" s="53" t="s">
        <v>147</v>
      </c>
    </row>
    <row r="28" spans="1:13" ht="15" customHeight="1" x14ac:dyDescent="0.35">
      <c r="A28" s="53" t="s">
        <v>198</v>
      </c>
      <c r="B28" s="53" t="s">
        <v>3741</v>
      </c>
      <c r="C28" s="53" t="s">
        <v>3732</v>
      </c>
      <c r="D28" s="53" t="s">
        <v>143</v>
      </c>
      <c r="E28" s="53" t="s">
        <v>109</v>
      </c>
      <c r="F28" s="53" t="s">
        <v>3733</v>
      </c>
      <c r="G28" s="53" t="s">
        <v>3734</v>
      </c>
      <c r="H28" s="53" t="s">
        <v>3735</v>
      </c>
      <c r="I28" s="54">
        <v>1999</v>
      </c>
      <c r="J28" s="53" t="s">
        <v>3736</v>
      </c>
      <c r="K28" s="53" t="s">
        <v>146</v>
      </c>
      <c r="L28" s="53" t="s">
        <v>199</v>
      </c>
      <c r="M28" s="53" t="s">
        <v>147</v>
      </c>
    </row>
    <row r="29" spans="1:13" ht="15" customHeight="1" x14ac:dyDescent="0.35">
      <c r="A29" s="53" t="s">
        <v>200</v>
      </c>
      <c r="B29" s="53" t="s">
        <v>3742</v>
      </c>
      <c r="C29" s="53" t="s">
        <v>3732</v>
      </c>
      <c r="D29" s="53" t="s">
        <v>143</v>
      </c>
      <c r="E29" s="53" t="s">
        <v>109</v>
      </c>
      <c r="F29" s="53" t="s">
        <v>3733</v>
      </c>
      <c r="G29" s="53" t="s">
        <v>3734</v>
      </c>
      <c r="H29" s="53" t="s">
        <v>3735</v>
      </c>
      <c r="I29" s="54">
        <v>1999</v>
      </c>
      <c r="J29" s="53" t="s">
        <v>3736</v>
      </c>
      <c r="K29" s="53" t="s">
        <v>146</v>
      </c>
      <c r="L29" s="53" t="s">
        <v>201</v>
      </c>
      <c r="M29" s="53" t="s">
        <v>147</v>
      </c>
    </row>
    <row r="30" spans="1:13" ht="15" customHeight="1" x14ac:dyDescent="0.35">
      <c r="A30" s="53" t="s">
        <v>202</v>
      </c>
      <c r="B30" s="53" t="s">
        <v>3743</v>
      </c>
      <c r="C30" s="53" t="s">
        <v>3732</v>
      </c>
      <c r="D30" s="53" t="s">
        <v>143</v>
      </c>
      <c r="E30" s="53" t="s">
        <v>109</v>
      </c>
      <c r="F30" s="53" t="s">
        <v>3733</v>
      </c>
      <c r="G30" s="53" t="s">
        <v>3734</v>
      </c>
      <c r="H30" s="53" t="s">
        <v>3735</v>
      </c>
      <c r="I30" s="54">
        <v>1999</v>
      </c>
      <c r="J30" s="53" t="s">
        <v>3736</v>
      </c>
      <c r="K30" s="53" t="s">
        <v>146</v>
      </c>
      <c r="L30" s="53" t="s">
        <v>203</v>
      </c>
      <c r="M30" s="53" t="s">
        <v>147</v>
      </c>
    </row>
    <row r="31" spans="1:13" ht="15" customHeight="1" x14ac:dyDescent="0.35">
      <c r="A31" s="53" t="s">
        <v>204</v>
      </c>
      <c r="B31" s="53" t="s">
        <v>3744</v>
      </c>
      <c r="C31" s="53" t="s">
        <v>3732</v>
      </c>
      <c r="D31" s="53" t="s">
        <v>143</v>
      </c>
      <c r="E31" s="53" t="s">
        <v>109</v>
      </c>
      <c r="F31" s="53" t="s">
        <v>3733</v>
      </c>
      <c r="G31" s="53" t="s">
        <v>3734</v>
      </c>
      <c r="H31" s="53" t="s">
        <v>3735</v>
      </c>
      <c r="I31" s="54">
        <v>1999</v>
      </c>
      <c r="J31" s="53" t="s">
        <v>3736</v>
      </c>
      <c r="K31" s="53" t="s">
        <v>146</v>
      </c>
      <c r="L31" s="53" t="s">
        <v>205</v>
      </c>
      <c r="M31" s="53" t="s">
        <v>147</v>
      </c>
    </row>
    <row r="32" spans="1:13" ht="15" customHeight="1" x14ac:dyDescent="0.35">
      <c r="A32" s="53" t="s">
        <v>206</v>
      </c>
      <c r="B32" s="53" t="s">
        <v>3745</v>
      </c>
      <c r="C32" s="53" t="s">
        <v>3732</v>
      </c>
      <c r="D32" s="53" t="s">
        <v>143</v>
      </c>
      <c r="E32" s="53" t="s">
        <v>109</v>
      </c>
      <c r="F32" s="53" t="s">
        <v>3733</v>
      </c>
      <c r="G32" s="53" t="s">
        <v>3734</v>
      </c>
      <c r="H32" s="53" t="s">
        <v>3735</v>
      </c>
      <c r="I32" s="54">
        <v>1999</v>
      </c>
      <c r="J32" s="53" t="s">
        <v>3736</v>
      </c>
      <c r="K32" s="53" t="s">
        <v>146</v>
      </c>
      <c r="L32" s="53" t="s">
        <v>207</v>
      </c>
      <c r="M32" s="53" t="s">
        <v>147</v>
      </c>
    </row>
    <row r="33" spans="1:13" ht="15" customHeight="1" x14ac:dyDescent="0.35">
      <c r="A33" s="53" t="s">
        <v>208</v>
      </c>
      <c r="B33" s="53" t="s">
        <v>3746</v>
      </c>
      <c r="C33" s="53" t="s">
        <v>3732</v>
      </c>
      <c r="D33" s="53" t="s">
        <v>143</v>
      </c>
      <c r="E33" s="53" t="s">
        <v>109</v>
      </c>
      <c r="F33" s="53" t="s">
        <v>3733</v>
      </c>
      <c r="G33" s="53" t="s">
        <v>3734</v>
      </c>
      <c r="H33" s="53" t="s">
        <v>3735</v>
      </c>
      <c r="I33" s="54">
        <v>1999</v>
      </c>
      <c r="J33" s="53" t="s">
        <v>3747</v>
      </c>
      <c r="K33" s="53" t="s">
        <v>146</v>
      </c>
      <c r="L33" s="53" t="s">
        <v>209</v>
      </c>
      <c r="M33" s="53" t="s">
        <v>147</v>
      </c>
    </row>
    <row r="34" spans="1:13" ht="15" customHeight="1" x14ac:dyDescent="0.35">
      <c r="A34" s="53" t="s">
        <v>210</v>
      </c>
      <c r="B34" s="53" t="s">
        <v>3748</v>
      </c>
      <c r="C34" s="53" t="s">
        <v>3732</v>
      </c>
      <c r="D34" s="53" t="s">
        <v>143</v>
      </c>
      <c r="E34" s="53" t="s">
        <v>109</v>
      </c>
      <c r="F34" s="53" t="s">
        <v>3733</v>
      </c>
      <c r="G34" s="53" t="s">
        <v>3749</v>
      </c>
      <c r="H34" s="53" t="s">
        <v>3735</v>
      </c>
      <c r="I34" s="54">
        <v>1999</v>
      </c>
      <c r="J34" s="53" t="s">
        <v>3736</v>
      </c>
      <c r="K34" s="53" t="s">
        <v>146</v>
      </c>
      <c r="L34" s="53" t="s">
        <v>211</v>
      </c>
      <c r="M34" s="53" t="s">
        <v>147</v>
      </c>
    </row>
    <row r="35" spans="1:13" ht="15" customHeight="1" x14ac:dyDescent="0.35">
      <c r="A35" s="53" t="s">
        <v>212</v>
      </c>
      <c r="B35" s="53" t="s">
        <v>3750</v>
      </c>
      <c r="C35" s="53" t="s">
        <v>3732</v>
      </c>
      <c r="D35" s="53" t="s">
        <v>143</v>
      </c>
      <c r="E35" s="53" t="s">
        <v>109</v>
      </c>
      <c r="F35" s="53" t="s">
        <v>3733</v>
      </c>
      <c r="G35" s="53" t="s">
        <v>3734</v>
      </c>
      <c r="H35" s="53" t="s">
        <v>3735</v>
      </c>
      <c r="I35" s="54">
        <v>1999</v>
      </c>
      <c r="J35" s="53" t="s">
        <v>3736</v>
      </c>
      <c r="K35" s="53" t="s">
        <v>146</v>
      </c>
      <c r="L35" s="53" t="s">
        <v>213</v>
      </c>
      <c r="M35" s="53" t="s">
        <v>147</v>
      </c>
    </row>
    <row r="36" spans="1:13" ht="15" customHeight="1" x14ac:dyDescent="0.35">
      <c r="A36" s="53" t="s">
        <v>214</v>
      </c>
      <c r="B36" s="53" t="s">
        <v>3751</v>
      </c>
      <c r="C36" s="53" t="s">
        <v>3732</v>
      </c>
      <c r="D36" s="53" t="s">
        <v>143</v>
      </c>
      <c r="E36" s="53" t="s">
        <v>109</v>
      </c>
      <c r="F36" s="53" t="s">
        <v>3733</v>
      </c>
      <c r="G36" s="53" t="s">
        <v>3734</v>
      </c>
      <c r="H36" s="53" t="s">
        <v>3735</v>
      </c>
      <c r="I36" s="54">
        <v>1999</v>
      </c>
      <c r="J36" s="53" t="s">
        <v>3736</v>
      </c>
      <c r="K36" s="53" t="s">
        <v>146</v>
      </c>
      <c r="L36" s="53" t="s">
        <v>215</v>
      </c>
      <c r="M36" s="53" t="s">
        <v>147</v>
      </c>
    </row>
    <row r="37" spans="1:13" ht="15" customHeight="1" x14ac:dyDescent="0.35">
      <c r="A37" s="53" t="s">
        <v>216</v>
      </c>
      <c r="B37" s="53" t="s">
        <v>3752</v>
      </c>
      <c r="C37" s="53" t="s">
        <v>3732</v>
      </c>
      <c r="D37" s="53" t="s">
        <v>143</v>
      </c>
      <c r="E37" s="53" t="s">
        <v>109</v>
      </c>
      <c r="F37" s="53" t="s">
        <v>3733</v>
      </c>
      <c r="G37" s="53"/>
      <c r="H37" s="53" t="s">
        <v>3735</v>
      </c>
      <c r="I37" s="54">
        <v>1999</v>
      </c>
      <c r="J37" s="53" t="s">
        <v>3736</v>
      </c>
      <c r="K37" s="53" t="s">
        <v>146</v>
      </c>
      <c r="L37" s="53" t="s">
        <v>217</v>
      </c>
      <c r="M37" s="53" t="s">
        <v>147</v>
      </c>
    </row>
    <row r="38" spans="1:13" ht="15" customHeight="1" x14ac:dyDescent="0.35">
      <c r="A38" s="53" t="s">
        <v>218</v>
      </c>
      <c r="B38" s="53" t="s">
        <v>3753</v>
      </c>
      <c r="C38" s="53" t="s">
        <v>3732</v>
      </c>
      <c r="D38" s="53" t="s">
        <v>143</v>
      </c>
      <c r="E38" s="53" t="s">
        <v>109</v>
      </c>
      <c r="F38" s="53" t="s">
        <v>3733</v>
      </c>
      <c r="G38" s="53" t="s">
        <v>3734</v>
      </c>
      <c r="H38" s="53" t="s">
        <v>3735</v>
      </c>
      <c r="I38" s="54">
        <v>1999</v>
      </c>
      <c r="J38" s="53" t="s">
        <v>3754</v>
      </c>
      <c r="K38" s="53" t="s">
        <v>146</v>
      </c>
      <c r="L38" s="53" t="s">
        <v>219</v>
      </c>
      <c r="M38" s="53" t="s">
        <v>147</v>
      </c>
    </row>
    <row r="39" spans="1:13" ht="15" customHeight="1" x14ac:dyDescent="0.35">
      <c r="A39" s="53" t="s">
        <v>220</v>
      </c>
      <c r="B39" s="53" t="s">
        <v>3755</v>
      </c>
      <c r="C39" s="53" t="s">
        <v>3732</v>
      </c>
      <c r="D39" s="53" t="s">
        <v>143</v>
      </c>
      <c r="E39" s="53" t="s">
        <v>109</v>
      </c>
      <c r="F39" s="53" t="s">
        <v>3733</v>
      </c>
      <c r="G39" s="53" t="s">
        <v>3734</v>
      </c>
      <c r="H39" s="53" t="s">
        <v>3735</v>
      </c>
      <c r="I39" s="54">
        <v>1999</v>
      </c>
      <c r="J39" s="53" t="s">
        <v>3747</v>
      </c>
      <c r="K39" s="53" t="s">
        <v>146</v>
      </c>
      <c r="L39" s="53" t="s">
        <v>221</v>
      </c>
      <c r="M39" s="53" t="s">
        <v>147</v>
      </c>
    </row>
    <row r="40" spans="1:13" ht="15" customHeight="1" x14ac:dyDescent="0.35">
      <c r="A40" s="53" t="s">
        <v>222</v>
      </c>
      <c r="B40" s="53" t="s">
        <v>3756</v>
      </c>
      <c r="C40" s="53" t="s">
        <v>3732</v>
      </c>
      <c r="D40" s="53" t="s">
        <v>143</v>
      </c>
      <c r="E40" s="53" t="s">
        <v>109</v>
      </c>
      <c r="F40" s="53" t="s">
        <v>3733</v>
      </c>
      <c r="G40" s="53" t="s">
        <v>3734</v>
      </c>
      <c r="H40" s="53" t="s">
        <v>3735</v>
      </c>
      <c r="I40" s="54">
        <v>1999</v>
      </c>
      <c r="J40" s="53" t="s">
        <v>3736</v>
      </c>
      <c r="K40" s="53" t="s">
        <v>146</v>
      </c>
      <c r="L40" s="53" t="s">
        <v>223</v>
      </c>
      <c r="M40" s="53" t="s">
        <v>147</v>
      </c>
    </row>
    <row r="41" spans="1:13" ht="15" customHeight="1" x14ac:dyDescent="0.35">
      <c r="A41" s="53" t="s">
        <v>224</v>
      </c>
      <c r="B41" s="53" t="s">
        <v>3757</v>
      </c>
      <c r="C41" s="53" t="s">
        <v>3732</v>
      </c>
      <c r="D41" s="53" t="s">
        <v>143</v>
      </c>
      <c r="E41" s="53" t="s">
        <v>109</v>
      </c>
      <c r="F41" s="53" t="s">
        <v>3733</v>
      </c>
      <c r="G41" s="53" t="s">
        <v>3734</v>
      </c>
      <c r="H41" s="53" t="s">
        <v>3735</v>
      </c>
      <c r="I41" s="54">
        <v>1999</v>
      </c>
      <c r="J41" s="53" t="s">
        <v>3736</v>
      </c>
      <c r="K41" s="53" t="s">
        <v>146</v>
      </c>
      <c r="L41" s="53" t="s">
        <v>225</v>
      </c>
      <c r="M41" s="53" t="s">
        <v>147</v>
      </c>
    </row>
    <row r="42" spans="1:13" ht="15" customHeight="1" x14ac:dyDescent="0.35">
      <c r="A42" s="53" t="s">
        <v>226</v>
      </c>
      <c r="B42" s="53" t="s">
        <v>3758</v>
      </c>
      <c r="C42" s="53" t="s">
        <v>3732</v>
      </c>
      <c r="D42" s="53" t="s">
        <v>143</v>
      </c>
      <c r="E42" s="53" t="s">
        <v>109</v>
      </c>
      <c r="F42" s="53" t="s">
        <v>3733</v>
      </c>
      <c r="G42" s="53" t="s">
        <v>3734</v>
      </c>
      <c r="H42" s="53" t="s">
        <v>3735</v>
      </c>
      <c r="I42" s="54">
        <v>1999</v>
      </c>
      <c r="J42" s="53" t="s">
        <v>3736</v>
      </c>
      <c r="K42" s="53" t="s">
        <v>146</v>
      </c>
      <c r="L42" s="53" t="s">
        <v>227</v>
      </c>
      <c r="M42" s="53" t="s">
        <v>147</v>
      </c>
    </row>
    <row r="43" spans="1:13" ht="15" customHeight="1" x14ac:dyDescent="0.35">
      <c r="A43" s="53" t="s">
        <v>228</v>
      </c>
      <c r="B43" s="53" t="s">
        <v>3759</v>
      </c>
      <c r="C43" s="53" t="s">
        <v>3732</v>
      </c>
      <c r="D43" s="53" t="s">
        <v>143</v>
      </c>
      <c r="E43" s="53" t="s">
        <v>109</v>
      </c>
      <c r="F43" s="53" t="s">
        <v>3733</v>
      </c>
      <c r="G43" s="53" t="s">
        <v>3734</v>
      </c>
      <c r="H43" s="53" t="s">
        <v>3735</v>
      </c>
      <c r="I43" s="54">
        <v>1999</v>
      </c>
      <c r="J43" s="53" t="s">
        <v>3736</v>
      </c>
      <c r="K43" s="53" t="s">
        <v>146</v>
      </c>
      <c r="L43" s="53" t="s">
        <v>229</v>
      </c>
      <c r="M43" s="53" t="s">
        <v>147</v>
      </c>
    </row>
    <row r="44" spans="1:13" ht="15" customHeight="1" x14ac:dyDescent="0.35">
      <c r="A44" s="53" t="s">
        <v>230</v>
      </c>
      <c r="B44" s="53" t="s">
        <v>3760</v>
      </c>
      <c r="C44" s="53" t="s">
        <v>3732</v>
      </c>
      <c r="D44" s="53" t="s">
        <v>143</v>
      </c>
      <c r="E44" s="53" t="s">
        <v>109</v>
      </c>
      <c r="F44" s="53" t="s">
        <v>3733</v>
      </c>
      <c r="G44" s="53" t="s">
        <v>3734</v>
      </c>
      <c r="H44" s="53" t="s">
        <v>3735</v>
      </c>
      <c r="I44" s="54">
        <v>1999</v>
      </c>
      <c r="J44" s="53" t="s">
        <v>3736</v>
      </c>
      <c r="K44" s="53" t="s">
        <v>146</v>
      </c>
      <c r="L44" s="53" t="s">
        <v>231</v>
      </c>
      <c r="M44" s="53" t="s">
        <v>147</v>
      </c>
    </row>
    <row r="45" spans="1:13" ht="15" customHeight="1" x14ac:dyDescent="0.35">
      <c r="A45" s="53" t="s">
        <v>232</v>
      </c>
      <c r="B45" s="53" t="s">
        <v>3761</v>
      </c>
      <c r="C45" s="53" t="s">
        <v>3732</v>
      </c>
      <c r="D45" s="53" t="s">
        <v>143</v>
      </c>
      <c r="E45" s="53" t="s">
        <v>109</v>
      </c>
      <c r="F45" s="53" t="s">
        <v>3733</v>
      </c>
      <c r="G45" s="53" t="s">
        <v>3734</v>
      </c>
      <c r="H45" s="53" t="s">
        <v>3735</v>
      </c>
      <c r="I45" s="54">
        <v>1999</v>
      </c>
      <c r="J45" s="53" t="s">
        <v>3736</v>
      </c>
      <c r="K45" s="53" t="s">
        <v>146</v>
      </c>
      <c r="L45" s="53" t="s">
        <v>233</v>
      </c>
      <c r="M45" s="53" t="s">
        <v>147</v>
      </c>
    </row>
    <row r="46" spans="1:13" ht="15" customHeight="1" x14ac:dyDescent="0.35">
      <c r="A46" s="53" t="s">
        <v>234</v>
      </c>
      <c r="B46" s="53" t="s">
        <v>3762</v>
      </c>
      <c r="C46" s="53" t="s">
        <v>3732</v>
      </c>
      <c r="D46" s="53" t="s">
        <v>143</v>
      </c>
      <c r="E46" s="53" t="s">
        <v>109</v>
      </c>
      <c r="F46" s="53" t="s">
        <v>3733</v>
      </c>
      <c r="G46" s="53" t="s">
        <v>3734</v>
      </c>
      <c r="H46" s="53" t="s">
        <v>3735</v>
      </c>
      <c r="I46" s="54">
        <v>1999</v>
      </c>
      <c r="J46" s="53" t="s">
        <v>3736</v>
      </c>
      <c r="K46" s="53" t="s">
        <v>146</v>
      </c>
      <c r="L46" s="53" t="s">
        <v>235</v>
      </c>
      <c r="M46" s="53" t="s">
        <v>147</v>
      </c>
    </row>
    <row r="47" spans="1:13" ht="15" customHeight="1" x14ac:dyDescent="0.35">
      <c r="A47" s="53" t="s">
        <v>236</v>
      </c>
      <c r="B47" s="53" t="s">
        <v>3763</v>
      </c>
      <c r="C47" s="53" t="s">
        <v>3732</v>
      </c>
      <c r="D47" s="53" t="s">
        <v>143</v>
      </c>
      <c r="E47" s="53" t="s">
        <v>109</v>
      </c>
      <c r="F47" s="53" t="s">
        <v>3733</v>
      </c>
      <c r="G47" s="53" t="s">
        <v>3734</v>
      </c>
      <c r="H47" s="53" t="s">
        <v>3735</v>
      </c>
      <c r="I47" s="54">
        <v>1999</v>
      </c>
      <c r="J47" s="53" t="s">
        <v>3736</v>
      </c>
      <c r="K47" s="53" t="s">
        <v>146</v>
      </c>
      <c r="L47" s="53" t="s">
        <v>237</v>
      </c>
      <c r="M47" s="53" t="s">
        <v>147</v>
      </c>
    </row>
    <row r="48" spans="1:13" ht="15" customHeight="1" x14ac:dyDescent="0.35">
      <c r="A48" s="53" t="s">
        <v>238</v>
      </c>
      <c r="B48" s="53" t="s">
        <v>3764</v>
      </c>
      <c r="C48" s="53" t="s">
        <v>3732</v>
      </c>
      <c r="D48" s="53" t="s">
        <v>143</v>
      </c>
      <c r="E48" s="53" t="s">
        <v>109</v>
      </c>
      <c r="F48" s="53" t="s">
        <v>3733</v>
      </c>
      <c r="G48" s="53" t="s">
        <v>3734</v>
      </c>
      <c r="H48" s="53" t="s">
        <v>3735</v>
      </c>
      <c r="I48" s="54">
        <v>1999</v>
      </c>
      <c r="J48" s="53" t="s">
        <v>3736</v>
      </c>
      <c r="K48" s="53" t="s">
        <v>146</v>
      </c>
      <c r="L48" s="53" t="s">
        <v>239</v>
      </c>
      <c r="M48" s="53" t="s">
        <v>147</v>
      </c>
    </row>
    <row r="49" spans="1:13" ht="15" customHeight="1" x14ac:dyDescent="0.35">
      <c r="A49" s="53" t="s">
        <v>240</v>
      </c>
      <c r="B49" s="53" t="s">
        <v>3765</v>
      </c>
      <c r="C49" s="53" t="s">
        <v>3732</v>
      </c>
      <c r="D49" s="53" t="s">
        <v>143</v>
      </c>
      <c r="E49" s="53" t="s">
        <v>109</v>
      </c>
      <c r="F49" s="53" t="s">
        <v>3733</v>
      </c>
      <c r="G49" s="53" t="s">
        <v>3734</v>
      </c>
      <c r="H49" s="53" t="s">
        <v>3735</v>
      </c>
      <c r="I49" s="54">
        <v>1999</v>
      </c>
      <c r="J49" s="53" t="s">
        <v>3736</v>
      </c>
      <c r="K49" s="53" t="s">
        <v>146</v>
      </c>
      <c r="L49" s="53" t="s">
        <v>241</v>
      </c>
      <c r="M49" s="53" t="s">
        <v>147</v>
      </c>
    </row>
    <row r="50" spans="1:13" ht="15" customHeight="1" x14ac:dyDescent="0.35">
      <c r="A50" s="53" t="s">
        <v>242</v>
      </c>
      <c r="B50" s="53" t="s">
        <v>3766</v>
      </c>
      <c r="C50" s="53" t="s">
        <v>3732</v>
      </c>
      <c r="D50" s="53" t="s">
        <v>143</v>
      </c>
      <c r="E50" s="53" t="s">
        <v>109</v>
      </c>
      <c r="F50" s="53" t="s">
        <v>3733</v>
      </c>
      <c r="G50" s="53" t="s">
        <v>3734</v>
      </c>
      <c r="H50" s="53" t="s">
        <v>3735</v>
      </c>
      <c r="I50" s="54">
        <v>1999</v>
      </c>
      <c r="J50" s="53" t="s">
        <v>3736</v>
      </c>
      <c r="K50" s="53" t="s">
        <v>146</v>
      </c>
      <c r="L50" s="53" t="s">
        <v>243</v>
      </c>
      <c r="M50" s="53" t="s">
        <v>147</v>
      </c>
    </row>
    <row r="51" spans="1:13" ht="15" customHeight="1" x14ac:dyDescent="0.35">
      <c r="A51" s="53" t="s">
        <v>244</v>
      </c>
      <c r="B51" s="53" t="s">
        <v>3767</v>
      </c>
      <c r="C51" s="53" t="s">
        <v>3732</v>
      </c>
      <c r="D51" s="53" t="s">
        <v>143</v>
      </c>
      <c r="E51" s="53" t="s">
        <v>109</v>
      </c>
      <c r="F51" s="53" t="s">
        <v>3733</v>
      </c>
      <c r="G51" s="53" t="s">
        <v>3734</v>
      </c>
      <c r="H51" s="53" t="s">
        <v>3735</v>
      </c>
      <c r="I51" s="54">
        <v>1999</v>
      </c>
      <c r="J51" s="53" t="s">
        <v>3747</v>
      </c>
      <c r="K51" s="53" t="s">
        <v>146</v>
      </c>
      <c r="L51" s="53" t="s">
        <v>221</v>
      </c>
      <c r="M51" s="53" t="s">
        <v>147</v>
      </c>
    </row>
    <row r="52" spans="1:13" ht="15" customHeight="1" x14ac:dyDescent="0.35">
      <c r="A52" s="53" t="s">
        <v>245</v>
      </c>
      <c r="B52" s="53" t="s">
        <v>3768</v>
      </c>
      <c r="C52" s="53" t="s">
        <v>3732</v>
      </c>
      <c r="D52" s="53" t="s">
        <v>143</v>
      </c>
      <c r="E52" s="53" t="s">
        <v>109</v>
      </c>
      <c r="F52" s="53" t="s">
        <v>3733</v>
      </c>
      <c r="G52" s="53" t="s">
        <v>3734</v>
      </c>
      <c r="H52" s="53" t="s">
        <v>3735</v>
      </c>
      <c r="I52" s="54">
        <v>1999</v>
      </c>
      <c r="J52" s="53" t="s">
        <v>3769</v>
      </c>
      <c r="K52" s="53" t="s">
        <v>146</v>
      </c>
      <c r="L52" s="53" t="s">
        <v>246</v>
      </c>
      <c r="M52" s="53" t="s">
        <v>147</v>
      </c>
    </row>
    <row r="53" spans="1:13" ht="15" customHeight="1" x14ac:dyDescent="0.35">
      <c r="A53" s="53" t="s">
        <v>247</v>
      </c>
      <c r="B53" s="53" t="s">
        <v>3770</v>
      </c>
      <c r="C53" s="53" t="s">
        <v>3732</v>
      </c>
      <c r="D53" s="53" t="s">
        <v>143</v>
      </c>
      <c r="E53" s="53" t="s">
        <v>109</v>
      </c>
      <c r="F53" s="53" t="s">
        <v>3733</v>
      </c>
      <c r="G53" s="53" t="s">
        <v>3734</v>
      </c>
      <c r="H53" s="53" t="s">
        <v>3735</v>
      </c>
      <c r="I53" s="54">
        <v>1999</v>
      </c>
      <c r="J53" s="53" t="s">
        <v>3736</v>
      </c>
      <c r="K53" s="53" t="s">
        <v>146</v>
      </c>
      <c r="L53" s="53" t="s">
        <v>248</v>
      </c>
      <c r="M53" s="53" t="s">
        <v>147</v>
      </c>
    </row>
    <row r="54" spans="1:13" ht="15" customHeight="1" x14ac:dyDescent="0.35">
      <c r="A54" s="53" t="s">
        <v>249</v>
      </c>
      <c r="B54" s="53" t="s">
        <v>3771</v>
      </c>
      <c r="C54" s="53" t="s">
        <v>3732</v>
      </c>
      <c r="D54" s="53" t="s">
        <v>143</v>
      </c>
      <c r="E54" s="53" t="s">
        <v>109</v>
      </c>
      <c r="F54" s="53" t="s">
        <v>3733</v>
      </c>
      <c r="G54" s="53" t="s">
        <v>3734</v>
      </c>
      <c r="H54" s="53" t="s">
        <v>3735</v>
      </c>
      <c r="I54" s="54">
        <v>1999</v>
      </c>
      <c r="J54" s="53" t="s">
        <v>3736</v>
      </c>
      <c r="K54" s="53" t="s">
        <v>146</v>
      </c>
      <c r="L54" s="53" t="s">
        <v>250</v>
      </c>
      <c r="M54" s="53" t="s">
        <v>147</v>
      </c>
    </row>
    <row r="55" spans="1:13" ht="15" customHeight="1" x14ac:dyDescent="0.35">
      <c r="A55" s="53" t="s">
        <v>251</v>
      </c>
      <c r="B55" s="53" t="s">
        <v>3772</v>
      </c>
      <c r="C55" s="53" t="s">
        <v>3732</v>
      </c>
      <c r="D55" s="53" t="s">
        <v>143</v>
      </c>
      <c r="E55" s="53" t="s">
        <v>109</v>
      </c>
      <c r="F55" s="53" t="s">
        <v>3733</v>
      </c>
      <c r="G55" s="53" t="s">
        <v>3734</v>
      </c>
      <c r="H55" s="53" t="s">
        <v>3735</v>
      </c>
      <c r="I55" s="54">
        <v>1999</v>
      </c>
      <c r="J55" s="53" t="s">
        <v>3736</v>
      </c>
      <c r="K55" s="53" t="s">
        <v>146</v>
      </c>
      <c r="L55" s="53" t="s">
        <v>252</v>
      </c>
      <c r="M55" s="53" t="s">
        <v>147</v>
      </c>
    </row>
    <row r="56" spans="1:13" ht="15" customHeight="1" x14ac:dyDescent="0.35">
      <c r="A56" s="53" t="s">
        <v>253</v>
      </c>
      <c r="B56" s="53" t="s">
        <v>3773</v>
      </c>
      <c r="C56" s="53" t="s">
        <v>3732</v>
      </c>
      <c r="D56" s="53" t="s">
        <v>143</v>
      </c>
      <c r="E56" s="53" t="s">
        <v>109</v>
      </c>
      <c r="F56" s="53" t="s">
        <v>3733</v>
      </c>
      <c r="G56" s="53" t="s">
        <v>3734</v>
      </c>
      <c r="H56" s="53" t="s">
        <v>3735</v>
      </c>
      <c r="I56" s="54">
        <v>1999</v>
      </c>
      <c r="J56" s="53" t="s">
        <v>3736</v>
      </c>
      <c r="K56" s="53" t="s">
        <v>146</v>
      </c>
      <c r="L56" s="53" t="s">
        <v>254</v>
      </c>
      <c r="M56" s="53" t="s">
        <v>147</v>
      </c>
    </row>
    <row r="57" spans="1:13" ht="15" customHeight="1" x14ac:dyDescent="0.35">
      <c r="A57" s="53" t="s">
        <v>255</v>
      </c>
      <c r="B57" s="53" t="s">
        <v>3774</v>
      </c>
      <c r="C57" s="53" t="s">
        <v>3732</v>
      </c>
      <c r="D57" s="53" t="s">
        <v>143</v>
      </c>
      <c r="E57" s="53" t="s">
        <v>109</v>
      </c>
      <c r="F57" s="53" t="s">
        <v>3733</v>
      </c>
      <c r="G57" s="53" t="s">
        <v>3734</v>
      </c>
      <c r="H57" s="53" t="s">
        <v>3735</v>
      </c>
      <c r="I57" s="54">
        <v>1999</v>
      </c>
      <c r="J57" s="53" t="s">
        <v>3736</v>
      </c>
      <c r="K57" s="53" t="s">
        <v>146</v>
      </c>
      <c r="L57" s="53" t="s">
        <v>256</v>
      </c>
      <c r="M57" s="53" t="s">
        <v>147</v>
      </c>
    </row>
    <row r="58" spans="1:13" ht="15" customHeight="1" x14ac:dyDescent="0.35">
      <c r="A58" s="53" t="s">
        <v>257</v>
      </c>
      <c r="B58" s="53" t="s">
        <v>3775</v>
      </c>
      <c r="C58" s="53" t="s">
        <v>3732</v>
      </c>
      <c r="D58" s="53" t="s">
        <v>143</v>
      </c>
      <c r="E58" s="53" t="s">
        <v>109</v>
      </c>
      <c r="F58" s="53" t="s">
        <v>3733</v>
      </c>
      <c r="G58" s="53" t="s">
        <v>3734</v>
      </c>
      <c r="H58" s="53" t="s">
        <v>3735</v>
      </c>
      <c r="I58" s="54">
        <v>1999</v>
      </c>
      <c r="J58" s="53" t="s">
        <v>3776</v>
      </c>
      <c r="K58" s="53" t="s">
        <v>259</v>
      </c>
      <c r="L58" s="53" t="s">
        <v>260</v>
      </c>
      <c r="M58" s="53" t="s">
        <v>147</v>
      </c>
    </row>
    <row r="59" spans="1:13" ht="15" customHeight="1" x14ac:dyDescent="0.35">
      <c r="A59" s="53" t="s">
        <v>261</v>
      </c>
      <c r="B59" s="53" t="s">
        <v>3777</v>
      </c>
      <c r="C59" s="53" t="s">
        <v>3732</v>
      </c>
      <c r="D59" s="53" t="s">
        <v>143</v>
      </c>
      <c r="E59" s="53" t="s">
        <v>109</v>
      </c>
      <c r="F59" s="53" t="s">
        <v>3733</v>
      </c>
      <c r="G59" s="53" t="s">
        <v>3734</v>
      </c>
      <c r="H59" s="53" t="s">
        <v>3735</v>
      </c>
      <c r="I59" s="54">
        <v>1999</v>
      </c>
      <c r="J59" s="53" t="s">
        <v>3776</v>
      </c>
      <c r="K59" s="53" t="s">
        <v>259</v>
      </c>
      <c r="L59" s="53" t="s">
        <v>262</v>
      </c>
      <c r="M59" s="53" t="s">
        <v>147</v>
      </c>
    </row>
    <row r="60" spans="1:13" ht="15" customHeight="1" x14ac:dyDescent="0.35">
      <c r="A60" s="53" t="s">
        <v>263</v>
      </c>
      <c r="B60" s="53" t="s">
        <v>3778</v>
      </c>
      <c r="C60" s="53" t="s">
        <v>3732</v>
      </c>
      <c r="D60" s="53" t="s">
        <v>143</v>
      </c>
      <c r="E60" s="53" t="s">
        <v>109</v>
      </c>
      <c r="F60" s="53" t="s">
        <v>3733</v>
      </c>
      <c r="G60" s="53" t="s">
        <v>3734</v>
      </c>
      <c r="H60" s="53" t="s">
        <v>3735</v>
      </c>
      <c r="I60" s="54">
        <v>1999</v>
      </c>
      <c r="J60" s="53" t="s">
        <v>3779</v>
      </c>
      <c r="K60" s="53" t="s">
        <v>146</v>
      </c>
      <c r="L60" s="53" t="s">
        <v>264</v>
      </c>
      <c r="M60" s="53" t="s">
        <v>147</v>
      </c>
    </row>
    <row r="61" spans="1:13" ht="15" customHeight="1" x14ac:dyDescent="0.35">
      <c r="A61" s="53" t="s">
        <v>265</v>
      </c>
      <c r="B61" s="53" t="s">
        <v>3780</v>
      </c>
      <c r="C61" s="53" t="s">
        <v>3732</v>
      </c>
      <c r="D61" s="53" t="s">
        <v>143</v>
      </c>
      <c r="E61" s="53" t="s">
        <v>109</v>
      </c>
      <c r="F61" s="53" t="s">
        <v>3733</v>
      </c>
      <c r="G61" s="53" t="s">
        <v>3734</v>
      </c>
      <c r="H61" s="53" t="s">
        <v>3735</v>
      </c>
      <c r="I61" s="54">
        <v>1999</v>
      </c>
      <c r="J61" s="53" t="s">
        <v>3736</v>
      </c>
      <c r="K61" s="53" t="s">
        <v>259</v>
      </c>
      <c r="L61" s="53" t="s">
        <v>266</v>
      </c>
      <c r="M61" s="53" t="s">
        <v>147</v>
      </c>
    </row>
    <row r="62" spans="1:13" ht="15" customHeight="1" x14ac:dyDescent="0.35">
      <c r="A62" s="53" t="s">
        <v>267</v>
      </c>
      <c r="B62" s="53" t="s">
        <v>3781</v>
      </c>
      <c r="C62" s="53" t="s">
        <v>3732</v>
      </c>
      <c r="D62" s="53" t="s">
        <v>143</v>
      </c>
      <c r="E62" s="53" t="s">
        <v>109</v>
      </c>
      <c r="F62" s="53" t="s">
        <v>3733</v>
      </c>
      <c r="G62" s="53" t="s">
        <v>3734</v>
      </c>
      <c r="H62" s="53" t="s">
        <v>3735</v>
      </c>
      <c r="I62" s="54">
        <v>1999</v>
      </c>
      <c r="J62" s="53" t="s">
        <v>3736</v>
      </c>
      <c r="K62" s="53" t="s">
        <v>158</v>
      </c>
      <c r="L62" s="53" t="s">
        <v>268</v>
      </c>
      <c r="M62" s="53" t="s">
        <v>147</v>
      </c>
    </row>
    <row r="63" spans="1:13" ht="15" customHeight="1" x14ac:dyDescent="0.35">
      <c r="A63" s="53" t="s">
        <v>269</v>
      </c>
      <c r="B63" s="53" t="s">
        <v>3782</v>
      </c>
      <c r="C63" s="53" t="s">
        <v>3732</v>
      </c>
      <c r="D63" s="53" t="s">
        <v>143</v>
      </c>
      <c r="E63" s="53" t="s">
        <v>109</v>
      </c>
      <c r="F63" s="53" t="s">
        <v>3733</v>
      </c>
      <c r="G63" s="53" t="s">
        <v>3734</v>
      </c>
      <c r="H63" s="53" t="s">
        <v>3735</v>
      </c>
      <c r="I63" s="54">
        <v>1999</v>
      </c>
      <c r="J63" s="53" t="s">
        <v>3736</v>
      </c>
      <c r="K63" s="53" t="s">
        <v>158</v>
      </c>
      <c r="L63" s="53" t="s">
        <v>270</v>
      </c>
      <c r="M63" s="53" t="s">
        <v>147</v>
      </c>
    </row>
    <row r="64" spans="1:13" ht="15" customHeight="1" x14ac:dyDescent="0.35">
      <c r="A64" s="53" t="s">
        <v>271</v>
      </c>
      <c r="B64" s="53" t="s">
        <v>3783</v>
      </c>
      <c r="C64" s="53" t="s">
        <v>3732</v>
      </c>
      <c r="D64" s="53" t="s">
        <v>143</v>
      </c>
      <c r="E64" s="53" t="s">
        <v>109</v>
      </c>
      <c r="F64" s="53" t="s">
        <v>3733</v>
      </c>
      <c r="G64" s="53" t="s">
        <v>3734</v>
      </c>
      <c r="H64" s="53" t="s">
        <v>3735</v>
      </c>
      <c r="I64" s="54">
        <v>1999</v>
      </c>
      <c r="J64" s="53" t="s">
        <v>3736</v>
      </c>
      <c r="K64" s="53" t="s">
        <v>158</v>
      </c>
      <c r="L64" s="53" t="s">
        <v>272</v>
      </c>
      <c r="M64" s="53" t="s">
        <v>147</v>
      </c>
    </row>
    <row r="65" spans="1:13" ht="15" customHeight="1" x14ac:dyDescent="0.35">
      <c r="A65" s="53" t="s">
        <v>273</v>
      </c>
      <c r="B65" s="53" t="s">
        <v>3784</v>
      </c>
      <c r="C65" s="53" t="s">
        <v>3732</v>
      </c>
      <c r="D65" s="53" t="s">
        <v>143</v>
      </c>
      <c r="E65" s="53" t="s">
        <v>109</v>
      </c>
      <c r="F65" s="53" t="s">
        <v>3733</v>
      </c>
      <c r="G65" s="53" t="s">
        <v>3734</v>
      </c>
      <c r="H65" s="53" t="s">
        <v>3735</v>
      </c>
      <c r="I65" s="54">
        <v>1999</v>
      </c>
      <c r="J65" s="53" t="s">
        <v>3736</v>
      </c>
      <c r="K65" s="53" t="s">
        <v>146</v>
      </c>
      <c r="L65" s="53" t="s">
        <v>274</v>
      </c>
      <c r="M65" s="53" t="s">
        <v>147</v>
      </c>
    </row>
    <row r="66" spans="1:13" ht="15" customHeight="1" x14ac:dyDescent="0.35">
      <c r="A66" s="53" t="s">
        <v>275</v>
      </c>
      <c r="B66" s="53" t="s">
        <v>3785</v>
      </c>
      <c r="C66" s="53" t="s">
        <v>3732</v>
      </c>
      <c r="D66" s="53" t="s">
        <v>143</v>
      </c>
      <c r="E66" s="53" t="s">
        <v>109</v>
      </c>
      <c r="F66" s="53" t="s">
        <v>3733</v>
      </c>
      <c r="G66" s="53" t="s">
        <v>3734</v>
      </c>
      <c r="H66" s="53" t="s">
        <v>3735</v>
      </c>
      <c r="I66" s="54">
        <v>1999</v>
      </c>
      <c r="J66" s="53" t="s">
        <v>3736</v>
      </c>
      <c r="K66" s="53" t="s">
        <v>146</v>
      </c>
      <c r="L66" s="53" t="s">
        <v>276</v>
      </c>
      <c r="M66" s="53" t="s">
        <v>147</v>
      </c>
    </row>
    <row r="67" spans="1:13" ht="15" customHeight="1" x14ac:dyDescent="0.35">
      <c r="A67" s="53" t="s">
        <v>277</v>
      </c>
      <c r="B67" s="53" t="s">
        <v>3786</v>
      </c>
      <c r="C67" s="53" t="s">
        <v>3732</v>
      </c>
      <c r="D67" s="53" t="s">
        <v>143</v>
      </c>
      <c r="E67" s="53" t="s">
        <v>109</v>
      </c>
      <c r="F67" s="53" t="s">
        <v>3733</v>
      </c>
      <c r="G67" s="53" t="s">
        <v>3734</v>
      </c>
      <c r="H67" s="53" t="s">
        <v>3735</v>
      </c>
      <c r="I67" s="54">
        <v>1999</v>
      </c>
      <c r="J67" s="53" t="s">
        <v>3736</v>
      </c>
      <c r="K67" s="53" t="s">
        <v>146</v>
      </c>
      <c r="L67" s="53" t="s">
        <v>278</v>
      </c>
      <c r="M67" s="53" t="s">
        <v>147</v>
      </c>
    </row>
    <row r="68" spans="1:13" ht="15" customHeight="1" x14ac:dyDescent="0.35">
      <c r="A68" s="53" t="s">
        <v>279</v>
      </c>
      <c r="B68" s="53" t="s">
        <v>3787</v>
      </c>
      <c r="C68" s="53" t="s">
        <v>3732</v>
      </c>
      <c r="D68" s="53" t="s">
        <v>143</v>
      </c>
      <c r="E68" s="53" t="s">
        <v>109</v>
      </c>
      <c r="F68" s="53" t="s">
        <v>3733</v>
      </c>
      <c r="G68" s="53" t="s">
        <v>3734</v>
      </c>
      <c r="H68" s="53" t="s">
        <v>3735</v>
      </c>
      <c r="I68" s="54">
        <v>1999</v>
      </c>
      <c r="J68" s="53" t="s">
        <v>3736</v>
      </c>
      <c r="K68" s="53" t="s">
        <v>146</v>
      </c>
      <c r="L68" s="53" t="s">
        <v>280</v>
      </c>
      <c r="M68" s="53" t="s">
        <v>147</v>
      </c>
    </row>
    <row r="69" spans="1:13" ht="15" customHeight="1" x14ac:dyDescent="0.35">
      <c r="A69" s="53" t="s">
        <v>281</v>
      </c>
      <c r="B69" s="53" t="s">
        <v>3788</v>
      </c>
      <c r="C69" s="53" t="s">
        <v>3732</v>
      </c>
      <c r="D69" s="53" t="s">
        <v>143</v>
      </c>
      <c r="E69" s="53" t="s">
        <v>109</v>
      </c>
      <c r="F69" s="53" t="s">
        <v>3733</v>
      </c>
      <c r="G69" s="53" t="s">
        <v>3734</v>
      </c>
      <c r="H69" s="53" t="s">
        <v>3789</v>
      </c>
      <c r="I69" s="54">
        <v>2000</v>
      </c>
      <c r="J69" s="53" t="s">
        <v>3779</v>
      </c>
      <c r="K69" s="53" t="s">
        <v>146</v>
      </c>
      <c r="L69" s="53" t="s">
        <v>282</v>
      </c>
      <c r="M69" s="53" t="s">
        <v>147</v>
      </c>
    </row>
    <row r="70" spans="1:13" ht="15" customHeight="1" x14ac:dyDescent="0.35">
      <c r="A70" s="53" t="s">
        <v>283</v>
      </c>
      <c r="B70" s="53" t="s">
        <v>3790</v>
      </c>
      <c r="C70" s="53" t="s">
        <v>3732</v>
      </c>
      <c r="D70" s="53" t="s">
        <v>143</v>
      </c>
      <c r="E70" s="53" t="s">
        <v>109</v>
      </c>
      <c r="F70" s="53" t="s">
        <v>3733</v>
      </c>
      <c r="G70" s="53" t="s">
        <v>3734</v>
      </c>
      <c r="H70" s="53" t="s">
        <v>3789</v>
      </c>
      <c r="I70" s="54">
        <v>2000</v>
      </c>
      <c r="J70" s="53" t="s">
        <v>3779</v>
      </c>
      <c r="K70" s="53" t="s">
        <v>146</v>
      </c>
      <c r="L70" s="53" t="s">
        <v>284</v>
      </c>
      <c r="M70" s="53" t="s">
        <v>147</v>
      </c>
    </row>
    <row r="71" spans="1:13" ht="15" customHeight="1" x14ac:dyDescent="0.35">
      <c r="A71" s="53" t="s">
        <v>285</v>
      </c>
      <c r="B71" s="53" t="s">
        <v>3791</v>
      </c>
      <c r="C71" s="53" t="s">
        <v>3732</v>
      </c>
      <c r="D71" s="53" t="s">
        <v>143</v>
      </c>
      <c r="E71" s="53" t="s">
        <v>109</v>
      </c>
      <c r="F71" s="53" t="s">
        <v>3792</v>
      </c>
      <c r="G71" s="53" t="s">
        <v>3734</v>
      </c>
      <c r="H71" s="53" t="s">
        <v>3789</v>
      </c>
      <c r="I71" s="54">
        <v>2000</v>
      </c>
      <c r="J71" s="53" t="s">
        <v>3779</v>
      </c>
      <c r="K71" s="53" t="s">
        <v>146</v>
      </c>
      <c r="L71" s="53" t="s">
        <v>286</v>
      </c>
      <c r="M71" s="53" t="s">
        <v>147</v>
      </c>
    </row>
    <row r="72" spans="1:13" ht="15" customHeight="1" x14ac:dyDescent="0.35">
      <c r="A72" s="53" t="s">
        <v>287</v>
      </c>
      <c r="B72" s="53" t="s">
        <v>3793</v>
      </c>
      <c r="C72" s="53" t="s">
        <v>3732</v>
      </c>
      <c r="D72" s="53" t="s">
        <v>143</v>
      </c>
      <c r="E72" s="53" t="s">
        <v>109</v>
      </c>
      <c r="F72" s="53" t="s">
        <v>3733</v>
      </c>
      <c r="G72" s="53" t="s">
        <v>3734</v>
      </c>
      <c r="H72" s="53" t="s">
        <v>3789</v>
      </c>
      <c r="I72" s="54">
        <v>2000</v>
      </c>
      <c r="J72" s="53" t="s">
        <v>3776</v>
      </c>
      <c r="K72" s="53" t="s">
        <v>259</v>
      </c>
      <c r="L72" s="53" t="s">
        <v>262</v>
      </c>
      <c r="M72" s="53" t="s">
        <v>147</v>
      </c>
    </row>
    <row r="73" spans="1:13" ht="15" customHeight="1" x14ac:dyDescent="0.35">
      <c r="A73" s="53" t="s">
        <v>288</v>
      </c>
      <c r="B73" s="53" t="s">
        <v>3794</v>
      </c>
      <c r="C73" s="53" t="s">
        <v>3732</v>
      </c>
      <c r="D73" s="53" t="s">
        <v>143</v>
      </c>
      <c r="E73" s="53" t="s">
        <v>109</v>
      </c>
      <c r="F73" s="53" t="s">
        <v>3733</v>
      </c>
      <c r="G73" s="53" t="s">
        <v>3734</v>
      </c>
      <c r="H73" s="53" t="s">
        <v>3789</v>
      </c>
      <c r="I73" s="54">
        <v>2000</v>
      </c>
      <c r="J73" s="53" t="s">
        <v>3776</v>
      </c>
      <c r="K73" s="53" t="s">
        <v>259</v>
      </c>
      <c r="L73" s="53" t="s">
        <v>260</v>
      </c>
      <c r="M73" s="53" t="s">
        <v>147</v>
      </c>
    </row>
    <row r="74" spans="1:13" ht="15" customHeight="1" x14ac:dyDescent="0.35">
      <c r="A74" s="53" t="s">
        <v>289</v>
      </c>
      <c r="B74" s="53" t="s">
        <v>3795</v>
      </c>
      <c r="C74" s="53" t="s">
        <v>3732</v>
      </c>
      <c r="D74" s="53" t="s">
        <v>143</v>
      </c>
      <c r="E74" s="53" t="s">
        <v>109</v>
      </c>
      <c r="F74" s="53" t="s">
        <v>3733</v>
      </c>
      <c r="G74" s="53" t="s">
        <v>3734</v>
      </c>
      <c r="H74" s="53" t="s">
        <v>3789</v>
      </c>
      <c r="I74" s="54">
        <v>2000</v>
      </c>
      <c r="J74" s="53" t="s">
        <v>3776</v>
      </c>
      <c r="K74" s="53" t="s">
        <v>146</v>
      </c>
      <c r="L74" s="53" t="s">
        <v>290</v>
      </c>
      <c r="M74" s="53" t="s">
        <v>147</v>
      </c>
    </row>
    <row r="75" spans="1:13" ht="15" customHeight="1" x14ac:dyDescent="0.35">
      <c r="A75" s="53" t="s">
        <v>291</v>
      </c>
      <c r="B75" s="53" t="s">
        <v>3796</v>
      </c>
      <c r="C75" s="53" t="s">
        <v>3732</v>
      </c>
      <c r="D75" s="53" t="s">
        <v>143</v>
      </c>
      <c r="E75" s="53" t="s">
        <v>109</v>
      </c>
      <c r="F75" s="53" t="s">
        <v>3733</v>
      </c>
      <c r="G75" s="53" t="s">
        <v>3734</v>
      </c>
      <c r="H75" s="53" t="s">
        <v>3789</v>
      </c>
      <c r="I75" s="54">
        <v>2000</v>
      </c>
      <c r="J75" s="53" t="s">
        <v>3797</v>
      </c>
      <c r="K75" s="53" t="s">
        <v>146</v>
      </c>
      <c r="L75" s="53" t="s">
        <v>292</v>
      </c>
      <c r="M75" s="53" t="s">
        <v>147</v>
      </c>
    </row>
    <row r="76" spans="1:13" ht="15" customHeight="1" x14ac:dyDescent="0.35">
      <c r="A76" s="53" t="s">
        <v>293</v>
      </c>
      <c r="B76" s="53" t="s">
        <v>3798</v>
      </c>
      <c r="C76" s="53" t="s">
        <v>3732</v>
      </c>
      <c r="D76" s="53" t="s">
        <v>143</v>
      </c>
      <c r="E76" s="53" t="s">
        <v>109</v>
      </c>
      <c r="F76" s="53" t="s">
        <v>3733</v>
      </c>
      <c r="G76" s="53" t="s">
        <v>3734</v>
      </c>
      <c r="H76" s="53" t="s">
        <v>3789</v>
      </c>
      <c r="I76" s="54">
        <v>2000</v>
      </c>
      <c r="J76" s="53" t="s">
        <v>3779</v>
      </c>
      <c r="K76" s="53" t="s">
        <v>146</v>
      </c>
      <c r="L76" s="53" t="s">
        <v>294</v>
      </c>
      <c r="M76" s="53" t="s">
        <v>147</v>
      </c>
    </row>
    <row r="77" spans="1:13" ht="15" customHeight="1" x14ac:dyDescent="0.35">
      <c r="A77" s="53" t="s">
        <v>295</v>
      </c>
      <c r="B77" s="53" t="s">
        <v>3799</v>
      </c>
      <c r="C77" s="53" t="s">
        <v>3732</v>
      </c>
      <c r="D77" s="53" t="s">
        <v>143</v>
      </c>
      <c r="E77" s="53" t="s">
        <v>109</v>
      </c>
      <c r="F77" s="53" t="s">
        <v>3733</v>
      </c>
      <c r="G77" s="53" t="s">
        <v>3734</v>
      </c>
      <c r="H77" s="53" t="s">
        <v>3789</v>
      </c>
      <c r="I77" s="54">
        <v>2000</v>
      </c>
      <c r="J77" s="53" t="s">
        <v>3779</v>
      </c>
      <c r="K77" s="53" t="s">
        <v>259</v>
      </c>
      <c r="L77" s="53" t="s">
        <v>296</v>
      </c>
      <c r="M77" s="53" t="s">
        <v>147</v>
      </c>
    </row>
    <row r="78" spans="1:13" ht="15" customHeight="1" x14ac:dyDescent="0.35">
      <c r="A78" s="53" t="s">
        <v>297</v>
      </c>
      <c r="B78" s="53" t="s">
        <v>3800</v>
      </c>
      <c r="C78" s="53" t="s">
        <v>3732</v>
      </c>
      <c r="D78" s="53" t="s">
        <v>143</v>
      </c>
      <c r="E78" s="53" t="s">
        <v>109</v>
      </c>
      <c r="F78" s="53" t="s">
        <v>3733</v>
      </c>
      <c r="G78" s="53" t="s">
        <v>3734</v>
      </c>
      <c r="H78" s="53" t="s">
        <v>3789</v>
      </c>
      <c r="I78" s="54">
        <v>2000</v>
      </c>
      <c r="J78" s="53" t="s">
        <v>3736</v>
      </c>
      <c r="K78" s="53" t="s">
        <v>146</v>
      </c>
      <c r="L78" s="53" t="s">
        <v>298</v>
      </c>
      <c r="M78" s="53" t="s">
        <v>147</v>
      </c>
    </row>
    <row r="79" spans="1:13" ht="15" customHeight="1" x14ac:dyDescent="0.35">
      <c r="A79" s="53" t="s">
        <v>299</v>
      </c>
      <c r="B79" s="53" t="s">
        <v>3801</v>
      </c>
      <c r="C79" s="53" t="s">
        <v>3732</v>
      </c>
      <c r="D79" s="53" t="s">
        <v>143</v>
      </c>
      <c r="E79" s="53" t="s">
        <v>109</v>
      </c>
      <c r="F79" s="53" t="s">
        <v>3733</v>
      </c>
      <c r="G79" s="53" t="s">
        <v>3734</v>
      </c>
      <c r="H79" s="53" t="s">
        <v>3789</v>
      </c>
      <c r="I79" s="54">
        <v>2000</v>
      </c>
      <c r="J79" s="53" t="s">
        <v>3736</v>
      </c>
      <c r="K79" s="53" t="s">
        <v>146</v>
      </c>
      <c r="L79" s="53" t="s">
        <v>298</v>
      </c>
      <c r="M79" s="53" t="s">
        <v>147</v>
      </c>
    </row>
    <row r="80" spans="1:13" ht="15" customHeight="1" x14ac:dyDescent="0.35">
      <c r="A80" s="53" t="s">
        <v>300</v>
      </c>
      <c r="B80" s="53" t="s">
        <v>3802</v>
      </c>
      <c r="C80" s="53" t="s">
        <v>3732</v>
      </c>
      <c r="D80" s="53" t="s">
        <v>143</v>
      </c>
      <c r="E80" s="53" t="s">
        <v>109</v>
      </c>
      <c r="F80" s="53" t="s">
        <v>3733</v>
      </c>
      <c r="G80" s="53" t="s">
        <v>3734</v>
      </c>
      <c r="H80" s="53" t="s">
        <v>3789</v>
      </c>
      <c r="I80" s="54">
        <v>2000</v>
      </c>
      <c r="J80" s="53" t="s">
        <v>3736</v>
      </c>
      <c r="K80" s="53" t="s">
        <v>146</v>
      </c>
      <c r="L80" s="53" t="s">
        <v>298</v>
      </c>
      <c r="M80" s="53" t="s">
        <v>147</v>
      </c>
    </row>
    <row r="81" spans="1:13" ht="15" customHeight="1" x14ac:dyDescent="0.35">
      <c r="A81" s="53" t="s">
        <v>301</v>
      </c>
      <c r="B81" s="53" t="s">
        <v>3803</v>
      </c>
      <c r="C81" s="53" t="s">
        <v>3732</v>
      </c>
      <c r="D81" s="53" t="s">
        <v>143</v>
      </c>
      <c r="E81" s="53" t="s">
        <v>109</v>
      </c>
      <c r="F81" s="53" t="s">
        <v>3733</v>
      </c>
      <c r="G81" s="53" t="s">
        <v>3734</v>
      </c>
      <c r="H81" s="53" t="s">
        <v>3789</v>
      </c>
      <c r="I81" s="54">
        <v>2000</v>
      </c>
      <c r="J81" s="53" t="s">
        <v>3736</v>
      </c>
      <c r="K81" s="53" t="s">
        <v>158</v>
      </c>
      <c r="L81" s="53" t="s">
        <v>302</v>
      </c>
      <c r="M81" s="53" t="s">
        <v>147</v>
      </c>
    </row>
    <row r="82" spans="1:13" ht="15" customHeight="1" x14ac:dyDescent="0.35">
      <c r="A82" s="53" t="s">
        <v>303</v>
      </c>
      <c r="B82" s="53" t="s">
        <v>3804</v>
      </c>
      <c r="C82" s="53" t="s">
        <v>3732</v>
      </c>
      <c r="D82" s="53" t="s">
        <v>143</v>
      </c>
      <c r="E82" s="53" t="s">
        <v>109</v>
      </c>
      <c r="F82" s="53" t="s">
        <v>3733</v>
      </c>
      <c r="G82" s="53" t="s">
        <v>3734</v>
      </c>
      <c r="H82" s="53" t="s">
        <v>3789</v>
      </c>
      <c r="I82" s="54">
        <v>2000</v>
      </c>
      <c r="J82" s="53" t="s">
        <v>3736</v>
      </c>
      <c r="K82" s="53" t="s">
        <v>146</v>
      </c>
      <c r="L82" s="53" t="s">
        <v>304</v>
      </c>
      <c r="M82" s="53" t="s">
        <v>147</v>
      </c>
    </row>
    <row r="83" spans="1:13" ht="15" customHeight="1" x14ac:dyDescent="0.35">
      <c r="A83" s="53" t="s">
        <v>305</v>
      </c>
      <c r="B83" s="53" t="s">
        <v>3805</v>
      </c>
      <c r="C83" s="53" t="s">
        <v>3732</v>
      </c>
      <c r="D83" s="53" t="s">
        <v>143</v>
      </c>
      <c r="E83" s="53" t="s">
        <v>109</v>
      </c>
      <c r="F83" s="53" t="s">
        <v>3733</v>
      </c>
      <c r="G83" s="53" t="s">
        <v>3734</v>
      </c>
      <c r="H83" s="53" t="s">
        <v>3789</v>
      </c>
      <c r="I83" s="54">
        <v>2000</v>
      </c>
      <c r="J83" s="53" t="s">
        <v>3736</v>
      </c>
      <c r="K83" s="53" t="s">
        <v>146</v>
      </c>
      <c r="L83" s="53" t="s">
        <v>306</v>
      </c>
      <c r="M83" s="53" t="s">
        <v>147</v>
      </c>
    </row>
    <row r="84" spans="1:13" ht="15" customHeight="1" x14ac:dyDescent="0.35">
      <c r="A84" s="53" t="s">
        <v>307</v>
      </c>
      <c r="B84" s="53" t="s">
        <v>3806</v>
      </c>
      <c r="C84" s="53" t="s">
        <v>3732</v>
      </c>
      <c r="D84" s="53" t="s">
        <v>143</v>
      </c>
      <c r="E84" s="53" t="s">
        <v>109</v>
      </c>
      <c r="F84" s="53" t="s">
        <v>3733</v>
      </c>
      <c r="G84" s="53" t="s">
        <v>3734</v>
      </c>
      <c r="H84" s="53" t="s">
        <v>3789</v>
      </c>
      <c r="I84" s="54">
        <v>2000</v>
      </c>
      <c r="J84" s="53" t="s">
        <v>3736</v>
      </c>
      <c r="K84" s="53" t="s">
        <v>146</v>
      </c>
      <c r="L84" s="53" t="s">
        <v>308</v>
      </c>
      <c r="M84" s="53" t="s">
        <v>147</v>
      </c>
    </row>
    <row r="85" spans="1:13" ht="15" customHeight="1" x14ac:dyDescent="0.35">
      <c r="A85" s="53" t="s">
        <v>309</v>
      </c>
      <c r="B85" s="53" t="s">
        <v>3807</v>
      </c>
      <c r="C85" s="53" t="s">
        <v>3732</v>
      </c>
      <c r="D85" s="53" t="s">
        <v>143</v>
      </c>
      <c r="E85" s="53" t="s">
        <v>109</v>
      </c>
      <c r="F85" s="53" t="s">
        <v>3733</v>
      </c>
      <c r="G85" s="53" t="s">
        <v>3734</v>
      </c>
      <c r="H85" s="53" t="s">
        <v>3789</v>
      </c>
      <c r="I85" s="54">
        <v>2000</v>
      </c>
      <c r="J85" s="53" t="s">
        <v>3736</v>
      </c>
      <c r="K85" s="53" t="s">
        <v>146</v>
      </c>
      <c r="L85" s="53" t="s">
        <v>310</v>
      </c>
      <c r="M85" s="53" t="s">
        <v>147</v>
      </c>
    </row>
    <row r="86" spans="1:13" ht="15" customHeight="1" x14ac:dyDescent="0.35">
      <c r="A86" s="53" t="s">
        <v>311</v>
      </c>
      <c r="B86" s="53" t="s">
        <v>3808</v>
      </c>
      <c r="C86" s="53" t="s">
        <v>3732</v>
      </c>
      <c r="D86" s="53" t="s">
        <v>143</v>
      </c>
      <c r="E86" s="53" t="s">
        <v>109</v>
      </c>
      <c r="F86" s="53" t="s">
        <v>3733</v>
      </c>
      <c r="G86" s="53" t="s">
        <v>3734</v>
      </c>
      <c r="H86" s="53" t="s">
        <v>3789</v>
      </c>
      <c r="I86" s="54">
        <v>2000</v>
      </c>
      <c r="J86" s="53" t="s">
        <v>3736</v>
      </c>
      <c r="K86" s="53" t="s">
        <v>146</v>
      </c>
      <c r="L86" s="53" t="s">
        <v>312</v>
      </c>
      <c r="M86" s="53" t="s">
        <v>147</v>
      </c>
    </row>
    <row r="87" spans="1:13" ht="15" customHeight="1" x14ac:dyDescent="0.35">
      <c r="A87" s="53" t="s">
        <v>313</v>
      </c>
      <c r="B87" s="53" t="s">
        <v>3809</v>
      </c>
      <c r="C87" s="53" t="s">
        <v>3732</v>
      </c>
      <c r="D87" s="53" t="s">
        <v>143</v>
      </c>
      <c r="E87" s="53" t="s">
        <v>109</v>
      </c>
      <c r="F87" s="53" t="s">
        <v>3733</v>
      </c>
      <c r="G87" s="53" t="s">
        <v>3734</v>
      </c>
      <c r="H87" s="53" t="s">
        <v>3789</v>
      </c>
      <c r="I87" s="54">
        <v>2000</v>
      </c>
      <c r="J87" s="53" t="s">
        <v>3736</v>
      </c>
      <c r="K87" s="53" t="s">
        <v>146</v>
      </c>
      <c r="L87" s="53" t="s">
        <v>274</v>
      </c>
      <c r="M87" s="53" t="s">
        <v>147</v>
      </c>
    </row>
    <row r="88" spans="1:13" ht="15" customHeight="1" x14ac:dyDescent="0.35">
      <c r="A88" s="53" t="s">
        <v>314</v>
      </c>
      <c r="B88" s="53" t="s">
        <v>3810</v>
      </c>
      <c r="C88" s="53" t="s">
        <v>3732</v>
      </c>
      <c r="D88" s="53" t="s">
        <v>143</v>
      </c>
      <c r="E88" s="53" t="s">
        <v>109</v>
      </c>
      <c r="F88" s="53" t="s">
        <v>3733</v>
      </c>
      <c r="G88" s="53" t="s">
        <v>3734</v>
      </c>
      <c r="H88" s="53" t="s">
        <v>3789</v>
      </c>
      <c r="I88" s="54">
        <v>2000</v>
      </c>
      <c r="J88" s="53" t="s">
        <v>3736</v>
      </c>
      <c r="K88" s="53" t="s">
        <v>146</v>
      </c>
      <c r="L88" s="53" t="s">
        <v>315</v>
      </c>
      <c r="M88" s="53" t="s">
        <v>147</v>
      </c>
    </row>
    <row r="89" spans="1:13" ht="15" customHeight="1" x14ac:dyDescent="0.35">
      <c r="A89" s="53" t="s">
        <v>316</v>
      </c>
      <c r="B89" s="53" t="s">
        <v>3811</v>
      </c>
      <c r="C89" s="53" t="s">
        <v>3732</v>
      </c>
      <c r="D89" s="53" t="s">
        <v>143</v>
      </c>
      <c r="E89" s="53" t="s">
        <v>109</v>
      </c>
      <c r="F89" s="53" t="s">
        <v>3733</v>
      </c>
      <c r="G89" s="53" t="s">
        <v>3734</v>
      </c>
      <c r="H89" s="53" t="s">
        <v>3789</v>
      </c>
      <c r="I89" s="54">
        <v>2000</v>
      </c>
      <c r="J89" s="53" t="s">
        <v>3754</v>
      </c>
      <c r="K89" s="53" t="s">
        <v>146</v>
      </c>
      <c r="L89" s="53" t="s">
        <v>317</v>
      </c>
      <c r="M89" s="53" t="s">
        <v>147</v>
      </c>
    </row>
    <row r="90" spans="1:13" ht="15" customHeight="1" x14ac:dyDescent="0.35">
      <c r="A90" s="53" t="s">
        <v>318</v>
      </c>
      <c r="B90" s="53" t="s">
        <v>3812</v>
      </c>
      <c r="C90" s="53" t="s">
        <v>3732</v>
      </c>
      <c r="D90" s="53" t="s">
        <v>143</v>
      </c>
      <c r="E90" s="53" t="s">
        <v>109</v>
      </c>
      <c r="F90" s="53" t="s">
        <v>3733</v>
      </c>
      <c r="G90" s="53" t="s">
        <v>3734</v>
      </c>
      <c r="H90" s="53" t="s">
        <v>3789</v>
      </c>
      <c r="I90" s="54">
        <v>2000</v>
      </c>
      <c r="J90" s="53" t="s">
        <v>3736</v>
      </c>
      <c r="K90" s="53" t="s">
        <v>146</v>
      </c>
      <c r="L90" s="53" t="s">
        <v>319</v>
      </c>
      <c r="M90" s="53" t="s">
        <v>147</v>
      </c>
    </row>
    <row r="91" spans="1:13" ht="15" customHeight="1" x14ac:dyDescent="0.35">
      <c r="A91" s="53" t="s">
        <v>320</v>
      </c>
      <c r="B91" s="53" t="s">
        <v>3813</v>
      </c>
      <c r="C91" s="53" t="s">
        <v>3732</v>
      </c>
      <c r="D91" s="53" t="s">
        <v>143</v>
      </c>
      <c r="E91" s="53" t="s">
        <v>109</v>
      </c>
      <c r="F91" s="53" t="s">
        <v>3733</v>
      </c>
      <c r="G91" s="53" t="s">
        <v>3734</v>
      </c>
      <c r="H91" s="53" t="s">
        <v>3789</v>
      </c>
      <c r="I91" s="54">
        <v>2000</v>
      </c>
      <c r="J91" s="53" t="s">
        <v>3736</v>
      </c>
      <c r="K91" s="53" t="s">
        <v>146</v>
      </c>
      <c r="L91" s="53" t="s">
        <v>321</v>
      </c>
      <c r="M91" s="53" t="s">
        <v>147</v>
      </c>
    </row>
    <row r="92" spans="1:13" ht="15" customHeight="1" x14ac:dyDescent="0.35">
      <c r="A92" s="53" t="s">
        <v>322</v>
      </c>
      <c r="B92" s="53" t="s">
        <v>3814</v>
      </c>
      <c r="C92" s="53" t="s">
        <v>3732</v>
      </c>
      <c r="D92" s="53" t="s">
        <v>143</v>
      </c>
      <c r="E92" s="53" t="s">
        <v>109</v>
      </c>
      <c r="F92" s="53" t="s">
        <v>3733</v>
      </c>
      <c r="G92" s="53" t="s">
        <v>3734</v>
      </c>
      <c r="H92" s="53" t="s">
        <v>3789</v>
      </c>
      <c r="I92" s="54">
        <v>2000</v>
      </c>
      <c r="J92" s="53" t="s">
        <v>3736</v>
      </c>
      <c r="K92" s="53" t="s">
        <v>146</v>
      </c>
      <c r="L92" s="53" t="s">
        <v>323</v>
      </c>
      <c r="M92" s="53" t="s">
        <v>147</v>
      </c>
    </row>
    <row r="93" spans="1:13" ht="15" customHeight="1" x14ac:dyDescent="0.35">
      <c r="A93" s="53" t="s">
        <v>324</v>
      </c>
      <c r="B93" s="53" t="s">
        <v>3815</v>
      </c>
      <c r="C93" s="53" t="s">
        <v>3732</v>
      </c>
      <c r="D93" s="53" t="s">
        <v>143</v>
      </c>
      <c r="E93" s="53" t="s">
        <v>109</v>
      </c>
      <c r="F93" s="53" t="s">
        <v>3733</v>
      </c>
      <c r="G93" s="53" t="s">
        <v>3734</v>
      </c>
      <c r="H93" s="53" t="s">
        <v>3789</v>
      </c>
      <c r="I93" s="54">
        <v>2000</v>
      </c>
      <c r="J93" s="53" t="s">
        <v>3736</v>
      </c>
      <c r="K93" s="53" t="s">
        <v>146</v>
      </c>
      <c r="L93" s="53" t="s">
        <v>325</v>
      </c>
      <c r="M93" s="53" t="s">
        <v>147</v>
      </c>
    </row>
    <row r="94" spans="1:13" ht="15" customHeight="1" x14ac:dyDescent="0.35">
      <c r="A94" s="53" t="s">
        <v>326</v>
      </c>
      <c r="B94" s="53" t="s">
        <v>3816</v>
      </c>
      <c r="C94" s="53" t="s">
        <v>3732</v>
      </c>
      <c r="D94" s="53" t="s">
        <v>143</v>
      </c>
      <c r="E94" s="53" t="s">
        <v>109</v>
      </c>
      <c r="F94" s="53" t="s">
        <v>3733</v>
      </c>
      <c r="G94" s="53" t="s">
        <v>3734</v>
      </c>
      <c r="H94" s="53" t="s">
        <v>3789</v>
      </c>
      <c r="I94" s="54">
        <v>2000</v>
      </c>
      <c r="J94" s="53" t="s">
        <v>3754</v>
      </c>
      <c r="K94" s="53" t="s">
        <v>146</v>
      </c>
      <c r="L94" s="53" t="s">
        <v>327</v>
      </c>
      <c r="M94" s="53" t="s">
        <v>147</v>
      </c>
    </row>
    <row r="95" spans="1:13" ht="15" customHeight="1" x14ac:dyDescent="0.35">
      <c r="A95" s="53" t="s">
        <v>328</v>
      </c>
      <c r="B95" s="53" t="s">
        <v>3817</v>
      </c>
      <c r="C95" s="53" t="s">
        <v>3732</v>
      </c>
      <c r="D95" s="53" t="s">
        <v>143</v>
      </c>
      <c r="E95" s="53" t="s">
        <v>109</v>
      </c>
      <c r="F95" s="53" t="s">
        <v>3733</v>
      </c>
      <c r="G95" s="53" t="s">
        <v>3734</v>
      </c>
      <c r="H95" s="53" t="s">
        <v>3789</v>
      </c>
      <c r="I95" s="54">
        <v>2000</v>
      </c>
      <c r="J95" s="53" t="s">
        <v>3736</v>
      </c>
      <c r="K95" s="53" t="s">
        <v>146</v>
      </c>
      <c r="L95" s="53" t="s">
        <v>329</v>
      </c>
      <c r="M95" s="53" t="s">
        <v>147</v>
      </c>
    </row>
    <row r="96" spans="1:13" ht="15" customHeight="1" x14ac:dyDescent="0.35">
      <c r="A96" s="53" t="s">
        <v>330</v>
      </c>
      <c r="B96" s="53" t="s">
        <v>3818</v>
      </c>
      <c r="C96" s="53" t="s">
        <v>3732</v>
      </c>
      <c r="D96" s="53" t="s">
        <v>143</v>
      </c>
      <c r="E96" s="53" t="s">
        <v>109</v>
      </c>
      <c r="F96" s="53" t="s">
        <v>3733</v>
      </c>
      <c r="G96" s="53" t="s">
        <v>3734</v>
      </c>
      <c r="H96" s="53" t="s">
        <v>3789</v>
      </c>
      <c r="I96" s="54">
        <v>2000</v>
      </c>
      <c r="J96" s="53" t="s">
        <v>3736</v>
      </c>
      <c r="K96" s="53" t="s">
        <v>146</v>
      </c>
      <c r="L96" s="53" t="s">
        <v>329</v>
      </c>
      <c r="M96" s="53" t="s">
        <v>147</v>
      </c>
    </row>
    <row r="97" spans="1:13" ht="15" customHeight="1" x14ac:dyDescent="0.35">
      <c r="A97" s="53" t="s">
        <v>331</v>
      </c>
      <c r="B97" s="53" t="s">
        <v>3819</v>
      </c>
      <c r="C97" s="53" t="s">
        <v>3732</v>
      </c>
      <c r="D97" s="53" t="s">
        <v>143</v>
      </c>
      <c r="E97" s="53" t="s">
        <v>109</v>
      </c>
      <c r="F97" s="53" t="s">
        <v>3733</v>
      </c>
      <c r="G97" s="53" t="s">
        <v>3734</v>
      </c>
      <c r="H97" s="53" t="s">
        <v>3789</v>
      </c>
      <c r="I97" s="54">
        <v>2000</v>
      </c>
      <c r="J97" s="53" t="s">
        <v>3736</v>
      </c>
      <c r="K97" s="53" t="s">
        <v>146</v>
      </c>
      <c r="L97" s="53" t="s">
        <v>332</v>
      </c>
      <c r="M97" s="53" t="s">
        <v>147</v>
      </c>
    </row>
    <row r="98" spans="1:13" ht="15" customHeight="1" x14ac:dyDescent="0.35">
      <c r="A98" s="53" t="s">
        <v>333</v>
      </c>
      <c r="B98" s="53" t="s">
        <v>3820</v>
      </c>
      <c r="C98" s="53" t="s">
        <v>3732</v>
      </c>
      <c r="D98" s="53" t="s">
        <v>143</v>
      </c>
      <c r="E98" s="53" t="s">
        <v>109</v>
      </c>
      <c r="F98" s="53" t="s">
        <v>3733</v>
      </c>
      <c r="G98" s="53" t="s">
        <v>3734</v>
      </c>
      <c r="H98" s="53" t="s">
        <v>3789</v>
      </c>
      <c r="I98" s="54">
        <v>2000</v>
      </c>
      <c r="J98" s="53" t="s">
        <v>3747</v>
      </c>
      <c r="K98" s="53" t="s">
        <v>146</v>
      </c>
      <c r="L98" s="53" t="s">
        <v>334</v>
      </c>
      <c r="M98" s="53" t="s">
        <v>147</v>
      </c>
    </row>
    <row r="99" spans="1:13" ht="15" customHeight="1" x14ac:dyDescent="0.35">
      <c r="A99" s="53" t="s">
        <v>335</v>
      </c>
      <c r="B99" s="53" t="s">
        <v>3821</v>
      </c>
      <c r="C99" s="53" t="s">
        <v>3732</v>
      </c>
      <c r="D99" s="53" t="s">
        <v>143</v>
      </c>
      <c r="E99" s="53" t="s">
        <v>109</v>
      </c>
      <c r="F99" s="53" t="s">
        <v>3733</v>
      </c>
      <c r="G99" s="53" t="s">
        <v>3734</v>
      </c>
      <c r="H99" s="53" t="s">
        <v>3789</v>
      </c>
      <c r="I99" s="54">
        <v>2000</v>
      </c>
      <c r="J99" s="53" t="s">
        <v>3736</v>
      </c>
      <c r="K99" s="53" t="s">
        <v>146</v>
      </c>
      <c r="L99" s="53" t="s">
        <v>336</v>
      </c>
      <c r="M99" s="53" t="s">
        <v>147</v>
      </c>
    </row>
    <row r="100" spans="1:13" ht="15" customHeight="1" x14ac:dyDescent="0.35">
      <c r="A100" s="53" t="s">
        <v>337</v>
      </c>
      <c r="B100" s="53" t="s">
        <v>3822</v>
      </c>
      <c r="C100" s="53" t="s">
        <v>3732</v>
      </c>
      <c r="D100" s="53" t="s">
        <v>143</v>
      </c>
      <c r="E100" s="53" t="s">
        <v>109</v>
      </c>
      <c r="F100" s="53" t="s">
        <v>3733</v>
      </c>
      <c r="G100" s="53" t="s">
        <v>3734</v>
      </c>
      <c r="H100" s="53" t="s">
        <v>3789</v>
      </c>
      <c r="I100" s="54">
        <v>2000</v>
      </c>
      <c r="J100" s="53" t="s">
        <v>3736</v>
      </c>
      <c r="K100" s="53" t="s">
        <v>146</v>
      </c>
      <c r="L100" s="53" t="s">
        <v>338</v>
      </c>
      <c r="M100" s="53" t="s">
        <v>147</v>
      </c>
    </row>
    <row r="101" spans="1:13" ht="15" customHeight="1" x14ac:dyDescent="0.35">
      <c r="A101" s="53" t="s">
        <v>339</v>
      </c>
      <c r="B101" s="53" t="s">
        <v>3823</v>
      </c>
      <c r="C101" s="53" t="s">
        <v>3732</v>
      </c>
      <c r="D101" s="53" t="s">
        <v>143</v>
      </c>
      <c r="E101" s="53" t="s">
        <v>109</v>
      </c>
      <c r="F101" s="53" t="s">
        <v>3733</v>
      </c>
      <c r="G101" s="53" t="s">
        <v>3734</v>
      </c>
      <c r="H101" s="53" t="s">
        <v>3789</v>
      </c>
      <c r="I101" s="54">
        <v>2000</v>
      </c>
      <c r="J101" s="53" t="s">
        <v>3736</v>
      </c>
      <c r="K101" s="53" t="s">
        <v>146</v>
      </c>
      <c r="L101" s="53" t="s">
        <v>340</v>
      </c>
      <c r="M101" s="53" t="s">
        <v>147</v>
      </c>
    </row>
    <row r="102" spans="1:13" ht="15" customHeight="1" x14ac:dyDescent="0.35">
      <c r="A102" s="53" t="s">
        <v>341</v>
      </c>
      <c r="B102" s="53" t="s">
        <v>3824</v>
      </c>
      <c r="C102" s="53" t="s">
        <v>3732</v>
      </c>
      <c r="D102" s="53" t="s">
        <v>143</v>
      </c>
      <c r="E102" s="53" t="s">
        <v>109</v>
      </c>
      <c r="F102" s="53" t="s">
        <v>3733</v>
      </c>
      <c r="G102" s="53" t="s">
        <v>3734</v>
      </c>
      <c r="H102" s="53" t="s">
        <v>3789</v>
      </c>
      <c r="I102" s="54">
        <v>2000</v>
      </c>
      <c r="J102" s="53" t="s">
        <v>3736</v>
      </c>
      <c r="K102" s="53" t="s">
        <v>146</v>
      </c>
      <c r="L102" s="53" t="s">
        <v>342</v>
      </c>
      <c r="M102" s="53" t="s">
        <v>147</v>
      </c>
    </row>
    <row r="103" spans="1:13" ht="15" customHeight="1" x14ac:dyDescent="0.35">
      <c r="A103" s="53" t="s">
        <v>343</v>
      </c>
      <c r="B103" s="53" t="s">
        <v>3825</v>
      </c>
      <c r="C103" s="53" t="s">
        <v>3732</v>
      </c>
      <c r="D103" s="53" t="s">
        <v>143</v>
      </c>
      <c r="E103" s="53" t="s">
        <v>109</v>
      </c>
      <c r="F103" s="53" t="s">
        <v>3733</v>
      </c>
      <c r="G103" s="53" t="s">
        <v>3734</v>
      </c>
      <c r="H103" s="53" t="s">
        <v>3789</v>
      </c>
      <c r="I103" s="54">
        <v>2000</v>
      </c>
      <c r="J103" s="53" t="s">
        <v>3736</v>
      </c>
      <c r="K103" s="53" t="s">
        <v>146</v>
      </c>
      <c r="L103" s="53" t="s">
        <v>344</v>
      </c>
      <c r="M103" s="53" t="s">
        <v>147</v>
      </c>
    </row>
    <row r="104" spans="1:13" ht="15" customHeight="1" x14ac:dyDescent="0.35">
      <c r="A104" s="53" t="s">
        <v>345</v>
      </c>
      <c r="B104" s="53" t="s">
        <v>3826</v>
      </c>
      <c r="C104" s="53" t="s">
        <v>3732</v>
      </c>
      <c r="D104" s="53" t="s">
        <v>143</v>
      </c>
      <c r="E104" s="53" t="s">
        <v>109</v>
      </c>
      <c r="F104" s="53" t="s">
        <v>3733</v>
      </c>
      <c r="G104" s="53" t="s">
        <v>3734</v>
      </c>
      <c r="H104" s="53" t="s">
        <v>3789</v>
      </c>
      <c r="I104" s="54">
        <v>2000</v>
      </c>
      <c r="J104" s="53" t="s">
        <v>3736</v>
      </c>
      <c r="K104" s="53" t="s">
        <v>146</v>
      </c>
      <c r="L104" s="53" t="s">
        <v>346</v>
      </c>
      <c r="M104" s="53" t="s">
        <v>147</v>
      </c>
    </row>
    <row r="105" spans="1:13" ht="15" customHeight="1" x14ac:dyDescent="0.35">
      <c r="A105" s="53" t="s">
        <v>347</v>
      </c>
      <c r="B105" s="53" t="s">
        <v>3827</v>
      </c>
      <c r="C105" s="53" t="s">
        <v>3732</v>
      </c>
      <c r="D105" s="53" t="s">
        <v>143</v>
      </c>
      <c r="E105" s="53" t="s">
        <v>109</v>
      </c>
      <c r="F105" s="53" t="s">
        <v>3733</v>
      </c>
      <c r="G105" s="53" t="s">
        <v>3734</v>
      </c>
      <c r="H105" s="53" t="s">
        <v>3789</v>
      </c>
      <c r="I105" s="54">
        <v>2000</v>
      </c>
      <c r="J105" s="53" t="s">
        <v>3747</v>
      </c>
      <c r="K105" s="53" t="s">
        <v>146</v>
      </c>
      <c r="L105" s="53" t="s">
        <v>348</v>
      </c>
      <c r="M105" s="53" t="s">
        <v>147</v>
      </c>
    </row>
    <row r="106" spans="1:13" ht="15" customHeight="1" x14ac:dyDescent="0.35">
      <c r="A106" s="53" t="s">
        <v>349</v>
      </c>
      <c r="B106" s="53" t="s">
        <v>3828</v>
      </c>
      <c r="C106" s="53" t="s">
        <v>3732</v>
      </c>
      <c r="D106" s="53" t="s">
        <v>143</v>
      </c>
      <c r="E106" s="53" t="s">
        <v>109</v>
      </c>
      <c r="F106" s="53" t="s">
        <v>3733</v>
      </c>
      <c r="G106" s="53" t="s">
        <v>3734</v>
      </c>
      <c r="H106" s="53" t="s">
        <v>3789</v>
      </c>
      <c r="I106" s="54">
        <v>2000</v>
      </c>
      <c r="J106" s="53" t="s">
        <v>3736</v>
      </c>
      <c r="K106" s="53" t="s">
        <v>146</v>
      </c>
      <c r="L106" s="53" t="s">
        <v>350</v>
      </c>
      <c r="M106" s="53" t="s">
        <v>147</v>
      </c>
    </row>
    <row r="107" spans="1:13" ht="15" customHeight="1" x14ac:dyDescent="0.35">
      <c r="A107" s="53" t="s">
        <v>351</v>
      </c>
      <c r="B107" s="53" t="s">
        <v>3829</v>
      </c>
      <c r="C107" s="53" t="s">
        <v>3732</v>
      </c>
      <c r="D107" s="53" t="s">
        <v>143</v>
      </c>
      <c r="E107" s="53" t="s">
        <v>109</v>
      </c>
      <c r="F107" s="53" t="s">
        <v>3733</v>
      </c>
      <c r="G107" s="53" t="s">
        <v>3734</v>
      </c>
      <c r="H107" s="53" t="s">
        <v>3789</v>
      </c>
      <c r="I107" s="54">
        <v>2000</v>
      </c>
      <c r="J107" s="53" t="s">
        <v>3736</v>
      </c>
      <c r="K107" s="53" t="s">
        <v>146</v>
      </c>
      <c r="L107" s="53" t="s">
        <v>352</v>
      </c>
      <c r="M107" s="53" t="s">
        <v>147</v>
      </c>
    </row>
    <row r="108" spans="1:13" ht="15" customHeight="1" x14ac:dyDescent="0.35">
      <c r="A108" s="53" t="s">
        <v>353</v>
      </c>
      <c r="B108" s="53" t="s">
        <v>3830</v>
      </c>
      <c r="C108" s="53" t="s">
        <v>3732</v>
      </c>
      <c r="D108" s="53" t="s">
        <v>143</v>
      </c>
      <c r="E108" s="53" t="s">
        <v>109</v>
      </c>
      <c r="F108" s="53" t="s">
        <v>3733</v>
      </c>
      <c r="G108" s="53" t="s">
        <v>3734</v>
      </c>
      <c r="H108" s="53" t="s">
        <v>3789</v>
      </c>
      <c r="I108" s="54">
        <v>2000</v>
      </c>
      <c r="J108" s="53" t="s">
        <v>3736</v>
      </c>
      <c r="K108" s="53" t="s">
        <v>146</v>
      </c>
      <c r="L108" s="53" t="s">
        <v>354</v>
      </c>
      <c r="M108" s="53" t="s">
        <v>147</v>
      </c>
    </row>
    <row r="109" spans="1:13" ht="15" customHeight="1" x14ac:dyDescent="0.35">
      <c r="A109" s="53" t="s">
        <v>355</v>
      </c>
      <c r="B109" s="53" t="s">
        <v>3831</v>
      </c>
      <c r="C109" s="53" t="s">
        <v>3732</v>
      </c>
      <c r="D109" s="53" t="s">
        <v>143</v>
      </c>
      <c r="E109" s="53" t="s">
        <v>109</v>
      </c>
      <c r="F109" s="53" t="s">
        <v>3733</v>
      </c>
      <c r="G109" s="53" t="s">
        <v>3734</v>
      </c>
      <c r="H109" s="53" t="s">
        <v>3789</v>
      </c>
      <c r="I109" s="54">
        <v>2000</v>
      </c>
      <c r="J109" s="53" t="s">
        <v>3736</v>
      </c>
      <c r="K109" s="53" t="s">
        <v>146</v>
      </c>
      <c r="L109" s="53" t="s">
        <v>354</v>
      </c>
      <c r="M109" s="53" t="s">
        <v>147</v>
      </c>
    </row>
    <row r="110" spans="1:13" ht="15" customHeight="1" x14ac:dyDescent="0.35">
      <c r="A110" s="53" t="s">
        <v>356</v>
      </c>
      <c r="B110" s="53" t="s">
        <v>3832</v>
      </c>
      <c r="C110" s="53" t="s">
        <v>3732</v>
      </c>
      <c r="D110" s="53" t="s">
        <v>143</v>
      </c>
      <c r="E110" s="53" t="s">
        <v>109</v>
      </c>
      <c r="F110" s="53" t="s">
        <v>3733</v>
      </c>
      <c r="G110" s="53" t="s">
        <v>3734</v>
      </c>
      <c r="H110" s="53" t="s">
        <v>3789</v>
      </c>
      <c r="I110" s="54">
        <v>2000</v>
      </c>
      <c r="J110" s="53" t="s">
        <v>3736</v>
      </c>
      <c r="K110" s="53" t="s">
        <v>146</v>
      </c>
      <c r="L110" s="53" t="s">
        <v>357</v>
      </c>
      <c r="M110" s="53" t="s">
        <v>147</v>
      </c>
    </row>
    <row r="111" spans="1:13" ht="15" customHeight="1" x14ac:dyDescent="0.35">
      <c r="A111" s="53" t="s">
        <v>358</v>
      </c>
      <c r="B111" s="53" t="s">
        <v>3833</v>
      </c>
      <c r="C111" s="53" t="s">
        <v>3732</v>
      </c>
      <c r="D111" s="53" t="s">
        <v>143</v>
      </c>
      <c r="E111" s="53" t="s">
        <v>109</v>
      </c>
      <c r="F111" s="53" t="s">
        <v>3733</v>
      </c>
      <c r="G111" s="53" t="s">
        <v>3734</v>
      </c>
      <c r="H111" s="53" t="s">
        <v>3789</v>
      </c>
      <c r="I111" s="54">
        <v>2000</v>
      </c>
      <c r="J111" s="53" t="s">
        <v>3736</v>
      </c>
      <c r="K111" s="53" t="s">
        <v>146</v>
      </c>
      <c r="L111" s="53" t="s">
        <v>359</v>
      </c>
      <c r="M111" s="53" t="s">
        <v>147</v>
      </c>
    </row>
    <row r="112" spans="1:13" ht="15" customHeight="1" x14ac:dyDescent="0.35">
      <c r="A112" s="53" t="s">
        <v>360</v>
      </c>
      <c r="B112" s="53" t="s">
        <v>3834</v>
      </c>
      <c r="C112" s="53" t="s">
        <v>3732</v>
      </c>
      <c r="D112" s="53" t="s">
        <v>143</v>
      </c>
      <c r="E112" s="53" t="s">
        <v>109</v>
      </c>
      <c r="F112" s="53" t="s">
        <v>3733</v>
      </c>
      <c r="G112" s="53" t="s">
        <v>3734</v>
      </c>
      <c r="H112" s="53" t="s">
        <v>3789</v>
      </c>
      <c r="I112" s="54">
        <v>2000</v>
      </c>
      <c r="J112" s="53" t="s">
        <v>3736</v>
      </c>
      <c r="K112" s="53" t="s">
        <v>158</v>
      </c>
      <c r="L112" s="53" t="s">
        <v>272</v>
      </c>
      <c r="M112" s="53" t="s">
        <v>147</v>
      </c>
    </row>
    <row r="113" spans="1:13" ht="15" customHeight="1" x14ac:dyDescent="0.35">
      <c r="A113" s="53" t="s">
        <v>361</v>
      </c>
      <c r="B113" s="53" t="s">
        <v>3835</v>
      </c>
      <c r="C113" s="53" t="s">
        <v>3732</v>
      </c>
      <c r="D113" s="53" t="s">
        <v>143</v>
      </c>
      <c r="E113" s="53" t="s">
        <v>109</v>
      </c>
      <c r="F113" s="53" t="s">
        <v>3836</v>
      </c>
      <c r="G113" s="53" t="s">
        <v>3734</v>
      </c>
      <c r="H113" s="53" t="s">
        <v>3789</v>
      </c>
      <c r="I113" s="54">
        <v>2000</v>
      </c>
      <c r="J113" s="53" t="s">
        <v>3837</v>
      </c>
      <c r="K113" s="53" t="s">
        <v>146</v>
      </c>
      <c r="L113" s="53" t="s">
        <v>362</v>
      </c>
      <c r="M113" s="53" t="s">
        <v>147</v>
      </c>
    </row>
    <row r="114" spans="1:13" ht="15" customHeight="1" x14ac:dyDescent="0.35">
      <c r="A114" s="53" t="s">
        <v>363</v>
      </c>
      <c r="B114" s="53" t="s">
        <v>3838</v>
      </c>
      <c r="C114" s="53" t="s">
        <v>3732</v>
      </c>
      <c r="D114" s="53" t="s">
        <v>143</v>
      </c>
      <c r="E114" s="53" t="s">
        <v>109</v>
      </c>
      <c r="F114" s="53" t="s">
        <v>3836</v>
      </c>
      <c r="G114" s="53" t="s">
        <v>3734</v>
      </c>
      <c r="H114" s="53" t="s">
        <v>3789</v>
      </c>
      <c r="I114" s="54">
        <v>2000</v>
      </c>
      <c r="J114" s="53" t="s">
        <v>3837</v>
      </c>
      <c r="K114" s="53" t="s">
        <v>146</v>
      </c>
      <c r="L114" s="53" t="s">
        <v>364</v>
      </c>
      <c r="M114" s="53" t="s">
        <v>147</v>
      </c>
    </row>
    <row r="115" spans="1:13" ht="15" customHeight="1" x14ac:dyDescent="0.35">
      <c r="A115" s="53" t="s">
        <v>365</v>
      </c>
      <c r="B115" s="53" t="s">
        <v>3839</v>
      </c>
      <c r="C115" s="53" t="s">
        <v>3732</v>
      </c>
      <c r="D115" s="53" t="s">
        <v>143</v>
      </c>
      <c r="E115" s="53" t="s">
        <v>109</v>
      </c>
      <c r="F115" s="53" t="s">
        <v>3733</v>
      </c>
      <c r="G115" s="53" t="s">
        <v>3734</v>
      </c>
      <c r="H115" s="53" t="s">
        <v>3789</v>
      </c>
      <c r="I115" s="54">
        <v>2000</v>
      </c>
      <c r="J115" s="53" t="s">
        <v>3736</v>
      </c>
      <c r="K115" s="53" t="s">
        <v>146</v>
      </c>
      <c r="L115" s="53" t="s">
        <v>248</v>
      </c>
      <c r="M115" s="53" t="s">
        <v>147</v>
      </c>
    </row>
    <row r="116" spans="1:13" ht="15" customHeight="1" x14ac:dyDescent="0.35">
      <c r="A116" s="53" t="s">
        <v>366</v>
      </c>
      <c r="B116" s="53" t="s">
        <v>3840</v>
      </c>
      <c r="C116" s="53" t="s">
        <v>3732</v>
      </c>
      <c r="D116" s="53" t="s">
        <v>143</v>
      </c>
      <c r="E116" s="53" t="s">
        <v>109</v>
      </c>
      <c r="F116" s="53" t="s">
        <v>3733</v>
      </c>
      <c r="G116" s="53" t="s">
        <v>3734</v>
      </c>
      <c r="H116" s="53" t="s">
        <v>3789</v>
      </c>
      <c r="I116" s="54">
        <v>2000</v>
      </c>
      <c r="J116" s="53" t="s">
        <v>3736</v>
      </c>
      <c r="K116" s="53" t="s">
        <v>146</v>
      </c>
      <c r="L116" s="53" t="s">
        <v>367</v>
      </c>
      <c r="M116" s="53" t="s">
        <v>147</v>
      </c>
    </row>
    <row r="117" spans="1:13" ht="15" customHeight="1" x14ac:dyDescent="0.35">
      <c r="A117" s="53" t="s">
        <v>368</v>
      </c>
      <c r="B117" s="53" t="s">
        <v>3841</v>
      </c>
      <c r="C117" s="53" t="s">
        <v>3732</v>
      </c>
      <c r="D117" s="53" t="s">
        <v>143</v>
      </c>
      <c r="E117" s="53" t="s">
        <v>109</v>
      </c>
      <c r="F117" s="53" t="s">
        <v>3733</v>
      </c>
      <c r="G117" s="53" t="s">
        <v>3734</v>
      </c>
      <c r="H117" s="53" t="s">
        <v>3789</v>
      </c>
      <c r="I117" s="54">
        <v>2000</v>
      </c>
      <c r="J117" s="53" t="s">
        <v>3736</v>
      </c>
      <c r="K117" s="53" t="s">
        <v>146</v>
      </c>
      <c r="L117" s="53" t="s">
        <v>369</v>
      </c>
      <c r="M117" s="53" t="s">
        <v>147</v>
      </c>
    </row>
    <row r="118" spans="1:13" ht="15" customHeight="1" x14ac:dyDescent="0.35">
      <c r="A118" s="53" t="s">
        <v>370</v>
      </c>
      <c r="B118" s="53" t="s">
        <v>3842</v>
      </c>
      <c r="C118" s="53" t="s">
        <v>3732</v>
      </c>
      <c r="D118" s="53" t="s">
        <v>143</v>
      </c>
      <c r="E118" s="53" t="s">
        <v>109</v>
      </c>
      <c r="F118" s="53" t="s">
        <v>3733</v>
      </c>
      <c r="G118" s="53" t="s">
        <v>3734</v>
      </c>
      <c r="H118" s="53" t="s">
        <v>3789</v>
      </c>
      <c r="I118" s="54">
        <v>2000</v>
      </c>
      <c r="J118" s="53" t="s">
        <v>3736</v>
      </c>
      <c r="K118" s="53" t="s">
        <v>146</v>
      </c>
      <c r="L118" s="53" t="s">
        <v>371</v>
      </c>
      <c r="M118" s="53" t="s">
        <v>147</v>
      </c>
    </row>
    <row r="119" spans="1:13" ht="15" customHeight="1" x14ac:dyDescent="0.35">
      <c r="A119" s="53" t="s">
        <v>372</v>
      </c>
      <c r="B119" s="53" t="s">
        <v>3843</v>
      </c>
      <c r="C119" s="53" t="s">
        <v>3732</v>
      </c>
      <c r="D119" s="53" t="s">
        <v>143</v>
      </c>
      <c r="E119" s="53" t="s">
        <v>109</v>
      </c>
      <c r="F119" s="53" t="s">
        <v>3733</v>
      </c>
      <c r="G119" s="53" t="s">
        <v>3734</v>
      </c>
      <c r="H119" s="53" t="s">
        <v>3789</v>
      </c>
      <c r="I119" s="54">
        <v>2000</v>
      </c>
      <c r="J119" s="53" t="s">
        <v>3837</v>
      </c>
      <c r="K119" s="53" t="s">
        <v>146</v>
      </c>
      <c r="L119" s="53" t="s">
        <v>373</v>
      </c>
      <c r="M119" s="53" t="s">
        <v>147</v>
      </c>
    </row>
    <row r="120" spans="1:13" ht="15" customHeight="1" x14ac:dyDescent="0.35">
      <c r="A120" s="53" t="s">
        <v>374</v>
      </c>
      <c r="B120" s="53" t="s">
        <v>3844</v>
      </c>
      <c r="C120" s="53" t="s">
        <v>3732</v>
      </c>
      <c r="D120" s="53" t="s">
        <v>143</v>
      </c>
      <c r="E120" s="53" t="s">
        <v>109</v>
      </c>
      <c r="F120" s="53" t="s">
        <v>3733</v>
      </c>
      <c r="G120" s="53" t="s">
        <v>3734</v>
      </c>
      <c r="H120" s="53" t="s">
        <v>3789</v>
      </c>
      <c r="I120" s="54">
        <v>2000</v>
      </c>
      <c r="J120" s="53" t="s">
        <v>3837</v>
      </c>
      <c r="K120" s="53" t="s">
        <v>146</v>
      </c>
      <c r="L120" s="53" t="s">
        <v>375</v>
      </c>
      <c r="M120" s="53" t="s">
        <v>147</v>
      </c>
    </row>
    <row r="121" spans="1:13" ht="15" customHeight="1" x14ac:dyDescent="0.35">
      <c r="A121" s="53" t="s">
        <v>376</v>
      </c>
      <c r="B121" s="53" t="s">
        <v>3845</v>
      </c>
      <c r="C121" s="53" t="s">
        <v>3732</v>
      </c>
      <c r="D121" s="53" t="s">
        <v>143</v>
      </c>
      <c r="E121" s="53" t="s">
        <v>109</v>
      </c>
      <c r="F121" s="53" t="s">
        <v>3733</v>
      </c>
      <c r="G121" s="53" t="s">
        <v>3734</v>
      </c>
      <c r="H121" s="53" t="s">
        <v>3789</v>
      </c>
      <c r="I121" s="54">
        <v>2000</v>
      </c>
      <c r="J121" s="53" t="s">
        <v>3837</v>
      </c>
      <c r="K121" s="53" t="s">
        <v>146</v>
      </c>
      <c r="L121" s="53" t="s">
        <v>377</v>
      </c>
      <c r="M121" s="53" t="s">
        <v>147</v>
      </c>
    </row>
    <row r="122" spans="1:13" ht="15" customHeight="1" x14ac:dyDescent="0.35">
      <c r="A122" s="53" t="s">
        <v>378</v>
      </c>
      <c r="B122" s="53" t="s">
        <v>3846</v>
      </c>
      <c r="C122" s="53" t="s">
        <v>3732</v>
      </c>
      <c r="D122" s="53" t="s">
        <v>143</v>
      </c>
      <c r="E122" s="53" t="s">
        <v>109</v>
      </c>
      <c r="F122" s="53" t="s">
        <v>3733</v>
      </c>
      <c r="G122" s="53" t="s">
        <v>3734</v>
      </c>
      <c r="H122" s="53" t="s">
        <v>3789</v>
      </c>
      <c r="I122" s="54">
        <v>2000</v>
      </c>
      <c r="J122" s="53" t="s">
        <v>3837</v>
      </c>
      <c r="K122" s="53" t="s">
        <v>146</v>
      </c>
      <c r="L122" s="53" t="s">
        <v>379</v>
      </c>
      <c r="M122" s="53" t="s">
        <v>147</v>
      </c>
    </row>
    <row r="123" spans="1:13" ht="15" customHeight="1" x14ac:dyDescent="0.35">
      <c r="A123" s="53" t="s">
        <v>380</v>
      </c>
      <c r="B123" s="53" t="s">
        <v>3847</v>
      </c>
      <c r="C123" s="53" t="s">
        <v>3732</v>
      </c>
      <c r="D123" s="53" t="s">
        <v>143</v>
      </c>
      <c r="E123" s="53" t="s">
        <v>109</v>
      </c>
      <c r="F123" s="53" t="s">
        <v>3733</v>
      </c>
      <c r="G123" s="53" t="s">
        <v>3734</v>
      </c>
      <c r="H123" s="53" t="s">
        <v>3789</v>
      </c>
      <c r="I123" s="54">
        <v>2000</v>
      </c>
      <c r="J123" s="53" t="s">
        <v>3736</v>
      </c>
      <c r="K123" s="53" t="s">
        <v>146</v>
      </c>
      <c r="L123" s="53" t="s">
        <v>381</v>
      </c>
      <c r="M123" s="53" t="s">
        <v>147</v>
      </c>
    </row>
    <row r="124" spans="1:13" ht="15" customHeight="1" x14ac:dyDescent="0.35">
      <c r="A124" s="53" t="s">
        <v>382</v>
      </c>
      <c r="B124" s="53" t="s">
        <v>3848</v>
      </c>
      <c r="C124" s="53" t="s">
        <v>3732</v>
      </c>
      <c r="D124" s="53" t="s">
        <v>143</v>
      </c>
      <c r="E124" s="53" t="s">
        <v>109</v>
      </c>
      <c r="F124" s="53" t="s">
        <v>3733</v>
      </c>
      <c r="G124" s="53" t="s">
        <v>3734</v>
      </c>
      <c r="H124" s="53" t="s">
        <v>3789</v>
      </c>
      <c r="I124" s="54">
        <v>2000</v>
      </c>
      <c r="J124" s="53" t="s">
        <v>3736</v>
      </c>
      <c r="K124" s="53" t="s">
        <v>146</v>
      </c>
      <c r="L124" s="53" t="s">
        <v>276</v>
      </c>
      <c r="M124" s="53" t="s">
        <v>147</v>
      </c>
    </row>
    <row r="125" spans="1:13" ht="15" customHeight="1" x14ac:dyDescent="0.35">
      <c r="A125" s="53" t="s">
        <v>383</v>
      </c>
      <c r="B125" s="53" t="s">
        <v>3849</v>
      </c>
      <c r="C125" s="53" t="s">
        <v>3732</v>
      </c>
      <c r="D125" s="53" t="s">
        <v>143</v>
      </c>
      <c r="E125" s="53" t="s">
        <v>109</v>
      </c>
      <c r="F125" s="53" t="s">
        <v>3733</v>
      </c>
      <c r="G125" s="53" t="s">
        <v>3734</v>
      </c>
      <c r="H125" s="53" t="s">
        <v>3789</v>
      </c>
      <c r="I125" s="54">
        <v>2000</v>
      </c>
      <c r="J125" s="53" t="s">
        <v>3736</v>
      </c>
      <c r="K125" s="53" t="s">
        <v>146</v>
      </c>
      <c r="L125" s="53" t="s">
        <v>280</v>
      </c>
      <c r="M125" s="53" t="s">
        <v>147</v>
      </c>
    </row>
    <row r="126" spans="1:13" ht="15" customHeight="1" x14ac:dyDescent="0.35">
      <c r="A126" s="53" t="s">
        <v>384</v>
      </c>
      <c r="B126" s="53" t="s">
        <v>3850</v>
      </c>
      <c r="C126" s="53" t="s">
        <v>3732</v>
      </c>
      <c r="D126" s="53" t="s">
        <v>143</v>
      </c>
      <c r="E126" s="53" t="s">
        <v>109</v>
      </c>
      <c r="F126" s="53" t="s">
        <v>3733</v>
      </c>
      <c r="G126" s="53" t="s">
        <v>3734</v>
      </c>
      <c r="H126" s="53" t="s">
        <v>3789</v>
      </c>
      <c r="I126" s="54">
        <v>2000</v>
      </c>
      <c r="J126" s="53" t="s">
        <v>3736</v>
      </c>
      <c r="K126" s="53" t="s">
        <v>146</v>
      </c>
      <c r="L126" s="53" t="s">
        <v>280</v>
      </c>
      <c r="M126" s="53" t="s">
        <v>147</v>
      </c>
    </row>
    <row r="127" spans="1:13" ht="15" customHeight="1" x14ac:dyDescent="0.35">
      <c r="A127" s="53" t="s">
        <v>385</v>
      </c>
      <c r="B127" s="53" t="s">
        <v>3851</v>
      </c>
      <c r="C127" s="53" t="s">
        <v>3732</v>
      </c>
      <c r="D127" s="53" t="s">
        <v>143</v>
      </c>
      <c r="E127" s="53" t="s">
        <v>109</v>
      </c>
      <c r="F127" s="53" t="s">
        <v>3733</v>
      </c>
      <c r="G127" s="53" t="s">
        <v>3734</v>
      </c>
      <c r="H127" s="53" t="s">
        <v>3735</v>
      </c>
      <c r="I127" s="54">
        <v>2006</v>
      </c>
      <c r="J127" s="53" t="s">
        <v>3736</v>
      </c>
      <c r="K127" s="53" t="s">
        <v>146</v>
      </c>
      <c r="L127" s="53" t="s">
        <v>386</v>
      </c>
      <c r="M127" s="53" t="s">
        <v>147</v>
      </c>
    </row>
    <row r="128" spans="1:13" ht="15" customHeight="1" x14ac:dyDescent="0.35">
      <c r="A128" s="53" t="s">
        <v>387</v>
      </c>
      <c r="B128" s="53" t="s">
        <v>3852</v>
      </c>
      <c r="C128" s="53" t="s">
        <v>3732</v>
      </c>
      <c r="D128" s="53" t="s">
        <v>143</v>
      </c>
      <c r="E128" s="53" t="s">
        <v>109</v>
      </c>
      <c r="F128" s="53" t="s">
        <v>3733</v>
      </c>
      <c r="G128" s="53" t="s">
        <v>3734</v>
      </c>
      <c r="H128" s="53" t="s">
        <v>3735</v>
      </c>
      <c r="I128" s="54">
        <v>2006</v>
      </c>
      <c r="J128" s="53" t="s">
        <v>3837</v>
      </c>
      <c r="K128" s="53" t="s">
        <v>146</v>
      </c>
      <c r="L128" s="53" t="s">
        <v>388</v>
      </c>
      <c r="M128" s="53" t="s">
        <v>147</v>
      </c>
    </row>
    <row r="129" spans="1:13" ht="15" customHeight="1" x14ac:dyDescent="0.35">
      <c r="A129" s="53" t="s">
        <v>389</v>
      </c>
      <c r="B129" s="53" t="s">
        <v>3853</v>
      </c>
      <c r="C129" s="53" t="s">
        <v>3732</v>
      </c>
      <c r="D129" s="53" t="s">
        <v>143</v>
      </c>
      <c r="E129" s="53" t="s">
        <v>109</v>
      </c>
      <c r="F129" s="53" t="s">
        <v>3733</v>
      </c>
      <c r="G129" s="53" t="s">
        <v>3734</v>
      </c>
      <c r="H129" s="53" t="s">
        <v>3735</v>
      </c>
      <c r="I129" s="54">
        <v>2006</v>
      </c>
      <c r="J129" s="53" t="s">
        <v>3736</v>
      </c>
      <c r="K129" s="53" t="s">
        <v>146</v>
      </c>
      <c r="L129" s="53" t="s">
        <v>390</v>
      </c>
      <c r="M129" s="53" t="s">
        <v>147</v>
      </c>
    </row>
    <row r="130" spans="1:13" ht="15" customHeight="1" x14ac:dyDescent="0.35">
      <c r="A130" s="53" t="s">
        <v>391</v>
      </c>
      <c r="B130" s="53" t="s">
        <v>3854</v>
      </c>
      <c r="C130" s="53" t="s">
        <v>3732</v>
      </c>
      <c r="D130" s="53" t="s">
        <v>143</v>
      </c>
      <c r="E130" s="53" t="s">
        <v>109</v>
      </c>
      <c r="F130" s="53" t="s">
        <v>3733</v>
      </c>
      <c r="G130" s="53" t="s">
        <v>3734</v>
      </c>
      <c r="H130" s="53" t="s">
        <v>3735</v>
      </c>
      <c r="I130" s="54">
        <v>2006</v>
      </c>
      <c r="J130" s="53" t="s">
        <v>3736</v>
      </c>
      <c r="K130" s="53" t="s">
        <v>146</v>
      </c>
      <c r="L130" s="53" t="s">
        <v>392</v>
      </c>
      <c r="M130" s="53" t="s">
        <v>147</v>
      </c>
    </row>
    <row r="131" spans="1:13" ht="15" customHeight="1" x14ac:dyDescent="0.35">
      <c r="A131" s="53" t="s">
        <v>393</v>
      </c>
      <c r="B131" s="53" t="s">
        <v>3855</v>
      </c>
      <c r="C131" s="53" t="s">
        <v>3732</v>
      </c>
      <c r="D131" s="53" t="s">
        <v>143</v>
      </c>
      <c r="E131" s="53" t="s">
        <v>109</v>
      </c>
      <c r="F131" s="53" t="s">
        <v>3733</v>
      </c>
      <c r="G131" s="53" t="s">
        <v>3734</v>
      </c>
      <c r="H131" s="53" t="s">
        <v>3735</v>
      </c>
      <c r="I131" s="54">
        <v>2006</v>
      </c>
      <c r="J131" s="53" t="s">
        <v>3736</v>
      </c>
      <c r="K131" s="53" t="s">
        <v>146</v>
      </c>
      <c r="L131" s="53" t="s">
        <v>394</v>
      </c>
      <c r="M131" s="53" t="s">
        <v>147</v>
      </c>
    </row>
    <row r="132" spans="1:13" ht="15" customHeight="1" x14ac:dyDescent="0.35">
      <c r="A132" s="53" t="s">
        <v>395</v>
      </c>
      <c r="B132" s="53" t="s">
        <v>3856</v>
      </c>
      <c r="C132" s="53" t="s">
        <v>3732</v>
      </c>
      <c r="D132" s="53" t="s">
        <v>143</v>
      </c>
      <c r="E132" s="53" t="s">
        <v>109</v>
      </c>
      <c r="F132" s="53" t="s">
        <v>3733</v>
      </c>
      <c r="G132" s="53" t="s">
        <v>3734</v>
      </c>
      <c r="H132" s="53" t="s">
        <v>3735</v>
      </c>
      <c r="I132" s="54">
        <v>2006</v>
      </c>
      <c r="J132" s="53" t="s">
        <v>3736</v>
      </c>
      <c r="K132" s="53" t="s">
        <v>146</v>
      </c>
      <c r="L132" s="53" t="s">
        <v>396</v>
      </c>
      <c r="M132" s="53" t="s">
        <v>147</v>
      </c>
    </row>
    <row r="133" spans="1:13" ht="15" customHeight="1" x14ac:dyDescent="0.35">
      <c r="A133" s="53" t="s">
        <v>397</v>
      </c>
      <c r="B133" s="53" t="s">
        <v>3857</v>
      </c>
      <c r="C133" s="53" t="s">
        <v>3732</v>
      </c>
      <c r="D133" s="53" t="s">
        <v>143</v>
      </c>
      <c r="E133" s="53" t="s">
        <v>109</v>
      </c>
      <c r="F133" s="53" t="s">
        <v>3733</v>
      </c>
      <c r="G133" s="53" t="s">
        <v>3734</v>
      </c>
      <c r="H133" s="53" t="s">
        <v>3735</v>
      </c>
      <c r="I133" s="54">
        <v>2006</v>
      </c>
      <c r="J133" s="53" t="s">
        <v>3736</v>
      </c>
      <c r="K133" s="53" t="s">
        <v>146</v>
      </c>
      <c r="L133" s="53" t="s">
        <v>394</v>
      </c>
      <c r="M133" s="53" t="s">
        <v>147</v>
      </c>
    </row>
    <row r="134" spans="1:13" ht="15" customHeight="1" x14ac:dyDescent="0.35">
      <c r="A134" s="53" t="s">
        <v>398</v>
      </c>
      <c r="B134" s="53" t="s">
        <v>3858</v>
      </c>
      <c r="C134" s="53" t="s">
        <v>3732</v>
      </c>
      <c r="D134" s="53" t="s">
        <v>143</v>
      </c>
      <c r="E134" s="53" t="s">
        <v>109</v>
      </c>
      <c r="F134" s="53" t="s">
        <v>3733</v>
      </c>
      <c r="G134" s="53" t="s">
        <v>3734</v>
      </c>
      <c r="H134" s="53" t="s">
        <v>3735</v>
      </c>
      <c r="I134" s="54">
        <v>2006</v>
      </c>
      <c r="J134" s="53" t="s">
        <v>3747</v>
      </c>
      <c r="K134" s="53" t="s">
        <v>146</v>
      </c>
      <c r="L134" s="53" t="s">
        <v>399</v>
      </c>
      <c r="M134" s="53" t="s">
        <v>147</v>
      </c>
    </row>
    <row r="135" spans="1:13" ht="15" customHeight="1" x14ac:dyDescent="0.35">
      <c r="A135" s="53" t="s">
        <v>400</v>
      </c>
      <c r="B135" s="53" t="s">
        <v>3859</v>
      </c>
      <c r="C135" s="53" t="s">
        <v>3732</v>
      </c>
      <c r="D135" s="53" t="s">
        <v>143</v>
      </c>
      <c r="E135" s="53" t="s">
        <v>109</v>
      </c>
      <c r="F135" s="53" t="s">
        <v>3733</v>
      </c>
      <c r="G135" s="53" t="s">
        <v>3734</v>
      </c>
      <c r="H135" s="53" t="s">
        <v>3735</v>
      </c>
      <c r="I135" s="54">
        <v>2006</v>
      </c>
      <c r="J135" s="53" t="s">
        <v>3736</v>
      </c>
      <c r="K135" s="53" t="s">
        <v>146</v>
      </c>
      <c r="L135" s="53" t="s">
        <v>401</v>
      </c>
      <c r="M135" s="53" t="s">
        <v>147</v>
      </c>
    </row>
    <row r="136" spans="1:13" ht="15" customHeight="1" x14ac:dyDescent="0.35">
      <c r="A136" s="53" t="s">
        <v>402</v>
      </c>
      <c r="B136" s="53" t="s">
        <v>3860</v>
      </c>
      <c r="C136" s="53" t="s">
        <v>3732</v>
      </c>
      <c r="D136" s="53" t="s">
        <v>143</v>
      </c>
      <c r="E136" s="53" t="s">
        <v>109</v>
      </c>
      <c r="F136" s="53" t="s">
        <v>3733</v>
      </c>
      <c r="G136" s="53" t="s">
        <v>3734</v>
      </c>
      <c r="H136" s="53" t="s">
        <v>3735</v>
      </c>
      <c r="I136" s="54">
        <v>2006</v>
      </c>
      <c r="J136" s="53" t="s">
        <v>3736</v>
      </c>
      <c r="K136" s="53" t="s">
        <v>146</v>
      </c>
      <c r="L136" s="53" t="s">
        <v>403</v>
      </c>
      <c r="M136" s="53" t="s">
        <v>147</v>
      </c>
    </row>
    <row r="137" spans="1:13" ht="15" customHeight="1" x14ac:dyDescent="0.35">
      <c r="A137" s="53" t="s">
        <v>404</v>
      </c>
      <c r="B137" s="53" t="s">
        <v>3861</v>
      </c>
      <c r="C137" s="53" t="s">
        <v>3732</v>
      </c>
      <c r="D137" s="53" t="s">
        <v>143</v>
      </c>
      <c r="E137" s="53" t="s">
        <v>109</v>
      </c>
      <c r="F137" s="53" t="s">
        <v>3733</v>
      </c>
      <c r="G137" s="53" t="s">
        <v>3734</v>
      </c>
      <c r="H137" s="53" t="s">
        <v>3789</v>
      </c>
      <c r="I137" s="54">
        <v>2009</v>
      </c>
      <c r="J137" s="53" t="s">
        <v>3736</v>
      </c>
      <c r="K137" s="53" t="s">
        <v>146</v>
      </c>
      <c r="L137" s="53" t="s">
        <v>392</v>
      </c>
      <c r="M137" s="53" t="s">
        <v>147</v>
      </c>
    </row>
    <row r="138" spans="1:13" ht="15" customHeight="1" x14ac:dyDescent="0.35">
      <c r="A138" s="53" t="s">
        <v>405</v>
      </c>
      <c r="B138" s="53" t="s">
        <v>3862</v>
      </c>
      <c r="C138" s="53" t="s">
        <v>3732</v>
      </c>
      <c r="D138" s="53" t="s">
        <v>143</v>
      </c>
      <c r="E138" s="53" t="s">
        <v>109</v>
      </c>
      <c r="F138" s="53" t="s">
        <v>3733</v>
      </c>
      <c r="G138" s="53" t="s">
        <v>3734</v>
      </c>
      <c r="H138" s="53" t="s">
        <v>3789</v>
      </c>
      <c r="I138" s="54">
        <v>2009</v>
      </c>
      <c r="J138" s="53" t="s">
        <v>3754</v>
      </c>
      <c r="K138" s="53" t="s">
        <v>146</v>
      </c>
      <c r="L138" s="53" t="s">
        <v>406</v>
      </c>
      <c r="M138" s="53" t="s">
        <v>147</v>
      </c>
    </row>
    <row r="139" spans="1:13" ht="15" customHeight="1" x14ac:dyDescent="0.35">
      <c r="A139" s="53" t="s">
        <v>407</v>
      </c>
      <c r="B139" s="53" t="s">
        <v>3863</v>
      </c>
      <c r="C139" s="53" t="s">
        <v>3732</v>
      </c>
      <c r="D139" s="53" t="s">
        <v>143</v>
      </c>
      <c r="E139" s="53" t="s">
        <v>109</v>
      </c>
      <c r="F139" s="53" t="s">
        <v>3733</v>
      </c>
      <c r="G139" s="53" t="s">
        <v>3734</v>
      </c>
      <c r="H139" s="53" t="s">
        <v>3789</v>
      </c>
      <c r="I139" s="54">
        <v>2009</v>
      </c>
      <c r="J139" s="53" t="s">
        <v>3837</v>
      </c>
      <c r="K139" s="53" t="s">
        <v>146</v>
      </c>
      <c r="L139" s="53" t="s">
        <v>408</v>
      </c>
      <c r="M139" s="53" t="s">
        <v>147</v>
      </c>
    </row>
    <row r="140" spans="1:13" ht="15" customHeight="1" x14ac:dyDescent="0.35">
      <c r="A140" s="53" t="s">
        <v>409</v>
      </c>
      <c r="B140" s="53" t="s">
        <v>3864</v>
      </c>
      <c r="C140" s="53" t="s">
        <v>3732</v>
      </c>
      <c r="D140" s="53" t="s">
        <v>143</v>
      </c>
      <c r="E140" s="53" t="s">
        <v>109</v>
      </c>
      <c r="F140" s="53" t="s">
        <v>3733</v>
      </c>
      <c r="G140" s="53" t="s">
        <v>3734</v>
      </c>
      <c r="H140" s="53" t="s">
        <v>3789</v>
      </c>
      <c r="I140" s="54">
        <v>2009</v>
      </c>
      <c r="J140" s="53" t="s">
        <v>3736</v>
      </c>
      <c r="K140" s="53" t="s">
        <v>146</v>
      </c>
      <c r="L140" s="53" t="s">
        <v>410</v>
      </c>
      <c r="M140" s="53" t="s">
        <v>147</v>
      </c>
    </row>
    <row r="141" spans="1:13" ht="15" customHeight="1" x14ac:dyDescent="0.35">
      <c r="A141" s="53" t="s">
        <v>411</v>
      </c>
      <c r="B141" s="53" t="s">
        <v>3865</v>
      </c>
      <c r="C141" s="53" t="s">
        <v>3732</v>
      </c>
      <c r="D141" s="53" t="s">
        <v>143</v>
      </c>
      <c r="E141" s="53" t="s">
        <v>109</v>
      </c>
      <c r="F141" s="53" t="s">
        <v>3733</v>
      </c>
      <c r="G141" s="53" t="s">
        <v>3734</v>
      </c>
      <c r="H141" s="53" t="s">
        <v>3789</v>
      </c>
      <c r="I141" s="54">
        <v>2009</v>
      </c>
      <c r="J141" s="53" t="s">
        <v>3736</v>
      </c>
      <c r="K141" s="53" t="s">
        <v>146</v>
      </c>
      <c r="L141" s="53" t="s">
        <v>412</v>
      </c>
      <c r="M141" s="53" t="s">
        <v>147</v>
      </c>
    </row>
    <row r="142" spans="1:13" ht="15" customHeight="1" x14ac:dyDescent="0.35">
      <c r="A142" s="53" t="s">
        <v>413</v>
      </c>
      <c r="B142" s="53" t="s">
        <v>3866</v>
      </c>
      <c r="C142" s="53" t="s">
        <v>3732</v>
      </c>
      <c r="D142" s="53" t="s">
        <v>143</v>
      </c>
      <c r="E142" s="53" t="s">
        <v>109</v>
      </c>
      <c r="F142" s="53" t="s">
        <v>3733</v>
      </c>
      <c r="G142" s="53" t="s">
        <v>3734</v>
      </c>
      <c r="H142" s="53" t="s">
        <v>3789</v>
      </c>
      <c r="I142" s="54">
        <v>2009</v>
      </c>
      <c r="J142" s="53" t="s">
        <v>3736</v>
      </c>
      <c r="K142" s="53" t="s">
        <v>146</v>
      </c>
      <c r="L142" s="53" t="s">
        <v>414</v>
      </c>
      <c r="M142" s="53" t="s">
        <v>147</v>
      </c>
    </row>
    <row r="143" spans="1:13" ht="15" customHeight="1" x14ac:dyDescent="0.35">
      <c r="A143" s="53" t="s">
        <v>415</v>
      </c>
      <c r="B143" s="53" t="s">
        <v>3867</v>
      </c>
      <c r="C143" s="53" t="s">
        <v>3732</v>
      </c>
      <c r="D143" s="53" t="s">
        <v>143</v>
      </c>
      <c r="E143" s="53" t="s">
        <v>109</v>
      </c>
      <c r="F143" s="53" t="s">
        <v>3733</v>
      </c>
      <c r="G143" s="53" t="s">
        <v>3734</v>
      </c>
      <c r="H143" s="53" t="s">
        <v>3789</v>
      </c>
      <c r="I143" s="54">
        <v>2013</v>
      </c>
      <c r="J143" s="53" t="s">
        <v>3776</v>
      </c>
      <c r="K143" s="53" t="s">
        <v>146</v>
      </c>
      <c r="L143" s="53" t="s">
        <v>416</v>
      </c>
      <c r="M143" s="53" t="s">
        <v>147</v>
      </c>
    </row>
    <row r="144" spans="1:13" ht="15" customHeight="1" x14ac:dyDescent="0.35">
      <c r="A144" s="53" t="s">
        <v>417</v>
      </c>
      <c r="B144" s="53" t="s">
        <v>3868</v>
      </c>
      <c r="C144" s="53" t="s">
        <v>3732</v>
      </c>
      <c r="D144" s="53" t="s">
        <v>143</v>
      </c>
      <c r="E144" s="53" t="s">
        <v>109</v>
      </c>
      <c r="F144" s="53" t="s">
        <v>3733</v>
      </c>
      <c r="G144" s="53"/>
      <c r="H144" s="53" t="s">
        <v>3789</v>
      </c>
      <c r="I144" s="54">
        <v>2015</v>
      </c>
      <c r="J144" s="53" t="s">
        <v>3869</v>
      </c>
      <c r="K144" s="53" t="s">
        <v>146</v>
      </c>
      <c r="L144" s="53" t="s">
        <v>418</v>
      </c>
      <c r="M144" s="53" t="s">
        <v>147</v>
      </c>
    </row>
    <row r="145" spans="1:13" ht="15" customHeight="1" x14ac:dyDescent="0.35">
      <c r="A145" s="53" t="s">
        <v>419</v>
      </c>
      <c r="B145" s="53" t="s">
        <v>3870</v>
      </c>
      <c r="C145" s="53" t="s">
        <v>3732</v>
      </c>
      <c r="D145" s="53" t="s">
        <v>143</v>
      </c>
      <c r="E145" s="53" t="s">
        <v>109</v>
      </c>
      <c r="F145" s="53" t="s">
        <v>3733</v>
      </c>
      <c r="G145" s="53"/>
      <c r="H145" s="53" t="s">
        <v>3789</v>
      </c>
      <c r="I145" s="54">
        <v>2015</v>
      </c>
      <c r="J145" s="53" t="s">
        <v>3869</v>
      </c>
      <c r="K145" s="53" t="s">
        <v>146</v>
      </c>
      <c r="L145" s="53" t="s">
        <v>420</v>
      </c>
      <c r="M145" s="53" t="s">
        <v>147</v>
      </c>
    </row>
    <row r="146" spans="1:13" ht="15" customHeight="1" x14ac:dyDescent="0.35">
      <c r="A146" s="53" t="s">
        <v>421</v>
      </c>
      <c r="B146" s="53" t="s">
        <v>3871</v>
      </c>
      <c r="C146" s="53" t="s">
        <v>3732</v>
      </c>
      <c r="D146" s="53" t="s">
        <v>143</v>
      </c>
      <c r="E146" s="53" t="s">
        <v>109</v>
      </c>
      <c r="F146" s="53" t="s">
        <v>3733</v>
      </c>
      <c r="G146" s="53"/>
      <c r="H146" s="53" t="s">
        <v>3789</v>
      </c>
      <c r="I146" s="54">
        <v>2015</v>
      </c>
      <c r="J146" s="53" t="s">
        <v>3869</v>
      </c>
      <c r="K146" s="53" t="s">
        <v>146</v>
      </c>
      <c r="L146" s="53" t="s">
        <v>422</v>
      </c>
      <c r="M146" s="53" t="s">
        <v>147</v>
      </c>
    </row>
    <row r="147" spans="1:13" ht="15" customHeight="1" x14ac:dyDescent="0.35">
      <c r="A147" s="53" t="s">
        <v>224</v>
      </c>
      <c r="B147" s="53" t="s">
        <v>3757</v>
      </c>
      <c r="C147" s="53" t="s">
        <v>3732</v>
      </c>
      <c r="D147" s="53" t="s">
        <v>143</v>
      </c>
      <c r="E147" s="53" t="s">
        <v>109</v>
      </c>
      <c r="F147" s="53" t="s">
        <v>3872</v>
      </c>
      <c r="G147" s="53" t="s">
        <v>3734</v>
      </c>
      <c r="H147" s="53" t="s">
        <v>3735</v>
      </c>
      <c r="I147" s="54">
        <v>2016</v>
      </c>
      <c r="J147" s="53" t="s">
        <v>3736</v>
      </c>
      <c r="K147" s="53" t="s">
        <v>146</v>
      </c>
      <c r="L147" s="53" t="s">
        <v>423</v>
      </c>
      <c r="M147" s="53" t="s">
        <v>147</v>
      </c>
    </row>
    <row r="148" spans="1:13" ht="15" customHeight="1" x14ac:dyDescent="0.35">
      <c r="A148" s="53"/>
      <c r="B148" s="53"/>
      <c r="C148" s="53" t="s">
        <v>424</v>
      </c>
      <c r="D148" s="53"/>
      <c r="E148" s="53" t="s">
        <v>109</v>
      </c>
      <c r="F148" s="53" t="s">
        <v>3714</v>
      </c>
      <c r="G148" s="53"/>
      <c r="H148" s="53" t="s">
        <v>3789</v>
      </c>
      <c r="I148" s="54">
        <v>2016</v>
      </c>
      <c r="J148" s="53" t="s">
        <v>3873</v>
      </c>
      <c r="K148" s="53" t="s">
        <v>146</v>
      </c>
      <c r="L148" s="53" t="s">
        <v>426</v>
      </c>
      <c r="M148" s="53" t="s">
        <v>425</v>
      </c>
    </row>
    <row r="149" spans="1:13" ht="15" customHeight="1" x14ac:dyDescent="0.35">
      <c r="A149" s="53" t="s">
        <v>427</v>
      </c>
      <c r="B149" s="53" t="s">
        <v>3874</v>
      </c>
      <c r="C149" s="53" t="s">
        <v>3732</v>
      </c>
      <c r="D149" s="53" t="s">
        <v>143</v>
      </c>
      <c r="E149" s="53" t="s">
        <v>109</v>
      </c>
      <c r="F149" s="53" t="s">
        <v>3875</v>
      </c>
      <c r="G149" s="53" t="s">
        <v>3734</v>
      </c>
      <c r="H149" s="53" t="s">
        <v>3789</v>
      </c>
      <c r="I149" s="54">
        <v>2016</v>
      </c>
      <c r="J149" s="53" t="s">
        <v>3876</v>
      </c>
      <c r="K149" s="53" t="s">
        <v>146</v>
      </c>
      <c r="L149" s="53" t="s">
        <v>428</v>
      </c>
      <c r="M149" s="53" t="s">
        <v>147</v>
      </c>
    </row>
    <row r="150" spans="1:13" ht="15" customHeight="1" x14ac:dyDescent="0.35">
      <c r="A150" s="53" t="s">
        <v>429</v>
      </c>
      <c r="B150" s="53" t="s">
        <v>3877</v>
      </c>
      <c r="C150" s="53" t="s">
        <v>3732</v>
      </c>
      <c r="D150" s="53" t="s">
        <v>143</v>
      </c>
      <c r="E150" s="53" t="s">
        <v>109</v>
      </c>
      <c r="F150" s="53" t="s">
        <v>3714</v>
      </c>
      <c r="G150" s="53"/>
      <c r="H150" s="53" t="s">
        <v>3735</v>
      </c>
      <c r="I150" s="54">
        <v>2019</v>
      </c>
      <c r="J150" s="53" t="s">
        <v>3878</v>
      </c>
      <c r="K150" s="53" t="s">
        <v>146</v>
      </c>
      <c r="L150" s="53" t="s">
        <v>430</v>
      </c>
      <c r="M150" s="53" t="s">
        <v>147</v>
      </c>
    </row>
    <row r="151" spans="1:13" ht="15" customHeight="1" x14ac:dyDescent="0.35">
      <c r="A151" s="53" t="s">
        <v>431</v>
      </c>
      <c r="B151" s="53" t="s">
        <v>431</v>
      </c>
      <c r="C151" s="53" t="s">
        <v>3732</v>
      </c>
      <c r="D151" s="53" t="s">
        <v>143</v>
      </c>
      <c r="E151" s="53" t="s">
        <v>109</v>
      </c>
      <c r="F151" s="53" t="s">
        <v>3879</v>
      </c>
      <c r="G151" s="53" t="s">
        <v>3734</v>
      </c>
      <c r="H151" s="53" t="s">
        <v>3735</v>
      </c>
      <c r="I151" s="54">
        <v>2020</v>
      </c>
      <c r="J151" s="53" t="s">
        <v>3736</v>
      </c>
      <c r="K151" s="53" t="s">
        <v>146</v>
      </c>
      <c r="L151" s="53" t="s">
        <v>432</v>
      </c>
      <c r="M151" s="53" t="s">
        <v>147</v>
      </c>
    </row>
    <row r="152" spans="1:13" ht="15" customHeight="1" x14ac:dyDescent="0.35">
      <c r="A152" s="53" t="s">
        <v>433</v>
      </c>
      <c r="B152" s="53"/>
      <c r="C152" s="53" t="s">
        <v>3701</v>
      </c>
      <c r="D152" s="53" t="s">
        <v>42</v>
      </c>
      <c r="E152" s="53" t="s">
        <v>109</v>
      </c>
      <c r="F152" s="53" t="s">
        <v>3714</v>
      </c>
      <c r="G152" s="53" t="s">
        <v>3715</v>
      </c>
      <c r="H152" s="53"/>
      <c r="I152" s="54"/>
      <c r="J152" s="53" t="s">
        <v>3716</v>
      </c>
      <c r="K152" s="53" t="s">
        <v>146</v>
      </c>
      <c r="L152" s="53" t="s">
        <v>435</v>
      </c>
      <c r="M152" s="53" t="s">
        <v>434</v>
      </c>
    </row>
    <row r="153" spans="1:13" ht="15" customHeight="1" x14ac:dyDescent="0.35">
      <c r="A153" s="53" t="s">
        <v>433</v>
      </c>
      <c r="B153" s="53"/>
      <c r="C153" s="53" t="s">
        <v>3701</v>
      </c>
      <c r="D153" s="53" t="s">
        <v>42</v>
      </c>
      <c r="E153" s="53" t="s">
        <v>109</v>
      </c>
      <c r="F153" s="53" t="s">
        <v>3714</v>
      </c>
      <c r="G153" s="53" t="s">
        <v>3715</v>
      </c>
      <c r="H153" s="53"/>
      <c r="I153" s="54"/>
      <c r="J153" s="53" t="s">
        <v>3716</v>
      </c>
      <c r="K153" s="53" t="s">
        <v>146</v>
      </c>
      <c r="L153" s="53" t="s">
        <v>436</v>
      </c>
      <c r="M153" s="53" t="s">
        <v>434</v>
      </c>
    </row>
    <row r="154" spans="1:13" ht="15" customHeight="1" x14ac:dyDescent="0.35">
      <c r="A154" s="53" t="s">
        <v>433</v>
      </c>
      <c r="B154" s="53"/>
      <c r="C154" s="53" t="s">
        <v>3701</v>
      </c>
      <c r="D154" s="53" t="s">
        <v>42</v>
      </c>
      <c r="E154" s="53" t="s">
        <v>109</v>
      </c>
      <c r="F154" s="53" t="s">
        <v>3714</v>
      </c>
      <c r="G154" s="53" t="s">
        <v>3715</v>
      </c>
      <c r="H154" s="53"/>
      <c r="I154" s="54"/>
      <c r="J154" s="53" t="s">
        <v>3716</v>
      </c>
      <c r="K154" s="53" t="s">
        <v>146</v>
      </c>
      <c r="L154" s="53" t="s">
        <v>437</v>
      </c>
      <c r="M154" s="53" t="s">
        <v>434</v>
      </c>
    </row>
    <row r="155" spans="1:13" ht="15" customHeight="1" x14ac:dyDescent="0.35">
      <c r="A155" s="53" t="s">
        <v>433</v>
      </c>
      <c r="B155" s="53"/>
      <c r="C155" s="53" t="s">
        <v>3701</v>
      </c>
      <c r="D155" s="53" t="s">
        <v>42</v>
      </c>
      <c r="E155" s="53" t="s">
        <v>109</v>
      </c>
      <c r="F155" s="53" t="s">
        <v>3714</v>
      </c>
      <c r="G155" s="53" t="s">
        <v>3715</v>
      </c>
      <c r="H155" s="53"/>
      <c r="I155" s="54"/>
      <c r="J155" s="53"/>
      <c r="K155" s="53" t="s">
        <v>146</v>
      </c>
      <c r="L155" s="53" t="s">
        <v>438</v>
      </c>
      <c r="M155" s="53" t="s">
        <v>434</v>
      </c>
    </row>
    <row r="156" spans="1:13" ht="15" customHeight="1" x14ac:dyDescent="0.35">
      <c r="A156" s="53" t="s">
        <v>439</v>
      </c>
      <c r="B156" s="53" t="s">
        <v>442</v>
      </c>
      <c r="C156" s="53" t="s">
        <v>3701</v>
      </c>
      <c r="D156" s="53" t="s">
        <v>40</v>
      </c>
      <c r="E156" s="53" t="s">
        <v>109</v>
      </c>
      <c r="F156" s="53" t="s">
        <v>3717</v>
      </c>
      <c r="G156" s="53" t="s">
        <v>3718</v>
      </c>
      <c r="H156" s="53"/>
      <c r="I156" s="54"/>
      <c r="J156" s="53"/>
      <c r="K156" s="53" t="s">
        <v>146</v>
      </c>
      <c r="L156" s="53" t="s">
        <v>441</v>
      </c>
      <c r="M156" s="53" t="s">
        <v>440</v>
      </c>
    </row>
    <row r="157" spans="1:13" ht="15" customHeight="1" x14ac:dyDescent="0.35">
      <c r="A157" s="53" t="s">
        <v>442</v>
      </c>
      <c r="B157" s="53" t="s">
        <v>442</v>
      </c>
      <c r="C157" s="53" t="s">
        <v>3701</v>
      </c>
      <c r="D157" s="53" t="s">
        <v>40</v>
      </c>
      <c r="E157" s="53" t="s">
        <v>109</v>
      </c>
      <c r="F157" s="53" t="s">
        <v>3717</v>
      </c>
      <c r="G157" s="53" t="s">
        <v>3718</v>
      </c>
      <c r="H157" s="53"/>
      <c r="I157" s="54"/>
      <c r="J157" s="53"/>
      <c r="K157" s="53" t="s">
        <v>146</v>
      </c>
      <c r="L157" s="53" t="s">
        <v>443</v>
      </c>
      <c r="M157" s="53" t="s">
        <v>440</v>
      </c>
    </row>
    <row r="158" spans="1:13" ht="15" customHeight="1" x14ac:dyDescent="0.35">
      <c r="A158" s="53" t="s">
        <v>444</v>
      </c>
      <c r="B158" s="53" t="s">
        <v>444</v>
      </c>
      <c r="C158" s="53" t="s">
        <v>3701</v>
      </c>
      <c r="D158" s="53" t="s">
        <v>40</v>
      </c>
      <c r="E158" s="53" t="s">
        <v>109</v>
      </c>
      <c r="F158" s="53" t="s">
        <v>3717</v>
      </c>
      <c r="G158" s="53" t="s">
        <v>3718</v>
      </c>
      <c r="H158" s="53"/>
      <c r="I158" s="54"/>
      <c r="J158" s="53"/>
      <c r="K158" s="53" t="s">
        <v>146</v>
      </c>
      <c r="L158" s="53" t="s">
        <v>445</v>
      </c>
      <c r="M158" s="53" t="s">
        <v>440</v>
      </c>
    </row>
    <row r="159" spans="1:13" ht="15" customHeight="1" x14ac:dyDescent="0.35">
      <c r="A159" s="53" t="s">
        <v>446</v>
      </c>
      <c r="B159" s="53" t="s">
        <v>446</v>
      </c>
      <c r="C159" s="53" t="s">
        <v>3701</v>
      </c>
      <c r="D159" s="53" t="s">
        <v>40</v>
      </c>
      <c r="E159" s="53" t="s">
        <v>109</v>
      </c>
      <c r="F159" s="53" t="s">
        <v>3717</v>
      </c>
      <c r="G159" s="53" t="s">
        <v>3718</v>
      </c>
      <c r="H159" s="53"/>
      <c r="I159" s="54"/>
      <c r="J159" s="53"/>
      <c r="K159" s="53" t="s">
        <v>146</v>
      </c>
      <c r="L159" s="53" t="s">
        <v>447</v>
      </c>
      <c r="M159" s="53" t="s">
        <v>440</v>
      </c>
    </row>
    <row r="160" spans="1:13" ht="15" customHeight="1" x14ac:dyDescent="0.35">
      <c r="A160" s="53" t="s">
        <v>448</v>
      </c>
      <c r="B160" s="53" t="s">
        <v>448</v>
      </c>
      <c r="C160" s="53" t="s">
        <v>3701</v>
      </c>
      <c r="D160" s="53" t="s">
        <v>40</v>
      </c>
      <c r="E160" s="53" t="s">
        <v>109</v>
      </c>
      <c r="F160" s="53" t="s">
        <v>3717</v>
      </c>
      <c r="G160" s="53" t="s">
        <v>3718</v>
      </c>
      <c r="H160" s="53"/>
      <c r="I160" s="54"/>
      <c r="J160" s="53"/>
      <c r="K160" s="53" t="s">
        <v>146</v>
      </c>
      <c r="L160" s="53" t="s">
        <v>449</v>
      </c>
      <c r="M160" s="53" t="s">
        <v>440</v>
      </c>
    </row>
    <row r="161" spans="1:13" ht="15" customHeight="1" x14ac:dyDescent="0.35">
      <c r="A161" s="53" t="s">
        <v>450</v>
      </c>
      <c r="B161" s="53" t="s">
        <v>450</v>
      </c>
      <c r="C161" s="53" t="s">
        <v>3701</v>
      </c>
      <c r="D161" s="53" t="s">
        <v>40</v>
      </c>
      <c r="E161" s="53" t="s">
        <v>109</v>
      </c>
      <c r="F161" s="53" t="s">
        <v>3717</v>
      </c>
      <c r="G161" s="53" t="s">
        <v>3718</v>
      </c>
      <c r="H161" s="53"/>
      <c r="I161" s="54"/>
      <c r="J161" s="53"/>
      <c r="K161" s="53" t="s">
        <v>146</v>
      </c>
      <c r="L161" s="53" t="s">
        <v>451</v>
      </c>
      <c r="M161" s="53" t="s">
        <v>440</v>
      </c>
    </row>
    <row r="162" spans="1:13" ht="15" customHeight="1" x14ac:dyDescent="0.35">
      <c r="A162" s="53" t="s">
        <v>452</v>
      </c>
      <c r="B162" s="53" t="s">
        <v>452</v>
      </c>
      <c r="C162" s="53" t="s">
        <v>3701</v>
      </c>
      <c r="D162" s="53" t="s">
        <v>40</v>
      </c>
      <c r="E162" s="53" t="s">
        <v>109</v>
      </c>
      <c r="F162" s="53" t="s">
        <v>3717</v>
      </c>
      <c r="G162" s="53" t="s">
        <v>3718</v>
      </c>
      <c r="H162" s="53"/>
      <c r="I162" s="54"/>
      <c r="J162" s="53"/>
      <c r="K162" s="53" t="s">
        <v>146</v>
      </c>
      <c r="L162" s="53" t="s">
        <v>453</v>
      </c>
      <c r="M162" s="53" t="s">
        <v>440</v>
      </c>
    </row>
    <row r="163" spans="1:13" ht="15" customHeight="1" x14ac:dyDescent="0.35">
      <c r="A163" s="53" t="s">
        <v>454</v>
      </c>
      <c r="B163" s="53" t="s">
        <v>454</v>
      </c>
      <c r="C163" s="53" t="s">
        <v>3701</v>
      </c>
      <c r="D163" s="53" t="s">
        <v>40</v>
      </c>
      <c r="E163" s="53" t="s">
        <v>109</v>
      </c>
      <c r="F163" s="53" t="s">
        <v>3717</v>
      </c>
      <c r="G163" s="53" t="s">
        <v>3718</v>
      </c>
      <c r="H163" s="53"/>
      <c r="I163" s="54"/>
      <c r="J163" s="53"/>
      <c r="K163" s="53" t="s">
        <v>158</v>
      </c>
      <c r="L163" s="53" t="s">
        <v>455</v>
      </c>
      <c r="M163" s="53" t="s">
        <v>440</v>
      </c>
    </row>
    <row r="164" spans="1:13" ht="15" customHeight="1" x14ac:dyDescent="0.35">
      <c r="A164" s="53" t="s">
        <v>456</v>
      </c>
      <c r="B164" s="53" t="s">
        <v>456</v>
      </c>
      <c r="C164" s="53" t="s">
        <v>3701</v>
      </c>
      <c r="D164" s="53" t="s">
        <v>40</v>
      </c>
      <c r="E164" s="53" t="s">
        <v>109</v>
      </c>
      <c r="F164" s="53" t="s">
        <v>3717</v>
      </c>
      <c r="G164" s="53" t="s">
        <v>3718</v>
      </c>
      <c r="H164" s="53"/>
      <c r="I164" s="54"/>
      <c r="J164" s="53"/>
      <c r="K164" s="53" t="s">
        <v>146</v>
      </c>
      <c r="L164" s="53" t="s">
        <v>453</v>
      </c>
      <c r="M164" s="53" t="s">
        <v>440</v>
      </c>
    </row>
    <row r="165" spans="1:13" ht="15" customHeight="1" x14ac:dyDescent="0.35">
      <c r="A165" s="53" t="s">
        <v>457</v>
      </c>
      <c r="B165" s="53" t="s">
        <v>457</v>
      </c>
      <c r="C165" s="53" t="s">
        <v>3701</v>
      </c>
      <c r="D165" s="53" t="s">
        <v>40</v>
      </c>
      <c r="E165" s="53" t="s">
        <v>109</v>
      </c>
      <c r="F165" s="53" t="s">
        <v>3717</v>
      </c>
      <c r="G165" s="53" t="s">
        <v>3718</v>
      </c>
      <c r="H165" s="53"/>
      <c r="I165" s="54"/>
      <c r="J165" s="53"/>
      <c r="K165" s="53" t="s">
        <v>146</v>
      </c>
      <c r="L165" s="53" t="s">
        <v>458</v>
      </c>
      <c r="M165" s="53" t="s">
        <v>440</v>
      </c>
    </row>
    <row r="166" spans="1:13" ht="15" customHeight="1" x14ac:dyDescent="0.35">
      <c r="A166" s="53" t="s">
        <v>459</v>
      </c>
      <c r="B166" s="53" t="s">
        <v>459</v>
      </c>
      <c r="C166" s="53" t="s">
        <v>3701</v>
      </c>
      <c r="D166" s="53" t="s">
        <v>40</v>
      </c>
      <c r="E166" s="53" t="s">
        <v>109</v>
      </c>
      <c r="F166" s="53" t="s">
        <v>3717</v>
      </c>
      <c r="G166" s="53" t="s">
        <v>3718</v>
      </c>
      <c r="H166" s="53"/>
      <c r="I166" s="54"/>
      <c r="J166" s="53"/>
      <c r="K166" s="53" t="s">
        <v>146</v>
      </c>
      <c r="L166" s="53" t="s">
        <v>460</v>
      </c>
      <c r="M166" s="53" t="s">
        <v>440</v>
      </c>
    </row>
    <row r="167" spans="1:13" ht="15" customHeight="1" x14ac:dyDescent="0.35">
      <c r="A167" s="53" t="s">
        <v>461</v>
      </c>
      <c r="B167" s="53" t="s">
        <v>461</v>
      </c>
      <c r="C167" s="53" t="s">
        <v>3701</v>
      </c>
      <c r="D167" s="53" t="s">
        <v>40</v>
      </c>
      <c r="E167" s="53" t="s">
        <v>109</v>
      </c>
      <c r="F167" s="53" t="s">
        <v>3717</v>
      </c>
      <c r="G167" s="53" t="s">
        <v>3718</v>
      </c>
      <c r="H167" s="53"/>
      <c r="I167" s="54"/>
      <c r="J167" s="53"/>
      <c r="K167" s="53" t="s">
        <v>146</v>
      </c>
      <c r="L167" s="53" t="s">
        <v>462</v>
      </c>
      <c r="M167" s="53" t="s">
        <v>440</v>
      </c>
    </row>
    <row r="168" spans="1:13" ht="15" customHeight="1" x14ac:dyDescent="0.35">
      <c r="A168" s="53" t="s">
        <v>463</v>
      </c>
      <c r="B168" s="53" t="s">
        <v>463</v>
      </c>
      <c r="C168" s="53" t="s">
        <v>3701</v>
      </c>
      <c r="D168" s="53" t="s">
        <v>40</v>
      </c>
      <c r="E168" s="53" t="s">
        <v>109</v>
      </c>
      <c r="F168" s="53" t="s">
        <v>3717</v>
      </c>
      <c r="G168" s="53" t="s">
        <v>3718</v>
      </c>
      <c r="H168" s="53"/>
      <c r="I168" s="54"/>
      <c r="J168" s="53"/>
      <c r="K168" s="53" t="s">
        <v>158</v>
      </c>
      <c r="L168" s="53" t="s">
        <v>455</v>
      </c>
      <c r="M168" s="53" t="s">
        <v>440</v>
      </c>
    </row>
    <row r="169" spans="1:13" ht="15" customHeight="1" x14ac:dyDescent="0.35">
      <c r="A169" s="53" t="s">
        <v>464</v>
      </c>
      <c r="B169" s="53" t="s">
        <v>464</v>
      </c>
      <c r="C169" s="53" t="s">
        <v>3701</v>
      </c>
      <c r="D169" s="53" t="s">
        <v>38</v>
      </c>
      <c r="E169" s="53" t="s">
        <v>109</v>
      </c>
      <c r="F169" s="53" t="s">
        <v>3719</v>
      </c>
      <c r="G169" s="53" t="s">
        <v>3720</v>
      </c>
      <c r="H169" s="53"/>
      <c r="I169" s="54"/>
      <c r="J169" s="53"/>
      <c r="K169" s="53" t="s">
        <v>146</v>
      </c>
      <c r="L169" s="53" t="s">
        <v>466</v>
      </c>
      <c r="M169" s="53" t="s">
        <v>465</v>
      </c>
    </row>
    <row r="170" spans="1:13" ht="15" customHeight="1" x14ac:dyDescent="0.35">
      <c r="A170" s="53" t="s">
        <v>467</v>
      </c>
      <c r="B170" s="53" t="s">
        <v>467</v>
      </c>
      <c r="C170" s="53" t="s">
        <v>3701</v>
      </c>
      <c r="D170" s="53" t="s">
        <v>38</v>
      </c>
      <c r="E170" s="53" t="s">
        <v>109</v>
      </c>
      <c r="F170" s="53" t="s">
        <v>3719</v>
      </c>
      <c r="G170" s="53" t="s">
        <v>3720</v>
      </c>
      <c r="H170" s="53"/>
      <c r="I170" s="54"/>
      <c r="J170" s="53"/>
      <c r="K170" s="53" t="s">
        <v>146</v>
      </c>
      <c r="L170" s="53" t="s">
        <v>468</v>
      </c>
      <c r="M170" s="53" t="s">
        <v>465</v>
      </c>
    </row>
    <row r="171" spans="1:13" ht="15" customHeight="1" x14ac:dyDescent="0.35">
      <c r="A171" s="53" t="s">
        <v>469</v>
      </c>
      <c r="B171" s="53" t="s">
        <v>469</v>
      </c>
      <c r="C171" s="53" t="s">
        <v>3701</v>
      </c>
      <c r="D171" s="53" t="s">
        <v>38</v>
      </c>
      <c r="E171" s="53" t="s">
        <v>109</v>
      </c>
      <c r="F171" s="53" t="s">
        <v>3719</v>
      </c>
      <c r="G171" s="53" t="s">
        <v>3720</v>
      </c>
      <c r="H171" s="53"/>
      <c r="I171" s="54"/>
      <c r="J171" s="53"/>
      <c r="K171" s="53" t="s">
        <v>146</v>
      </c>
      <c r="L171" s="53" t="s">
        <v>470</v>
      </c>
      <c r="M171" s="53" t="s">
        <v>465</v>
      </c>
    </row>
    <row r="172" spans="1:13" ht="15" customHeight="1" x14ac:dyDescent="0.35">
      <c r="A172" s="53" t="s">
        <v>471</v>
      </c>
      <c r="B172" s="53" t="s">
        <v>471</v>
      </c>
      <c r="C172" s="53" t="s">
        <v>3701</v>
      </c>
      <c r="D172" s="53" t="s">
        <v>38</v>
      </c>
      <c r="E172" s="53" t="s">
        <v>109</v>
      </c>
      <c r="F172" s="53" t="s">
        <v>3719</v>
      </c>
      <c r="G172" s="53" t="s">
        <v>3720</v>
      </c>
      <c r="H172" s="53"/>
      <c r="I172" s="54"/>
      <c r="J172" s="53"/>
      <c r="K172" s="53" t="s">
        <v>146</v>
      </c>
      <c r="L172" s="53" t="s">
        <v>472</v>
      </c>
      <c r="M172" s="53" t="s">
        <v>465</v>
      </c>
    </row>
    <row r="173" spans="1:13" ht="15" customHeight="1" x14ac:dyDescent="0.35">
      <c r="A173" s="53" t="s">
        <v>473</v>
      </c>
      <c r="B173" s="53" t="s">
        <v>473</v>
      </c>
      <c r="C173" s="53" t="s">
        <v>3701</v>
      </c>
      <c r="D173" s="53" t="s">
        <v>38</v>
      </c>
      <c r="E173" s="53" t="s">
        <v>109</v>
      </c>
      <c r="F173" s="53" t="s">
        <v>3719</v>
      </c>
      <c r="G173" s="53" t="s">
        <v>3720</v>
      </c>
      <c r="H173" s="53"/>
      <c r="I173" s="54"/>
      <c r="J173" s="53"/>
      <c r="K173" s="53" t="s">
        <v>146</v>
      </c>
      <c r="L173" s="53" t="s">
        <v>474</v>
      </c>
      <c r="M173" s="53" t="s">
        <v>465</v>
      </c>
    </row>
    <row r="174" spans="1:13" ht="15" customHeight="1" x14ac:dyDescent="0.35">
      <c r="A174" s="53" t="s">
        <v>475</v>
      </c>
      <c r="B174" s="53" t="s">
        <v>475</v>
      </c>
      <c r="C174" s="53" t="s">
        <v>3701</v>
      </c>
      <c r="D174" s="53" t="s">
        <v>38</v>
      </c>
      <c r="E174" s="53" t="s">
        <v>109</v>
      </c>
      <c r="F174" s="53" t="s">
        <v>3719</v>
      </c>
      <c r="G174" s="53" t="s">
        <v>3720</v>
      </c>
      <c r="H174" s="53"/>
      <c r="I174" s="54"/>
      <c r="J174" s="53"/>
      <c r="K174" s="53" t="s">
        <v>146</v>
      </c>
      <c r="L174" s="53" t="s">
        <v>476</v>
      </c>
      <c r="M174" s="53" t="s">
        <v>465</v>
      </c>
    </row>
    <row r="175" spans="1:13" ht="15" customHeight="1" x14ac:dyDescent="0.35">
      <c r="A175" s="53" t="s">
        <v>477</v>
      </c>
      <c r="B175" s="53" t="s">
        <v>477</v>
      </c>
      <c r="C175" s="53" t="s">
        <v>3701</v>
      </c>
      <c r="D175" s="53" t="s">
        <v>38</v>
      </c>
      <c r="E175" s="53" t="s">
        <v>109</v>
      </c>
      <c r="F175" s="53" t="s">
        <v>3719</v>
      </c>
      <c r="G175" s="53" t="s">
        <v>3720</v>
      </c>
      <c r="H175" s="53"/>
      <c r="I175" s="54"/>
      <c r="J175" s="53"/>
      <c r="K175" s="53" t="s">
        <v>146</v>
      </c>
      <c r="L175" s="53" t="s">
        <v>478</v>
      </c>
      <c r="M175" s="53" t="s">
        <v>465</v>
      </c>
    </row>
    <row r="176" spans="1:13" ht="15" customHeight="1" x14ac:dyDescent="0.35">
      <c r="A176" s="53" t="s">
        <v>479</v>
      </c>
      <c r="B176" s="53" t="s">
        <v>479</v>
      </c>
      <c r="C176" s="53" t="s">
        <v>3701</v>
      </c>
      <c r="D176" s="53" t="s">
        <v>38</v>
      </c>
      <c r="E176" s="53" t="s">
        <v>109</v>
      </c>
      <c r="F176" s="53" t="s">
        <v>3719</v>
      </c>
      <c r="G176" s="53" t="s">
        <v>3720</v>
      </c>
      <c r="H176" s="53"/>
      <c r="I176" s="54"/>
      <c r="J176" s="53"/>
      <c r="K176" s="53" t="s">
        <v>146</v>
      </c>
      <c r="L176" s="53" t="s">
        <v>480</v>
      </c>
      <c r="M176" s="53" t="s">
        <v>465</v>
      </c>
    </row>
    <row r="177" spans="1:13" ht="15" customHeight="1" x14ac:dyDescent="0.35">
      <c r="A177" s="53" t="s">
        <v>481</v>
      </c>
      <c r="B177" s="53" t="s">
        <v>481</v>
      </c>
      <c r="C177" s="53" t="s">
        <v>3701</v>
      </c>
      <c r="D177" s="53" t="s">
        <v>38</v>
      </c>
      <c r="E177" s="53" t="s">
        <v>109</v>
      </c>
      <c r="F177" s="53" t="s">
        <v>3719</v>
      </c>
      <c r="G177" s="53" t="s">
        <v>3720</v>
      </c>
      <c r="H177" s="53"/>
      <c r="I177" s="54"/>
      <c r="J177" s="53"/>
      <c r="K177" s="53" t="s">
        <v>146</v>
      </c>
      <c r="L177" s="53" t="s">
        <v>482</v>
      </c>
      <c r="M177" s="53" t="s">
        <v>465</v>
      </c>
    </row>
    <row r="178" spans="1:13" ht="15" customHeight="1" x14ac:dyDescent="0.35">
      <c r="A178" s="53" t="s">
        <v>483</v>
      </c>
      <c r="B178" s="53" t="s">
        <v>483</v>
      </c>
      <c r="C178" s="53" t="s">
        <v>3701</v>
      </c>
      <c r="D178" s="53" t="s">
        <v>38</v>
      </c>
      <c r="E178" s="53" t="s">
        <v>109</v>
      </c>
      <c r="F178" s="53" t="s">
        <v>3719</v>
      </c>
      <c r="G178" s="53" t="s">
        <v>3720</v>
      </c>
      <c r="H178" s="53"/>
      <c r="I178" s="54"/>
      <c r="J178" s="53"/>
      <c r="K178" s="53" t="s">
        <v>146</v>
      </c>
      <c r="L178" s="53" t="s">
        <v>484</v>
      </c>
      <c r="M178" s="53" t="s">
        <v>465</v>
      </c>
    </row>
    <row r="179" spans="1:13" ht="15" customHeight="1" x14ac:dyDescent="0.35">
      <c r="A179" s="53" t="s">
        <v>485</v>
      </c>
      <c r="B179" s="53" t="s">
        <v>485</v>
      </c>
      <c r="C179" s="53" t="s">
        <v>3701</v>
      </c>
      <c r="D179" s="53" t="s">
        <v>38</v>
      </c>
      <c r="E179" s="53" t="s">
        <v>109</v>
      </c>
      <c r="F179" s="53" t="s">
        <v>3719</v>
      </c>
      <c r="G179" s="53" t="s">
        <v>3720</v>
      </c>
      <c r="H179" s="53"/>
      <c r="I179" s="54"/>
      <c r="J179" s="53"/>
      <c r="K179" s="53" t="s">
        <v>146</v>
      </c>
      <c r="L179" s="53" t="s">
        <v>486</v>
      </c>
      <c r="M179" s="53" t="s">
        <v>465</v>
      </c>
    </row>
    <row r="180" spans="1:13" ht="15" customHeight="1" x14ac:dyDescent="0.35">
      <c r="A180" s="53" t="s">
        <v>487</v>
      </c>
      <c r="B180" s="53" t="s">
        <v>487</v>
      </c>
      <c r="C180" s="53" t="s">
        <v>3701</v>
      </c>
      <c r="D180" s="53" t="s">
        <v>38</v>
      </c>
      <c r="E180" s="53" t="s">
        <v>109</v>
      </c>
      <c r="F180" s="53" t="s">
        <v>3719</v>
      </c>
      <c r="G180" s="53" t="s">
        <v>3720</v>
      </c>
      <c r="H180" s="53"/>
      <c r="I180" s="54"/>
      <c r="J180" s="53"/>
      <c r="K180" s="53" t="s">
        <v>146</v>
      </c>
      <c r="L180" s="53" t="s">
        <v>488</v>
      </c>
      <c r="M180" s="53" t="s">
        <v>465</v>
      </c>
    </row>
    <row r="181" spans="1:13" ht="15" customHeight="1" x14ac:dyDescent="0.35">
      <c r="A181" s="53" t="s">
        <v>489</v>
      </c>
      <c r="B181" s="53" t="s">
        <v>489</v>
      </c>
      <c r="C181" s="53" t="s">
        <v>3701</v>
      </c>
      <c r="D181" s="53" t="s">
        <v>38</v>
      </c>
      <c r="E181" s="53" t="s">
        <v>109</v>
      </c>
      <c r="F181" s="53" t="s">
        <v>3719</v>
      </c>
      <c r="G181" s="53" t="s">
        <v>3720</v>
      </c>
      <c r="H181" s="53"/>
      <c r="I181" s="54"/>
      <c r="J181" s="53"/>
      <c r="K181" s="53" t="s">
        <v>146</v>
      </c>
      <c r="L181" s="53" t="s">
        <v>490</v>
      </c>
      <c r="M181" s="53" t="s">
        <v>465</v>
      </c>
    </row>
    <row r="182" spans="1:13" ht="15" customHeight="1" x14ac:dyDescent="0.35">
      <c r="A182" s="53" t="s">
        <v>491</v>
      </c>
      <c r="B182" s="53" t="s">
        <v>491</v>
      </c>
      <c r="C182" s="53" t="s">
        <v>3701</v>
      </c>
      <c r="D182" s="53" t="s">
        <v>38</v>
      </c>
      <c r="E182" s="53" t="s">
        <v>109</v>
      </c>
      <c r="F182" s="53" t="s">
        <v>3719</v>
      </c>
      <c r="G182" s="53" t="s">
        <v>3720</v>
      </c>
      <c r="H182" s="53"/>
      <c r="I182" s="54"/>
      <c r="J182" s="53"/>
      <c r="K182" s="53" t="s">
        <v>146</v>
      </c>
      <c r="L182" s="53" t="s">
        <v>492</v>
      </c>
      <c r="M182" s="53" t="s">
        <v>465</v>
      </c>
    </row>
    <row r="183" spans="1:13" ht="15" customHeight="1" x14ac:dyDescent="0.35">
      <c r="A183" s="53" t="s">
        <v>493</v>
      </c>
      <c r="B183" s="53"/>
      <c r="C183" s="53" t="s">
        <v>424</v>
      </c>
      <c r="D183" s="53"/>
      <c r="E183" s="53" t="s">
        <v>109</v>
      </c>
      <c r="F183" s="53" t="s">
        <v>3880</v>
      </c>
      <c r="G183" s="53" t="s">
        <v>3881</v>
      </c>
      <c r="H183" s="53"/>
      <c r="I183" s="54"/>
      <c r="J183" s="53"/>
      <c r="K183" s="53" t="s">
        <v>146</v>
      </c>
      <c r="L183" s="53" t="s">
        <v>494</v>
      </c>
      <c r="M183" s="53" t="s">
        <v>425</v>
      </c>
    </row>
    <row r="184" spans="1:13" ht="15" customHeight="1" x14ac:dyDescent="0.35">
      <c r="A184" s="53" t="s">
        <v>495</v>
      </c>
      <c r="B184" s="53"/>
      <c r="C184" s="53" t="s">
        <v>424</v>
      </c>
      <c r="D184" s="53"/>
      <c r="E184" s="53" t="s">
        <v>109</v>
      </c>
      <c r="F184" s="53" t="s">
        <v>3880</v>
      </c>
      <c r="G184" s="53" t="s">
        <v>3881</v>
      </c>
      <c r="H184" s="53"/>
      <c r="I184" s="54"/>
      <c r="J184" s="53"/>
      <c r="K184" s="53" t="s">
        <v>146</v>
      </c>
      <c r="L184" s="53" t="s">
        <v>496</v>
      </c>
      <c r="M184" s="53" t="s">
        <v>425</v>
      </c>
    </row>
    <row r="185" spans="1:13" ht="15" customHeight="1" x14ac:dyDescent="0.35">
      <c r="A185" s="53" t="s">
        <v>498</v>
      </c>
      <c r="B185" s="53" t="s">
        <v>498</v>
      </c>
      <c r="C185" s="53" t="s">
        <v>3732</v>
      </c>
      <c r="D185" s="53" t="s">
        <v>497</v>
      </c>
      <c r="E185" s="53" t="s">
        <v>109</v>
      </c>
      <c r="F185" s="53" t="s">
        <v>3882</v>
      </c>
      <c r="G185" s="53"/>
      <c r="H185" s="53"/>
      <c r="I185" s="54">
        <v>2018</v>
      </c>
      <c r="J185" s="53"/>
      <c r="K185" s="53" t="s">
        <v>146</v>
      </c>
      <c r="L185" s="53" t="s">
        <v>500</v>
      </c>
      <c r="M185" s="53" t="s">
        <v>499</v>
      </c>
    </row>
    <row r="186" spans="1:13" ht="15" customHeight="1" x14ac:dyDescent="0.35">
      <c r="A186" s="53" t="s">
        <v>501</v>
      </c>
      <c r="B186" s="53" t="s">
        <v>501</v>
      </c>
      <c r="C186" s="53" t="s">
        <v>3732</v>
      </c>
      <c r="D186" s="53" t="s">
        <v>497</v>
      </c>
      <c r="E186" s="53" t="s">
        <v>109</v>
      </c>
      <c r="F186" s="53" t="s">
        <v>3882</v>
      </c>
      <c r="G186" s="53"/>
      <c r="H186" s="53"/>
      <c r="I186" s="54">
        <v>2018</v>
      </c>
      <c r="J186" s="53"/>
      <c r="K186" s="53" t="s">
        <v>146</v>
      </c>
      <c r="L186" s="53" t="s">
        <v>502</v>
      </c>
      <c r="M186" s="53" t="s">
        <v>499</v>
      </c>
    </row>
    <row r="187" spans="1:13" ht="15" customHeight="1" x14ac:dyDescent="0.35">
      <c r="A187" s="53" t="s">
        <v>503</v>
      </c>
      <c r="B187" s="53" t="s">
        <v>503</v>
      </c>
      <c r="C187" s="53" t="s">
        <v>3732</v>
      </c>
      <c r="D187" s="53" t="s">
        <v>497</v>
      </c>
      <c r="E187" s="53" t="s">
        <v>109</v>
      </c>
      <c r="F187" s="53" t="s">
        <v>3882</v>
      </c>
      <c r="G187" s="53"/>
      <c r="H187" s="53"/>
      <c r="I187" s="54">
        <v>2018</v>
      </c>
      <c r="J187" s="53"/>
      <c r="K187" s="53" t="s">
        <v>146</v>
      </c>
      <c r="L187" s="53" t="s">
        <v>504</v>
      </c>
      <c r="M187" s="53" t="s">
        <v>499</v>
      </c>
    </row>
    <row r="188" spans="1:13" ht="15" customHeight="1" x14ac:dyDescent="0.35">
      <c r="A188" s="53" t="s">
        <v>505</v>
      </c>
      <c r="B188" s="53" t="s">
        <v>505</v>
      </c>
      <c r="C188" s="53" t="s">
        <v>3732</v>
      </c>
      <c r="D188" s="53" t="s">
        <v>497</v>
      </c>
      <c r="E188" s="53" t="s">
        <v>109</v>
      </c>
      <c r="F188" s="53" t="s">
        <v>3882</v>
      </c>
      <c r="G188" s="53"/>
      <c r="H188" s="53"/>
      <c r="I188" s="54">
        <v>2018</v>
      </c>
      <c r="J188" s="53"/>
      <c r="K188" s="53" t="s">
        <v>146</v>
      </c>
      <c r="L188" s="53" t="s">
        <v>506</v>
      </c>
      <c r="M188" s="53" t="s">
        <v>499</v>
      </c>
    </row>
    <row r="189" spans="1:13" ht="15" customHeight="1" x14ac:dyDescent="0.35">
      <c r="A189" s="53" t="s">
        <v>507</v>
      </c>
      <c r="B189" s="53" t="s">
        <v>507</v>
      </c>
      <c r="C189" s="53" t="s">
        <v>3732</v>
      </c>
      <c r="D189" s="53" t="s">
        <v>497</v>
      </c>
      <c r="E189" s="53" t="s">
        <v>109</v>
      </c>
      <c r="F189" s="53" t="s">
        <v>3882</v>
      </c>
      <c r="G189" s="53"/>
      <c r="H189" s="53"/>
      <c r="I189" s="54">
        <v>2018</v>
      </c>
      <c r="J189" s="53"/>
      <c r="K189" s="53" t="s">
        <v>146</v>
      </c>
      <c r="L189" s="53" t="s">
        <v>508</v>
      </c>
      <c r="M189" s="53" t="s">
        <v>499</v>
      </c>
    </row>
    <row r="190" spans="1:13" ht="15" customHeight="1" x14ac:dyDescent="0.35">
      <c r="A190" s="53" t="s">
        <v>509</v>
      </c>
      <c r="B190" s="53" t="s">
        <v>509</v>
      </c>
      <c r="C190" s="53" t="s">
        <v>3732</v>
      </c>
      <c r="D190" s="53" t="s">
        <v>497</v>
      </c>
      <c r="E190" s="53" t="s">
        <v>109</v>
      </c>
      <c r="F190" s="53" t="s">
        <v>3882</v>
      </c>
      <c r="G190" s="53"/>
      <c r="H190" s="53"/>
      <c r="I190" s="54">
        <v>2018</v>
      </c>
      <c r="J190" s="53"/>
      <c r="K190" s="53" t="s">
        <v>146</v>
      </c>
      <c r="L190" s="53" t="s">
        <v>510</v>
      </c>
      <c r="M190" s="53" t="s">
        <v>499</v>
      </c>
    </row>
    <row r="191" spans="1:13" ht="15" customHeight="1" x14ac:dyDescent="0.35">
      <c r="A191" s="53" t="s">
        <v>511</v>
      </c>
      <c r="B191" s="53" t="s">
        <v>511</v>
      </c>
      <c r="C191" s="53" t="s">
        <v>3732</v>
      </c>
      <c r="D191" s="53" t="s">
        <v>497</v>
      </c>
      <c r="E191" s="53" t="s">
        <v>109</v>
      </c>
      <c r="F191" s="53" t="s">
        <v>3882</v>
      </c>
      <c r="G191" s="53"/>
      <c r="H191" s="53"/>
      <c r="I191" s="54">
        <v>2018</v>
      </c>
      <c r="J191" s="53"/>
      <c r="K191" s="53" t="s">
        <v>146</v>
      </c>
      <c r="L191" s="53" t="s">
        <v>512</v>
      </c>
      <c r="M191" s="53" t="s">
        <v>499</v>
      </c>
    </row>
    <row r="192" spans="1:13" ht="15" customHeight="1" x14ac:dyDescent="0.35">
      <c r="A192" s="53" t="s">
        <v>513</v>
      </c>
      <c r="B192" s="53" t="s">
        <v>513</v>
      </c>
      <c r="C192" s="53" t="s">
        <v>3732</v>
      </c>
      <c r="D192" s="53" t="s">
        <v>497</v>
      </c>
      <c r="E192" s="53" t="s">
        <v>109</v>
      </c>
      <c r="F192" s="53" t="s">
        <v>3882</v>
      </c>
      <c r="G192" s="53"/>
      <c r="H192" s="53"/>
      <c r="I192" s="54">
        <v>2018</v>
      </c>
      <c r="J192" s="53"/>
      <c r="K192" s="53" t="s">
        <v>146</v>
      </c>
      <c r="L192" s="53" t="s">
        <v>514</v>
      </c>
      <c r="M192" s="53" t="s">
        <v>499</v>
      </c>
    </row>
    <row r="193" spans="1:13" ht="15" customHeight="1" x14ac:dyDescent="0.35">
      <c r="A193" s="53" t="s">
        <v>515</v>
      </c>
      <c r="B193" s="53" t="s">
        <v>515</v>
      </c>
      <c r="C193" s="53" t="s">
        <v>3732</v>
      </c>
      <c r="D193" s="53" t="s">
        <v>497</v>
      </c>
      <c r="E193" s="53" t="s">
        <v>109</v>
      </c>
      <c r="F193" s="53" t="s">
        <v>3882</v>
      </c>
      <c r="G193" s="53"/>
      <c r="H193" s="53"/>
      <c r="I193" s="54">
        <v>2018</v>
      </c>
      <c r="J193" s="53"/>
      <c r="K193" s="53" t="s">
        <v>146</v>
      </c>
      <c r="L193" s="53" t="s">
        <v>516</v>
      </c>
      <c r="M193" s="53" t="s">
        <v>499</v>
      </c>
    </row>
    <row r="194" spans="1:13" ht="15" customHeight="1" x14ac:dyDescent="0.35">
      <c r="A194" s="53" t="s">
        <v>517</v>
      </c>
      <c r="B194" s="53" t="s">
        <v>517</v>
      </c>
      <c r="C194" s="53" t="s">
        <v>3732</v>
      </c>
      <c r="D194" s="53" t="s">
        <v>497</v>
      </c>
      <c r="E194" s="53" t="s">
        <v>109</v>
      </c>
      <c r="F194" s="53" t="s">
        <v>3882</v>
      </c>
      <c r="G194" s="53"/>
      <c r="H194" s="53"/>
      <c r="I194" s="54">
        <v>2018</v>
      </c>
      <c r="J194" s="53"/>
      <c r="K194" s="53" t="s">
        <v>146</v>
      </c>
      <c r="L194" s="53" t="s">
        <v>518</v>
      </c>
      <c r="M194" s="53" t="s">
        <v>499</v>
      </c>
    </row>
    <row r="195" spans="1:13" ht="15" customHeight="1" x14ac:dyDescent="0.35">
      <c r="A195" s="53" t="s">
        <v>519</v>
      </c>
      <c r="B195" s="53" t="s">
        <v>519</v>
      </c>
      <c r="C195" s="53" t="s">
        <v>3732</v>
      </c>
      <c r="D195" s="53" t="s">
        <v>497</v>
      </c>
      <c r="E195" s="53" t="s">
        <v>109</v>
      </c>
      <c r="F195" s="53" t="s">
        <v>3882</v>
      </c>
      <c r="G195" s="53"/>
      <c r="H195" s="53"/>
      <c r="I195" s="54">
        <v>2018</v>
      </c>
      <c r="J195" s="53"/>
      <c r="K195" s="53" t="s">
        <v>146</v>
      </c>
      <c r="L195" s="53" t="s">
        <v>520</v>
      </c>
      <c r="M195" s="53" t="s">
        <v>499</v>
      </c>
    </row>
    <row r="196" spans="1:13" ht="15" customHeight="1" x14ac:dyDescent="0.35">
      <c r="A196" s="53" t="s">
        <v>521</v>
      </c>
      <c r="B196" s="53" t="s">
        <v>521</v>
      </c>
      <c r="C196" s="53" t="s">
        <v>3732</v>
      </c>
      <c r="D196" s="53" t="s">
        <v>497</v>
      </c>
      <c r="E196" s="53" t="s">
        <v>109</v>
      </c>
      <c r="F196" s="53" t="s">
        <v>3882</v>
      </c>
      <c r="G196" s="53"/>
      <c r="H196" s="53"/>
      <c r="I196" s="54">
        <v>2018</v>
      </c>
      <c r="J196" s="53"/>
      <c r="K196" s="53" t="s">
        <v>146</v>
      </c>
      <c r="L196" s="53" t="s">
        <v>522</v>
      </c>
      <c r="M196" s="53" t="s">
        <v>499</v>
      </c>
    </row>
    <row r="197" spans="1:13" ht="15" customHeight="1" x14ac:dyDescent="0.35">
      <c r="A197" s="53" t="s">
        <v>523</v>
      </c>
      <c r="B197" s="53" t="s">
        <v>523</v>
      </c>
      <c r="C197" s="53" t="s">
        <v>3732</v>
      </c>
      <c r="D197" s="53" t="s">
        <v>497</v>
      </c>
      <c r="E197" s="53" t="s">
        <v>109</v>
      </c>
      <c r="F197" s="53" t="s">
        <v>3882</v>
      </c>
      <c r="G197" s="53"/>
      <c r="H197" s="53"/>
      <c r="I197" s="54">
        <v>2018</v>
      </c>
      <c r="J197" s="53"/>
      <c r="K197" s="53" t="s">
        <v>158</v>
      </c>
      <c r="L197" s="53" t="s">
        <v>524</v>
      </c>
      <c r="M197" s="53" t="s">
        <v>499</v>
      </c>
    </row>
    <row r="198" spans="1:13" ht="15" customHeight="1" x14ac:dyDescent="0.35">
      <c r="A198" s="53" t="s">
        <v>525</v>
      </c>
      <c r="B198" s="53" t="s">
        <v>525</v>
      </c>
      <c r="C198" s="53" t="s">
        <v>3732</v>
      </c>
      <c r="D198" s="53" t="s">
        <v>497</v>
      </c>
      <c r="E198" s="53" t="s">
        <v>109</v>
      </c>
      <c r="F198" s="53" t="s">
        <v>3882</v>
      </c>
      <c r="G198" s="53"/>
      <c r="H198" s="53"/>
      <c r="I198" s="54">
        <v>2018</v>
      </c>
      <c r="J198" s="53"/>
      <c r="K198" s="53" t="s">
        <v>146</v>
      </c>
      <c r="L198" s="53" t="s">
        <v>526</v>
      </c>
      <c r="M198" s="53" t="s">
        <v>499</v>
      </c>
    </row>
    <row r="199" spans="1:13" ht="15" customHeight="1" x14ac:dyDescent="0.35">
      <c r="A199" s="53" t="s">
        <v>527</v>
      </c>
      <c r="B199" s="53" t="s">
        <v>527</v>
      </c>
      <c r="C199" s="53" t="s">
        <v>3732</v>
      </c>
      <c r="D199" s="53" t="s">
        <v>497</v>
      </c>
      <c r="E199" s="53" t="s">
        <v>109</v>
      </c>
      <c r="F199" s="53" t="s">
        <v>3882</v>
      </c>
      <c r="G199" s="53"/>
      <c r="H199" s="53"/>
      <c r="I199" s="54">
        <v>2018</v>
      </c>
      <c r="J199" s="53"/>
      <c r="K199" s="53" t="s">
        <v>146</v>
      </c>
      <c r="L199" s="53" t="s">
        <v>528</v>
      </c>
      <c r="M199" s="53" t="s">
        <v>499</v>
      </c>
    </row>
    <row r="200" spans="1:13" ht="15" customHeight="1" x14ac:dyDescent="0.35">
      <c r="A200" s="53" t="s">
        <v>529</v>
      </c>
      <c r="B200" s="53" t="s">
        <v>529</v>
      </c>
      <c r="C200" s="53" t="s">
        <v>3732</v>
      </c>
      <c r="D200" s="53" t="s">
        <v>497</v>
      </c>
      <c r="E200" s="53" t="s">
        <v>109</v>
      </c>
      <c r="F200" s="53" t="s">
        <v>3882</v>
      </c>
      <c r="G200" s="53"/>
      <c r="H200" s="53"/>
      <c r="I200" s="54">
        <v>2018</v>
      </c>
      <c r="J200" s="53"/>
      <c r="K200" s="53" t="s">
        <v>146</v>
      </c>
      <c r="L200" s="53" t="s">
        <v>530</v>
      </c>
      <c r="M200" s="53" t="s">
        <v>499</v>
      </c>
    </row>
    <row r="201" spans="1:13" ht="15" customHeight="1" x14ac:dyDescent="0.35">
      <c r="A201" s="53" t="s">
        <v>531</v>
      </c>
      <c r="B201" s="53" t="s">
        <v>531</v>
      </c>
      <c r="C201" s="53" t="s">
        <v>3732</v>
      </c>
      <c r="D201" s="53" t="s">
        <v>497</v>
      </c>
      <c r="E201" s="53" t="s">
        <v>109</v>
      </c>
      <c r="F201" s="53" t="s">
        <v>3882</v>
      </c>
      <c r="G201" s="53"/>
      <c r="H201" s="53"/>
      <c r="I201" s="54">
        <v>2018</v>
      </c>
      <c r="J201" s="53"/>
      <c r="K201" s="53" t="s">
        <v>146</v>
      </c>
      <c r="L201" s="53" t="s">
        <v>532</v>
      </c>
      <c r="M201" s="53" t="s">
        <v>499</v>
      </c>
    </row>
    <row r="202" spans="1:13" ht="15" customHeight="1" x14ac:dyDescent="0.35">
      <c r="A202" s="53" t="s">
        <v>533</v>
      </c>
      <c r="B202" s="53" t="s">
        <v>533</v>
      </c>
      <c r="C202" s="53" t="s">
        <v>3732</v>
      </c>
      <c r="D202" s="53" t="s">
        <v>497</v>
      </c>
      <c r="E202" s="53" t="s">
        <v>109</v>
      </c>
      <c r="F202" s="53" t="s">
        <v>3882</v>
      </c>
      <c r="G202" s="53"/>
      <c r="H202" s="53"/>
      <c r="I202" s="54">
        <v>2018</v>
      </c>
      <c r="J202" s="53"/>
      <c r="K202" s="53" t="s">
        <v>146</v>
      </c>
      <c r="L202" s="53" t="s">
        <v>534</v>
      </c>
      <c r="M202" s="53" t="s">
        <v>499</v>
      </c>
    </row>
    <row r="203" spans="1:13" ht="15" customHeight="1" x14ac:dyDescent="0.35">
      <c r="A203" s="53" t="s">
        <v>535</v>
      </c>
      <c r="B203" s="53" t="s">
        <v>535</v>
      </c>
      <c r="C203" s="53" t="s">
        <v>3732</v>
      </c>
      <c r="D203" s="53" t="s">
        <v>497</v>
      </c>
      <c r="E203" s="53" t="s">
        <v>109</v>
      </c>
      <c r="F203" s="53" t="s">
        <v>3882</v>
      </c>
      <c r="G203" s="53"/>
      <c r="H203" s="53"/>
      <c r="I203" s="54">
        <v>2018</v>
      </c>
      <c r="J203" s="53"/>
      <c r="K203" s="53" t="s">
        <v>158</v>
      </c>
      <c r="L203" s="53" t="s">
        <v>536</v>
      </c>
      <c r="M203" s="53" t="s">
        <v>499</v>
      </c>
    </row>
    <row r="204" spans="1:13" ht="15" customHeight="1" x14ac:dyDescent="0.35">
      <c r="A204" s="53" t="s">
        <v>537</v>
      </c>
      <c r="B204" s="53" t="s">
        <v>537</v>
      </c>
      <c r="C204" s="53" t="s">
        <v>3732</v>
      </c>
      <c r="D204" s="53" t="s">
        <v>497</v>
      </c>
      <c r="E204" s="53" t="s">
        <v>109</v>
      </c>
      <c r="F204" s="53" t="s">
        <v>3882</v>
      </c>
      <c r="G204" s="53"/>
      <c r="H204" s="53"/>
      <c r="I204" s="54">
        <v>2018</v>
      </c>
      <c r="J204" s="53"/>
      <c r="K204" s="53" t="s">
        <v>146</v>
      </c>
      <c r="L204" s="53" t="s">
        <v>538</v>
      </c>
      <c r="M204" s="53" t="s">
        <v>499</v>
      </c>
    </row>
    <row r="205" spans="1:13" ht="15" customHeight="1" x14ac:dyDescent="0.35">
      <c r="A205" s="53" t="s">
        <v>539</v>
      </c>
      <c r="B205" s="53" t="s">
        <v>539</v>
      </c>
      <c r="C205" s="53" t="s">
        <v>3732</v>
      </c>
      <c r="D205" s="53" t="s">
        <v>497</v>
      </c>
      <c r="E205" s="53" t="s">
        <v>109</v>
      </c>
      <c r="F205" s="53" t="s">
        <v>3882</v>
      </c>
      <c r="G205" s="53"/>
      <c r="H205" s="53"/>
      <c r="I205" s="54">
        <v>2018</v>
      </c>
      <c r="J205" s="53"/>
      <c r="K205" s="53" t="s">
        <v>146</v>
      </c>
      <c r="L205" s="53" t="s">
        <v>540</v>
      </c>
      <c r="M205" s="53" t="s">
        <v>499</v>
      </c>
    </row>
    <row r="206" spans="1:13" ht="15" customHeight="1" x14ac:dyDescent="0.35">
      <c r="A206" s="53"/>
      <c r="B206" s="53"/>
      <c r="C206" s="53" t="s">
        <v>3732</v>
      </c>
      <c r="D206" s="53" t="s">
        <v>497</v>
      </c>
      <c r="E206" s="53" t="s">
        <v>109</v>
      </c>
      <c r="F206" s="53" t="s">
        <v>3882</v>
      </c>
      <c r="G206" s="53"/>
      <c r="H206" s="53"/>
      <c r="I206" s="54">
        <v>2018</v>
      </c>
      <c r="J206" s="53"/>
      <c r="K206" s="53" t="s">
        <v>158</v>
      </c>
      <c r="L206" s="53" t="s">
        <v>541</v>
      </c>
      <c r="M206" s="53" t="s">
        <v>499</v>
      </c>
    </row>
    <row r="207" spans="1:13" ht="15" customHeight="1" x14ac:dyDescent="0.35">
      <c r="A207" s="53" t="s">
        <v>542</v>
      </c>
      <c r="B207" s="53" t="s">
        <v>542</v>
      </c>
      <c r="C207" s="53" t="s">
        <v>3732</v>
      </c>
      <c r="D207" s="53" t="s">
        <v>497</v>
      </c>
      <c r="E207" s="53" t="s">
        <v>109</v>
      </c>
      <c r="F207" s="53" t="s">
        <v>3882</v>
      </c>
      <c r="G207" s="53"/>
      <c r="H207" s="53"/>
      <c r="I207" s="54">
        <v>2018</v>
      </c>
      <c r="J207" s="53"/>
      <c r="K207" s="53" t="s">
        <v>146</v>
      </c>
      <c r="L207" s="53" t="s">
        <v>543</v>
      </c>
      <c r="M207" s="53" t="s">
        <v>499</v>
      </c>
    </row>
    <row r="208" spans="1:13" ht="15" customHeight="1" x14ac:dyDescent="0.35">
      <c r="A208" s="53" t="s">
        <v>544</v>
      </c>
      <c r="B208" s="53" t="s">
        <v>544</v>
      </c>
      <c r="C208" s="53" t="s">
        <v>3732</v>
      </c>
      <c r="D208" s="53" t="s">
        <v>497</v>
      </c>
      <c r="E208" s="53" t="s">
        <v>109</v>
      </c>
      <c r="F208" s="53" t="s">
        <v>3882</v>
      </c>
      <c r="G208" s="53"/>
      <c r="H208" s="53"/>
      <c r="I208" s="54">
        <v>2018</v>
      </c>
      <c r="J208" s="53"/>
      <c r="K208" s="53" t="s">
        <v>158</v>
      </c>
      <c r="L208" s="53" t="s">
        <v>545</v>
      </c>
      <c r="M208" s="53" t="s">
        <v>499</v>
      </c>
    </row>
    <row r="209" spans="1:13" ht="15" customHeight="1" x14ac:dyDescent="0.35">
      <c r="A209" s="53" t="s">
        <v>546</v>
      </c>
      <c r="B209" s="53" t="s">
        <v>546</v>
      </c>
      <c r="C209" s="53" t="s">
        <v>3732</v>
      </c>
      <c r="D209" s="53" t="s">
        <v>497</v>
      </c>
      <c r="E209" s="53" t="s">
        <v>109</v>
      </c>
      <c r="F209" s="53" t="s">
        <v>3882</v>
      </c>
      <c r="G209" s="53"/>
      <c r="H209" s="53"/>
      <c r="I209" s="54">
        <v>2018</v>
      </c>
      <c r="J209" s="53"/>
      <c r="K209" s="53" t="s">
        <v>146</v>
      </c>
      <c r="L209" s="53" t="s">
        <v>547</v>
      </c>
      <c r="M209" s="53" t="s">
        <v>499</v>
      </c>
    </row>
    <row r="210" spans="1:13" ht="15" customHeight="1" x14ac:dyDescent="0.35">
      <c r="A210" s="53" t="s">
        <v>548</v>
      </c>
      <c r="B210" s="53" t="s">
        <v>548</v>
      </c>
      <c r="C210" s="53" t="s">
        <v>3732</v>
      </c>
      <c r="D210" s="53" t="s">
        <v>497</v>
      </c>
      <c r="E210" s="53" t="s">
        <v>109</v>
      </c>
      <c r="F210" s="53" t="s">
        <v>3882</v>
      </c>
      <c r="G210" s="53"/>
      <c r="H210" s="53"/>
      <c r="I210" s="54">
        <v>2018</v>
      </c>
      <c r="J210" s="53"/>
      <c r="K210" s="53" t="s">
        <v>146</v>
      </c>
      <c r="L210" s="53" t="s">
        <v>549</v>
      </c>
      <c r="M210" s="53" t="s">
        <v>499</v>
      </c>
    </row>
    <row r="211" spans="1:13" ht="15" customHeight="1" x14ac:dyDescent="0.35">
      <c r="A211" s="53" t="s">
        <v>550</v>
      </c>
      <c r="B211" s="53" t="s">
        <v>550</v>
      </c>
      <c r="C211" s="53" t="s">
        <v>3732</v>
      </c>
      <c r="D211" s="53" t="s">
        <v>497</v>
      </c>
      <c r="E211" s="53" t="s">
        <v>109</v>
      </c>
      <c r="F211" s="53" t="s">
        <v>3882</v>
      </c>
      <c r="G211" s="53"/>
      <c r="H211" s="53"/>
      <c r="I211" s="54">
        <v>2018</v>
      </c>
      <c r="J211" s="53"/>
      <c r="K211" s="53" t="s">
        <v>146</v>
      </c>
      <c r="L211" s="53" t="s">
        <v>551</v>
      </c>
      <c r="M211" s="53" t="s">
        <v>499</v>
      </c>
    </row>
    <row r="212" spans="1:13" ht="15" customHeight="1" x14ac:dyDescent="0.35">
      <c r="A212" s="53" t="s">
        <v>552</v>
      </c>
      <c r="B212" s="53" t="s">
        <v>552</v>
      </c>
      <c r="C212" s="53" t="s">
        <v>3732</v>
      </c>
      <c r="D212" s="53" t="s">
        <v>497</v>
      </c>
      <c r="E212" s="53" t="s">
        <v>109</v>
      </c>
      <c r="F212" s="53" t="s">
        <v>3882</v>
      </c>
      <c r="G212" s="53"/>
      <c r="H212" s="53"/>
      <c r="I212" s="54">
        <v>2018</v>
      </c>
      <c r="J212" s="53"/>
      <c r="K212" s="53" t="s">
        <v>146</v>
      </c>
      <c r="L212" s="53" t="s">
        <v>553</v>
      </c>
      <c r="M212" s="53" t="s">
        <v>499</v>
      </c>
    </row>
    <row r="213" spans="1:13" ht="15" customHeight="1" x14ac:dyDescent="0.35">
      <c r="A213" s="53" t="s">
        <v>554</v>
      </c>
      <c r="B213" s="53" t="s">
        <v>554</v>
      </c>
      <c r="C213" s="53" t="s">
        <v>3732</v>
      </c>
      <c r="D213" s="53" t="s">
        <v>497</v>
      </c>
      <c r="E213" s="53" t="s">
        <v>109</v>
      </c>
      <c r="F213" s="53" t="s">
        <v>3882</v>
      </c>
      <c r="G213" s="53"/>
      <c r="H213" s="53"/>
      <c r="I213" s="54">
        <v>2018</v>
      </c>
      <c r="J213" s="53"/>
      <c r="K213" s="53" t="s">
        <v>146</v>
      </c>
      <c r="L213" s="53" t="s">
        <v>555</v>
      </c>
      <c r="M213" s="53" t="s">
        <v>499</v>
      </c>
    </row>
    <row r="214" spans="1:13" ht="15" customHeight="1" x14ac:dyDescent="0.35">
      <c r="A214" s="53" t="s">
        <v>556</v>
      </c>
      <c r="B214" s="53" t="s">
        <v>556</v>
      </c>
      <c r="C214" s="53" t="s">
        <v>3732</v>
      </c>
      <c r="D214" s="53" t="s">
        <v>497</v>
      </c>
      <c r="E214" s="53" t="s">
        <v>109</v>
      </c>
      <c r="F214" s="53" t="s">
        <v>3882</v>
      </c>
      <c r="G214" s="53"/>
      <c r="H214" s="53"/>
      <c r="I214" s="54">
        <v>2018</v>
      </c>
      <c r="J214" s="53"/>
      <c r="K214" s="53" t="s">
        <v>146</v>
      </c>
      <c r="L214" s="53" t="s">
        <v>557</v>
      </c>
      <c r="M214" s="53" t="s">
        <v>499</v>
      </c>
    </row>
    <row r="215" spans="1:13" ht="15" customHeight="1" x14ac:dyDescent="0.35">
      <c r="A215" s="53" t="s">
        <v>558</v>
      </c>
      <c r="B215" s="53" t="s">
        <v>558</v>
      </c>
      <c r="C215" s="53" t="s">
        <v>3732</v>
      </c>
      <c r="D215" s="53" t="s">
        <v>497</v>
      </c>
      <c r="E215" s="53" t="s">
        <v>109</v>
      </c>
      <c r="F215" s="53" t="s">
        <v>3882</v>
      </c>
      <c r="G215" s="53"/>
      <c r="H215" s="53"/>
      <c r="I215" s="54">
        <v>2018</v>
      </c>
      <c r="J215" s="53"/>
      <c r="K215" s="53" t="s">
        <v>146</v>
      </c>
      <c r="L215" s="53" t="s">
        <v>559</v>
      </c>
      <c r="M215" s="53" t="s">
        <v>499</v>
      </c>
    </row>
    <row r="216" spans="1:13" ht="15" customHeight="1" x14ac:dyDescent="0.35">
      <c r="A216" s="53" t="s">
        <v>560</v>
      </c>
      <c r="B216" s="53" t="s">
        <v>560</v>
      </c>
      <c r="C216" s="53" t="s">
        <v>3732</v>
      </c>
      <c r="D216" s="53" t="s">
        <v>497</v>
      </c>
      <c r="E216" s="53" t="s">
        <v>109</v>
      </c>
      <c r="F216" s="53" t="s">
        <v>3882</v>
      </c>
      <c r="G216" s="53"/>
      <c r="H216" s="53"/>
      <c r="I216" s="54">
        <v>2018</v>
      </c>
      <c r="J216" s="53"/>
      <c r="K216" s="53" t="s">
        <v>146</v>
      </c>
      <c r="L216" s="53" t="s">
        <v>561</v>
      </c>
      <c r="M216" s="53" t="s">
        <v>499</v>
      </c>
    </row>
    <row r="217" spans="1:13" ht="15" customHeight="1" x14ac:dyDescent="0.35">
      <c r="A217" s="53" t="s">
        <v>562</v>
      </c>
      <c r="B217" s="53" t="s">
        <v>562</v>
      </c>
      <c r="C217" s="53" t="s">
        <v>3732</v>
      </c>
      <c r="D217" s="53" t="s">
        <v>497</v>
      </c>
      <c r="E217" s="53" t="s">
        <v>109</v>
      </c>
      <c r="F217" s="53" t="s">
        <v>3882</v>
      </c>
      <c r="G217" s="53" t="s">
        <v>3883</v>
      </c>
      <c r="H217" s="53"/>
      <c r="I217" s="54">
        <v>2018</v>
      </c>
      <c r="J217" s="53"/>
      <c r="K217" s="53" t="s">
        <v>146</v>
      </c>
      <c r="L217" s="53" t="s">
        <v>563</v>
      </c>
      <c r="M217" s="53" t="s">
        <v>499</v>
      </c>
    </row>
    <row r="218" spans="1:13" ht="15" customHeight="1" x14ac:dyDescent="0.35">
      <c r="A218" s="53" t="s">
        <v>564</v>
      </c>
      <c r="B218" s="53" t="s">
        <v>564</v>
      </c>
      <c r="C218" s="53" t="s">
        <v>3732</v>
      </c>
      <c r="D218" s="53" t="s">
        <v>497</v>
      </c>
      <c r="E218" s="53" t="s">
        <v>109</v>
      </c>
      <c r="F218" s="53" t="s">
        <v>3882</v>
      </c>
      <c r="G218" s="53"/>
      <c r="H218" s="53"/>
      <c r="I218" s="54">
        <v>2018</v>
      </c>
      <c r="J218" s="53"/>
      <c r="K218" s="53" t="s">
        <v>158</v>
      </c>
      <c r="L218" s="53" t="s">
        <v>565</v>
      </c>
      <c r="M218" s="53" t="s">
        <v>499</v>
      </c>
    </row>
    <row r="219" spans="1:13" ht="15" customHeight="1" x14ac:dyDescent="0.35">
      <c r="A219" s="53" t="s">
        <v>566</v>
      </c>
      <c r="B219" s="53" t="s">
        <v>566</v>
      </c>
      <c r="C219" s="53" t="s">
        <v>3732</v>
      </c>
      <c r="D219" s="53" t="s">
        <v>497</v>
      </c>
      <c r="E219" s="53" t="s">
        <v>109</v>
      </c>
      <c r="F219" s="53" t="s">
        <v>3882</v>
      </c>
      <c r="G219" s="53" t="s">
        <v>3884</v>
      </c>
      <c r="H219" s="53"/>
      <c r="I219" s="54">
        <v>2018</v>
      </c>
      <c r="J219" s="53"/>
      <c r="K219" s="53" t="s">
        <v>146</v>
      </c>
      <c r="L219" s="53" t="s">
        <v>567</v>
      </c>
      <c r="M219" s="53" t="s">
        <v>499</v>
      </c>
    </row>
    <row r="220" spans="1:13" ht="15" customHeight="1" x14ac:dyDescent="0.35">
      <c r="A220" s="53" t="s">
        <v>568</v>
      </c>
      <c r="B220" s="53" t="s">
        <v>568</v>
      </c>
      <c r="C220" s="53" t="s">
        <v>3732</v>
      </c>
      <c r="D220" s="53" t="s">
        <v>497</v>
      </c>
      <c r="E220" s="53" t="s">
        <v>109</v>
      </c>
      <c r="F220" s="53" t="s">
        <v>3882</v>
      </c>
      <c r="G220" s="53" t="s">
        <v>3885</v>
      </c>
      <c r="H220" s="53"/>
      <c r="I220" s="54">
        <v>2018</v>
      </c>
      <c r="J220" s="53"/>
      <c r="K220" s="53" t="s">
        <v>146</v>
      </c>
      <c r="L220" s="53" t="s">
        <v>569</v>
      </c>
      <c r="M220" s="53" t="s">
        <v>499</v>
      </c>
    </row>
    <row r="221" spans="1:13" ht="15" customHeight="1" x14ac:dyDescent="0.35">
      <c r="A221" s="53" t="s">
        <v>570</v>
      </c>
      <c r="B221" s="53" t="s">
        <v>570</v>
      </c>
      <c r="C221" s="53" t="s">
        <v>3732</v>
      </c>
      <c r="D221" s="53" t="s">
        <v>497</v>
      </c>
      <c r="E221" s="53" t="s">
        <v>109</v>
      </c>
      <c r="F221" s="53" t="s">
        <v>3882</v>
      </c>
      <c r="G221" s="53"/>
      <c r="H221" s="53"/>
      <c r="I221" s="54">
        <v>2018</v>
      </c>
      <c r="J221" s="53"/>
      <c r="K221" s="53" t="s">
        <v>158</v>
      </c>
      <c r="L221" s="53" t="s">
        <v>571</v>
      </c>
      <c r="M221" s="53" t="s">
        <v>499</v>
      </c>
    </row>
    <row r="222" spans="1:13" ht="15" customHeight="1" x14ac:dyDescent="0.35">
      <c r="A222" s="53" t="s">
        <v>572</v>
      </c>
      <c r="B222" s="53" t="s">
        <v>572</v>
      </c>
      <c r="C222" s="53" t="s">
        <v>3732</v>
      </c>
      <c r="D222" s="53" t="s">
        <v>497</v>
      </c>
      <c r="E222" s="53" t="s">
        <v>109</v>
      </c>
      <c r="F222" s="53" t="s">
        <v>3882</v>
      </c>
      <c r="G222" s="53" t="s">
        <v>3886</v>
      </c>
      <c r="H222" s="53"/>
      <c r="I222" s="54">
        <v>2018</v>
      </c>
      <c r="J222" s="53"/>
      <c r="K222" s="53" t="s">
        <v>146</v>
      </c>
      <c r="L222" s="53" t="s">
        <v>567</v>
      </c>
      <c r="M222" s="53" t="s">
        <v>499</v>
      </c>
    </row>
    <row r="223" spans="1:13" ht="15" customHeight="1" x14ac:dyDescent="0.35">
      <c r="A223" s="53" t="s">
        <v>573</v>
      </c>
      <c r="B223" s="53" t="s">
        <v>573</v>
      </c>
      <c r="C223" s="53" t="s">
        <v>3732</v>
      </c>
      <c r="D223" s="53" t="s">
        <v>497</v>
      </c>
      <c r="E223" s="53" t="s">
        <v>109</v>
      </c>
      <c r="F223" s="53" t="s">
        <v>3882</v>
      </c>
      <c r="G223" s="53" t="s">
        <v>3887</v>
      </c>
      <c r="H223" s="53"/>
      <c r="I223" s="54">
        <v>2018</v>
      </c>
      <c r="J223" s="53"/>
      <c r="K223" s="53" t="s">
        <v>146</v>
      </c>
      <c r="L223" s="53" t="s">
        <v>574</v>
      </c>
      <c r="M223" s="53" t="s">
        <v>499</v>
      </c>
    </row>
    <row r="224" spans="1:13" ht="15" customHeight="1" x14ac:dyDescent="0.35">
      <c r="A224" s="53" t="s">
        <v>575</v>
      </c>
      <c r="B224" s="53" t="s">
        <v>575</v>
      </c>
      <c r="C224" s="53" t="s">
        <v>3732</v>
      </c>
      <c r="D224" s="53" t="s">
        <v>497</v>
      </c>
      <c r="E224" s="53" t="s">
        <v>109</v>
      </c>
      <c r="F224" s="53" t="s">
        <v>3882</v>
      </c>
      <c r="G224" s="53"/>
      <c r="H224" s="53"/>
      <c r="I224" s="54">
        <v>2018</v>
      </c>
      <c r="J224" s="53"/>
      <c r="K224" s="53" t="s">
        <v>158</v>
      </c>
      <c r="L224" s="53" t="s">
        <v>576</v>
      </c>
      <c r="M224" s="53" t="s">
        <v>499</v>
      </c>
    </row>
    <row r="225" spans="1:13" ht="15" customHeight="1" x14ac:dyDescent="0.35">
      <c r="A225" s="53" t="s">
        <v>577</v>
      </c>
      <c r="B225" s="53" t="s">
        <v>577</v>
      </c>
      <c r="C225" s="53" t="s">
        <v>3732</v>
      </c>
      <c r="D225" s="53" t="s">
        <v>497</v>
      </c>
      <c r="E225" s="53" t="s">
        <v>109</v>
      </c>
      <c r="F225" s="53" t="s">
        <v>3882</v>
      </c>
      <c r="G225" s="53"/>
      <c r="H225" s="53"/>
      <c r="I225" s="54">
        <v>2018</v>
      </c>
      <c r="J225" s="53"/>
      <c r="K225" s="53" t="s">
        <v>146</v>
      </c>
      <c r="L225" s="53" t="s">
        <v>578</v>
      </c>
      <c r="M225" s="53" t="s">
        <v>499</v>
      </c>
    </row>
    <row r="226" spans="1:13" ht="15" customHeight="1" x14ac:dyDescent="0.35">
      <c r="A226" s="53" t="s">
        <v>579</v>
      </c>
      <c r="B226" s="53" t="s">
        <v>579</v>
      </c>
      <c r="C226" s="53" t="s">
        <v>3732</v>
      </c>
      <c r="D226" s="53" t="s">
        <v>497</v>
      </c>
      <c r="E226" s="53" t="s">
        <v>109</v>
      </c>
      <c r="F226" s="53" t="s">
        <v>3882</v>
      </c>
      <c r="G226" s="53"/>
      <c r="H226" s="53"/>
      <c r="I226" s="54">
        <v>2018</v>
      </c>
      <c r="J226" s="53"/>
      <c r="K226" s="53" t="s">
        <v>146</v>
      </c>
      <c r="L226" s="53" t="s">
        <v>580</v>
      </c>
      <c r="M226" s="53" t="s">
        <v>499</v>
      </c>
    </row>
    <row r="227" spans="1:13" ht="15" customHeight="1" x14ac:dyDescent="0.35">
      <c r="A227" s="53" t="s">
        <v>581</v>
      </c>
      <c r="B227" s="53" t="s">
        <v>581</v>
      </c>
      <c r="C227" s="53" t="s">
        <v>3732</v>
      </c>
      <c r="D227" s="53" t="s">
        <v>497</v>
      </c>
      <c r="E227" s="53" t="s">
        <v>109</v>
      </c>
      <c r="F227" s="53" t="s">
        <v>3882</v>
      </c>
      <c r="G227" s="53"/>
      <c r="H227" s="53"/>
      <c r="I227" s="54">
        <v>2018</v>
      </c>
      <c r="J227" s="53"/>
      <c r="K227" s="53" t="s">
        <v>146</v>
      </c>
      <c r="L227" s="53" t="s">
        <v>582</v>
      </c>
      <c r="M227" s="53" t="s">
        <v>499</v>
      </c>
    </row>
    <row r="228" spans="1:13" ht="15" customHeight="1" x14ac:dyDescent="0.35">
      <c r="A228" s="53" t="s">
        <v>583</v>
      </c>
      <c r="B228" s="53" t="s">
        <v>583</v>
      </c>
      <c r="C228" s="53" t="s">
        <v>3732</v>
      </c>
      <c r="D228" s="53" t="s">
        <v>497</v>
      </c>
      <c r="E228" s="53" t="s">
        <v>109</v>
      </c>
      <c r="F228" s="53" t="s">
        <v>3882</v>
      </c>
      <c r="G228" s="53"/>
      <c r="H228" s="53"/>
      <c r="I228" s="54">
        <v>2018</v>
      </c>
      <c r="J228" s="53"/>
      <c r="K228" s="53" t="s">
        <v>146</v>
      </c>
      <c r="L228" s="53" t="s">
        <v>584</v>
      </c>
      <c r="M228" s="53" t="s">
        <v>499</v>
      </c>
    </row>
    <row r="229" spans="1:13" ht="15" customHeight="1" x14ac:dyDescent="0.35">
      <c r="A229" s="53"/>
      <c r="B229" s="53"/>
      <c r="C229" s="53" t="s">
        <v>3732</v>
      </c>
      <c r="D229" s="53" t="s">
        <v>497</v>
      </c>
      <c r="E229" s="53" t="s">
        <v>109</v>
      </c>
      <c r="F229" s="53" t="s">
        <v>3882</v>
      </c>
      <c r="G229" s="53"/>
      <c r="H229" s="53"/>
      <c r="I229" s="54">
        <v>2018</v>
      </c>
      <c r="J229" s="53"/>
      <c r="K229" s="53" t="s">
        <v>158</v>
      </c>
      <c r="L229" s="53" t="s">
        <v>541</v>
      </c>
      <c r="M229" s="53" t="s">
        <v>499</v>
      </c>
    </row>
    <row r="230" spans="1:13" ht="15" customHeight="1" x14ac:dyDescent="0.35">
      <c r="A230" s="53" t="s">
        <v>585</v>
      </c>
      <c r="B230" s="53" t="s">
        <v>585</v>
      </c>
      <c r="C230" s="53" t="s">
        <v>3732</v>
      </c>
      <c r="D230" s="53" t="s">
        <v>497</v>
      </c>
      <c r="E230" s="53" t="s">
        <v>109</v>
      </c>
      <c r="F230" s="53" t="s">
        <v>3882</v>
      </c>
      <c r="G230" s="53"/>
      <c r="H230" s="53"/>
      <c r="I230" s="54">
        <v>2018</v>
      </c>
      <c r="J230" s="53"/>
      <c r="K230" s="53" t="s">
        <v>158</v>
      </c>
      <c r="L230" s="53" t="s">
        <v>586</v>
      </c>
      <c r="M230" s="53" t="s">
        <v>499</v>
      </c>
    </row>
    <row r="231" spans="1:13" ht="15" customHeight="1" x14ac:dyDescent="0.35">
      <c r="A231" s="53" t="s">
        <v>587</v>
      </c>
      <c r="B231" s="53" t="s">
        <v>587</v>
      </c>
      <c r="C231" s="53" t="s">
        <v>3732</v>
      </c>
      <c r="D231" s="53" t="s">
        <v>497</v>
      </c>
      <c r="E231" s="53" t="s">
        <v>109</v>
      </c>
      <c r="F231" s="53" t="s">
        <v>3882</v>
      </c>
      <c r="G231" s="53"/>
      <c r="H231" s="53"/>
      <c r="I231" s="54">
        <v>2018</v>
      </c>
      <c r="J231" s="53"/>
      <c r="K231" s="53" t="s">
        <v>146</v>
      </c>
      <c r="L231" s="53" t="s">
        <v>588</v>
      </c>
      <c r="M231" s="53" t="s">
        <v>499</v>
      </c>
    </row>
    <row r="232" spans="1:13" ht="15" customHeight="1" x14ac:dyDescent="0.35">
      <c r="A232" s="53"/>
      <c r="B232" s="53"/>
      <c r="C232" s="53" t="s">
        <v>3732</v>
      </c>
      <c r="D232" s="53" t="s">
        <v>497</v>
      </c>
      <c r="E232" s="53" t="s">
        <v>109</v>
      </c>
      <c r="F232" s="53" t="s">
        <v>3882</v>
      </c>
      <c r="G232" s="53"/>
      <c r="H232" s="53"/>
      <c r="I232" s="54">
        <v>2018</v>
      </c>
      <c r="J232" s="53"/>
      <c r="K232" s="53" t="s">
        <v>158</v>
      </c>
      <c r="L232" s="53" t="s">
        <v>541</v>
      </c>
      <c r="M232" s="53" t="s">
        <v>499</v>
      </c>
    </row>
    <row r="233" spans="1:13" ht="15" customHeight="1" x14ac:dyDescent="0.35">
      <c r="A233" s="53" t="s">
        <v>589</v>
      </c>
      <c r="B233" s="53" t="s">
        <v>589</v>
      </c>
      <c r="C233" s="53" t="s">
        <v>3732</v>
      </c>
      <c r="D233" s="53" t="s">
        <v>497</v>
      </c>
      <c r="E233" s="53" t="s">
        <v>109</v>
      </c>
      <c r="F233" s="53" t="s">
        <v>3882</v>
      </c>
      <c r="G233" s="53" t="s">
        <v>3888</v>
      </c>
      <c r="H233" s="53"/>
      <c r="I233" s="54">
        <v>2018</v>
      </c>
      <c r="J233" s="53"/>
      <c r="K233" s="53" t="s">
        <v>146</v>
      </c>
      <c r="L233" s="53" t="s">
        <v>590</v>
      </c>
      <c r="M233" s="53" t="s">
        <v>499</v>
      </c>
    </row>
    <row r="234" spans="1:13" ht="15" customHeight="1" x14ac:dyDescent="0.35">
      <c r="A234" s="53" t="s">
        <v>591</v>
      </c>
      <c r="B234" s="53" t="s">
        <v>591</v>
      </c>
      <c r="C234" s="53" t="s">
        <v>3732</v>
      </c>
      <c r="D234" s="53" t="s">
        <v>497</v>
      </c>
      <c r="E234" s="53" t="s">
        <v>109</v>
      </c>
      <c r="F234" s="53" t="s">
        <v>3882</v>
      </c>
      <c r="G234" s="53" t="s">
        <v>3888</v>
      </c>
      <c r="H234" s="53"/>
      <c r="I234" s="54">
        <v>2018</v>
      </c>
      <c r="J234" s="53"/>
      <c r="K234" s="53" t="s">
        <v>146</v>
      </c>
      <c r="L234" s="53" t="s">
        <v>592</v>
      </c>
      <c r="M234" s="53" t="s">
        <v>499</v>
      </c>
    </row>
    <row r="235" spans="1:13" ht="15" customHeight="1" x14ac:dyDescent="0.35">
      <c r="A235" s="53" t="s">
        <v>593</v>
      </c>
      <c r="B235" s="53" t="s">
        <v>593</v>
      </c>
      <c r="C235" s="53" t="s">
        <v>3732</v>
      </c>
      <c r="D235" s="53" t="s">
        <v>497</v>
      </c>
      <c r="E235" s="53" t="s">
        <v>109</v>
      </c>
      <c r="F235" s="53" t="s">
        <v>3882</v>
      </c>
      <c r="G235" s="53" t="s">
        <v>3888</v>
      </c>
      <c r="H235" s="53"/>
      <c r="I235" s="54">
        <v>2018</v>
      </c>
      <c r="J235" s="53"/>
      <c r="K235" s="53" t="s">
        <v>146</v>
      </c>
      <c r="L235" s="53" t="s">
        <v>594</v>
      </c>
      <c r="M235" s="53" t="s">
        <v>499</v>
      </c>
    </row>
    <row r="236" spans="1:13" ht="15" customHeight="1" x14ac:dyDescent="0.35">
      <c r="A236" s="53" t="s">
        <v>595</v>
      </c>
      <c r="B236" s="53" t="s">
        <v>595</v>
      </c>
      <c r="C236" s="53" t="s">
        <v>3732</v>
      </c>
      <c r="D236" s="53" t="s">
        <v>497</v>
      </c>
      <c r="E236" s="53" t="s">
        <v>109</v>
      </c>
      <c r="F236" s="53" t="s">
        <v>3882</v>
      </c>
      <c r="G236" s="53" t="s">
        <v>3889</v>
      </c>
      <c r="H236" s="53"/>
      <c r="I236" s="54">
        <v>2018</v>
      </c>
      <c r="J236" s="53"/>
      <c r="K236" s="53" t="s">
        <v>158</v>
      </c>
      <c r="L236" s="53" t="s">
        <v>596</v>
      </c>
      <c r="M236" s="53" t="s">
        <v>499</v>
      </c>
    </row>
    <row r="237" spans="1:13" ht="15" customHeight="1" x14ac:dyDescent="0.35">
      <c r="A237" s="53"/>
      <c r="B237" s="53"/>
      <c r="C237" s="53" t="s">
        <v>3732</v>
      </c>
      <c r="D237" s="53" t="s">
        <v>497</v>
      </c>
      <c r="E237" s="53" t="s">
        <v>109</v>
      </c>
      <c r="F237" s="53" t="s">
        <v>3882</v>
      </c>
      <c r="G237" s="53"/>
      <c r="H237" s="53"/>
      <c r="I237" s="54">
        <v>2018</v>
      </c>
      <c r="J237" s="53"/>
      <c r="K237" s="53" t="s">
        <v>158</v>
      </c>
      <c r="L237" s="53" t="s">
        <v>541</v>
      </c>
      <c r="M237" s="53" t="s">
        <v>499</v>
      </c>
    </row>
    <row r="238" spans="1:13" ht="15" customHeight="1" x14ac:dyDescent="0.35">
      <c r="A238" s="53" t="s">
        <v>597</v>
      </c>
      <c r="B238" s="53" t="s">
        <v>597</v>
      </c>
      <c r="C238" s="53" t="s">
        <v>3732</v>
      </c>
      <c r="D238" s="53" t="s">
        <v>497</v>
      </c>
      <c r="E238" s="53" t="s">
        <v>109</v>
      </c>
      <c r="F238" s="53" t="s">
        <v>3882</v>
      </c>
      <c r="G238" s="53" t="s">
        <v>3890</v>
      </c>
      <c r="H238" s="53"/>
      <c r="I238" s="54">
        <v>2018</v>
      </c>
      <c r="J238" s="53"/>
      <c r="K238" s="53" t="s">
        <v>146</v>
      </c>
      <c r="L238" s="53" t="s">
        <v>598</v>
      </c>
      <c r="M238" s="53" t="s">
        <v>499</v>
      </c>
    </row>
    <row r="239" spans="1:13" ht="15" customHeight="1" x14ac:dyDescent="0.35">
      <c r="A239" s="53" t="s">
        <v>599</v>
      </c>
      <c r="B239" s="53" t="s">
        <v>599</v>
      </c>
      <c r="C239" s="53" t="s">
        <v>3732</v>
      </c>
      <c r="D239" s="53" t="s">
        <v>497</v>
      </c>
      <c r="E239" s="53" t="s">
        <v>109</v>
      </c>
      <c r="F239" s="53" t="s">
        <v>3882</v>
      </c>
      <c r="G239" s="53"/>
      <c r="H239" s="53"/>
      <c r="I239" s="54">
        <v>2018</v>
      </c>
      <c r="J239" s="53"/>
      <c r="K239" s="53" t="s">
        <v>146</v>
      </c>
      <c r="L239" s="53" t="s">
        <v>600</v>
      </c>
      <c r="M239" s="53" t="s">
        <v>499</v>
      </c>
    </row>
    <row r="240" spans="1:13" ht="15" customHeight="1" x14ac:dyDescent="0.35">
      <c r="A240" s="53" t="s">
        <v>601</v>
      </c>
      <c r="B240" s="53" t="s">
        <v>601</v>
      </c>
      <c r="C240" s="53" t="s">
        <v>3732</v>
      </c>
      <c r="D240" s="53" t="s">
        <v>497</v>
      </c>
      <c r="E240" s="53" t="s">
        <v>109</v>
      </c>
      <c r="F240" s="53" t="s">
        <v>3882</v>
      </c>
      <c r="G240" s="53"/>
      <c r="H240" s="53"/>
      <c r="I240" s="54">
        <v>2018</v>
      </c>
      <c r="J240" s="53"/>
      <c r="K240" s="53" t="s">
        <v>146</v>
      </c>
      <c r="L240" s="53" t="s">
        <v>602</v>
      </c>
      <c r="M240" s="53" t="s">
        <v>499</v>
      </c>
    </row>
    <row r="241" spans="1:13" ht="15" customHeight="1" x14ac:dyDescent="0.35">
      <c r="A241" s="53" t="s">
        <v>603</v>
      </c>
      <c r="B241" s="53" t="s">
        <v>603</v>
      </c>
      <c r="C241" s="53" t="s">
        <v>3732</v>
      </c>
      <c r="D241" s="53" t="s">
        <v>497</v>
      </c>
      <c r="E241" s="53" t="s">
        <v>109</v>
      </c>
      <c r="F241" s="53" t="s">
        <v>3882</v>
      </c>
      <c r="G241" s="53"/>
      <c r="H241" s="53"/>
      <c r="I241" s="54">
        <v>2018</v>
      </c>
      <c r="J241" s="53"/>
      <c r="K241" s="53" t="s">
        <v>146</v>
      </c>
      <c r="L241" s="53" t="s">
        <v>604</v>
      </c>
      <c r="M241" s="53" t="s">
        <v>499</v>
      </c>
    </row>
    <row r="242" spans="1:13" ht="15" customHeight="1" x14ac:dyDescent="0.35">
      <c r="A242" s="53"/>
      <c r="B242" s="53"/>
      <c r="C242" s="53" t="s">
        <v>3732</v>
      </c>
      <c r="D242" s="53" t="s">
        <v>497</v>
      </c>
      <c r="E242" s="53" t="s">
        <v>109</v>
      </c>
      <c r="F242" s="53" t="s">
        <v>3882</v>
      </c>
      <c r="G242" s="53"/>
      <c r="H242" s="53"/>
      <c r="I242" s="54">
        <v>2018</v>
      </c>
      <c r="J242" s="53"/>
      <c r="K242" s="53" t="s">
        <v>158</v>
      </c>
      <c r="L242" s="53" t="s">
        <v>541</v>
      </c>
      <c r="M242" s="53" t="s">
        <v>499</v>
      </c>
    </row>
    <row r="243" spans="1:13" ht="15" customHeight="1" x14ac:dyDescent="0.35">
      <c r="A243" s="53"/>
      <c r="B243" s="53"/>
      <c r="C243" s="53" t="s">
        <v>3732</v>
      </c>
      <c r="D243" s="53" t="s">
        <v>497</v>
      </c>
      <c r="E243" s="53" t="s">
        <v>109</v>
      </c>
      <c r="F243" s="53" t="s">
        <v>3882</v>
      </c>
      <c r="G243" s="53"/>
      <c r="H243" s="53"/>
      <c r="I243" s="54">
        <v>2018</v>
      </c>
      <c r="J243" s="53"/>
      <c r="K243" s="53" t="s">
        <v>158</v>
      </c>
      <c r="L243" s="53" t="s">
        <v>541</v>
      </c>
      <c r="M243" s="53" t="s">
        <v>499</v>
      </c>
    </row>
    <row r="244" spans="1:13" ht="15" customHeight="1" x14ac:dyDescent="0.35">
      <c r="A244" s="53" t="s">
        <v>605</v>
      </c>
      <c r="B244" s="53" t="s">
        <v>605</v>
      </c>
      <c r="C244" s="53" t="s">
        <v>3732</v>
      </c>
      <c r="D244" s="53" t="s">
        <v>497</v>
      </c>
      <c r="E244" s="53" t="s">
        <v>109</v>
      </c>
      <c r="F244" s="53" t="s">
        <v>3882</v>
      </c>
      <c r="G244" s="53"/>
      <c r="H244" s="53"/>
      <c r="I244" s="54">
        <v>2018</v>
      </c>
      <c r="J244" s="53"/>
      <c r="K244" s="53" t="s">
        <v>146</v>
      </c>
      <c r="L244" s="53" t="s">
        <v>606</v>
      </c>
      <c r="M244" s="53" t="s">
        <v>499</v>
      </c>
    </row>
    <row r="245" spans="1:13" ht="15" customHeight="1" x14ac:dyDescent="0.35">
      <c r="A245" s="53" t="s">
        <v>607</v>
      </c>
      <c r="B245" s="53" t="s">
        <v>607</v>
      </c>
      <c r="C245" s="53" t="s">
        <v>3732</v>
      </c>
      <c r="D245" s="53" t="s">
        <v>497</v>
      </c>
      <c r="E245" s="53" t="s">
        <v>109</v>
      </c>
      <c r="F245" s="53" t="s">
        <v>3882</v>
      </c>
      <c r="G245" s="53"/>
      <c r="H245" s="53"/>
      <c r="I245" s="54">
        <v>2018</v>
      </c>
      <c r="J245" s="53"/>
      <c r="K245" s="53" t="s">
        <v>146</v>
      </c>
      <c r="L245" s="53" t="s">
        <v>608</v>
      </c>
      <c r="M245" s="53" t="s">
        <v>499</v>
      </c>
    </row>
    <row r="246" spans="1:13" ht="15" customHeight="1" x14ac:dyDescent="0.35">
      <c r="A246" s="53" t="s">
        <v>609</v>
      </c>
      <c r="B246" s="53" t="s">
        <v>609</v>
      </c>
      <c r="C246" s="53" t="s">
        <v>3732</v>
      </c>
      <c r="D246" s="53" t="s">
        <v>497</v>
      </c>
      <c r="E246" s="53" t="s">
        <v>109</v>
      </c>
      <c r="F246" s="53" t="s">
        <v>3882</v>
      </c>
      <c r="G246" s="53"/>
      <c r="H246" s="53"/>
      <c r="I246" s="54">
        <v>2018</v>
      </c>
      <c r="J246" s="53"/>
      <c r="K246" s="53" t="s">
        <v>146</v>
      </c>
      <c r="L246" s="53" t="s">
        <v>610</v>
      </c>
      <c r="M246" s="53" t="s">
        <v>499</v>
      </c>
    </row>
    <row r="247" spans="1:13" ht="15" customHeight="1" x14ac:dyDescent="0.35">
      <c r="A247" s="53" t="s">
        <v>611</v>
      </c>
      <c r="B247" s="53" t="s">
        <v>611</v>
      </c>
      <c r="C247" s="53" t="s">
        <v>3732</v>
      </c>
      <c r="D247" s="53" t="s">
        <v>497</v>
      </c>
      <c r="E247" s="53" t="s">
        <v>109</v>
      </c>
      <c r="F247" s="53" t="s">
        <v>3882</v>
      </c>
      <c r="G247" s="53"/>
      <c r="H247" s="53"/>
      <c r="I247" s="54">
        <v>2018</v>
      </c>
      <c r="J247" s="53"/>
      <c r="K247" s="53" t="s">
        <v>146</v>
      </c>
      <c r="L247" s="53" t="s">
        <v>612</v>
      </c>
      <c r="M247" s="53" t="s">
        <v>499</v>
      </c>
    </row>
    <row r="248" spans="1:13" ht="15" customHeight="1" x14ac:dyDescent="0.35">
      <c r="A248" s="53" t="s">
        <v>613</v>
      </c>
      <c r="B248" s="53" t="s">
        <v>613</v>
      </c>
      <c r="C248" s="53" t="s">
        <v>3732</v>
      </c>
      <c r="D248" s="53" t="s">
        <v>497</v>
      </c>
      <c r="E248" s="53" t="s">
        <v>109</v>
      </c>
      <c r="F248" s="53" t="s">
        <v>3882</v>
      </c>
      <c r="G248" s="53"/>
      <c r="H248" s="53"/>
      <c r="I248" s="54">
        <v>2018</v>
      </c>
      <c r="J248" s="53"/>
      <c r="K248" s="53" t="s">
        <v>146</v>
      </c>
      <c r="L248" s="53" t="s">
        <v>614</v>
      </c>
      <c r="M248" s="53" t="s">
        <v>499</v>
      </c>
    </row>
    <row r="249" spans="1:13" ht="15" customHeight="1" x14ac:dyDescent="0.35">
      <c r="A249" s="53" t="s">
        <v>615</v>
      </c>
      <c r="B249" s="53" t="s">
        <v>615</v>
      </c>
      <c r="C249" s="53" t="s">
        <v>3732</v>
      </c>
      <c r="D249" s="53" t="s">
        <v>497</v>
      </c>
      <c r="E249" s="53" t="s">
        <v>109</v>
      </c>
      <c r="F249" s="53" t="s">
        <v>3882</v>
      </c>
      <c r="G249" s="53"/>
      <c r="H249" s="53"/>
      <c r="I249" s="54">
        <v>2018</v>
      </c>
      <c r="J249" s="53"/>
      <c r="K249" s="53" t="s">
        <v>146</v>
      </c>
      <c r="L249" s="53" t="s">
        <v>616</v>
      </c>
      <c r="M249" s="53" t="s">
        <v>499</v>
      </c>
    </row>
    <row r="250" spans="1:13" ht="15" customHeight="1" x14ac:dyDescent="0.35">
      <c r="A250" s="53" t="s">
        <v>617</v>
      </c>
      <c r="B250" s="53" t="s">
        <v>617</v>
      </c>
      <c r="C250" s="53" t="s">
        <v>3732</v>
      </c>
      <c r="D250" s="53" t="s">
        <v>497</v>
      </c>
      <c r="E250" s="53" t="s">
        <v>109</v>
      </c>
      <c r="F250" s="53" t="s">
        <v>3882</v>
      </c>
      <c r="G250" s="53"/>
      <c r="H250" s="53"/>
      <c r="I250" s="54">
        <v>2018</v>
      </c>
      <c r="J250" s="53"/>
      <c r="K250" s="53" t="s">
        <v>146</v>
      </c>
      <c r="L250" s="53" t="s">
        <v>618</v>
      </c>
      <c r="M250" s="53" t="s">
        <v>499</v>
      </c>
    </row>
    <row r="251" spans="1:13" ht="15" customHeight="1" x14ac:dyDescent="0.35">
      <c r="A251" s="53" t="s">
        <v>619</v>
      </c>
      <c r="B251" s="53" t="s">
        <v>619</v>
      </c>
      <c r="C251" s="53" t="s">
        <v>3732</v>
      </c>
      <c r="D251" s="53" t="s">
        <v>497</v>
      </c>
      <c r="E251" s="53" t="s">
        <v>109</v>
      </c>
      <c r="F251" s="53" t="s">
        <v>3882</v>
      </c>
      <c r="G251" s="53"/>
      <c r="H251" s="53"/>
      <c r="I251" s="54">
        <v>2018</v>
      </c>
      <c r="J251" s="53"/>
      <c r="K251" s="53" t="s">
        <v>146</v>
      </c>
      <c r="L251" s="53" t="s">
        <v>620</v>
      </c>
      <c r="M251" s="53" t="s">
        <v>499</v>
      </c>
    </row>
    <row r="252" spans="1:13" ht="15" customHeight="1" x14ac:dyDescent="0.35">
      <c r="A252" s="53" t="s">
        <v>621</v>
      </c>
      <c r="B252" s="53" t="s">
        <v>621</v>
      </c>
      <c r="C252" s="53" t="s">
        <v>3732</v>
      </c>
      <c r="D252" s="53" t="s">
        <v>497</v>
      </c>
      <c r="E252" s="53" t="s">
        <v>109</v>
      </c>
      <c r="F252" s="53" t="s">
        <v>3882</v>
      </c>
      <c r="G252" s="53"/>
      <c r="H252" s="53"/>
      <c r="I252" s="54">
        <v>2018</v>
      </c>
      <c r="J252" s="53"/>
      <c r="K252" s="53" t="s">
        <v>146</v>
      </c>
      <c r="L252" s="53" t="s">
        <v>622</v>
      </c>
      <c r="M252" s="53" t="s">
        <v>499</v>
      </c>
    </row>
    <row r="253" spans="1:13" ht="15" customHeight="1" x14ac:dyDescent="0.35">
      <c r="A253" s="53" t="s">
        <v>623</v>
      </c>
      <c r="B253" s="53" t="s">
        <v>623</v>
      </c>
      <c r="C253" s="53" t="s">
        <v>3732</v>
      </c>
      <c r="D253" s="53" t="s">
        <v>497</v>
      </c>
      <c r="E253" s="53" t="s">
        <v>109</v>
      </c>
      <c r="F253" s="53" t="s">
        <v>3882</v>
      </c>
      <c r="G253" s="53"/>
      <c r="H253" s="53"/>
      <c r="I253" s="54">
        <v>2018</v>
      </c>
      <c r="J253" s="53"/>
      <c r="K253" s="53" t="s">
        <v>146</v>
      </c>
      <c r="L253" s="53" t="s">
        <v>624</v>
      </c>
      <c r="M253" s="53" t="s">
        <v>499</v>
      </c>
    </row>
    <row r="254" spans="1:13" ht="15" customHeight="1" x14ac:dyDescent="0.35">
      <c r="A254" s="53" t="s">
        <v>625</v>
      </c>
      <c r="B254" s="53" t="s">
        <v>625</v>
      </c>
      <c r="C254" s="53" t="s">
        <v>3732</v>
      </c>
      <c r="D254" s="53" t="s">
        <v>497</v>
      </c>
      <c r="E254" s="53" t="s">
        <v>109</v>
      </c>
      <c r="F254" s="53" t="s">
        <v>3882</v>
      </c>
      <c r="G254" s="53"/>
      <c r="H254" s="53"/>
      <c r="I254" s="54">
        <v>2018</v>
      </c>
      <c r="J254" s="53"/>
      <c r="K254" s="53" t="s">
        <v>146</v>
      </c>
      <c r="L254" s="53" t="s">
        <v>626</v>
      </c>
      <c r="M254" s="53" t="s">
        <v>499</v>
      </c>
    </row>
    <row r="255" spans="1:13" ht="15" customHeight="1" x14ac:dyDescent="0.35">
      <c r="A255" s="53" t="s">
        <v>627</v>
      </c>
      <c r="B255" s="53" t="s">
        <v>627</v>
      </c>
      <c r="C255" s="53" t="s">
        <v>3732</v>
      </c>
      <c r="D255" s="53" t="s">
        <v>497</v>
      </c>
      <c r="E255" s="53" t="s">
        <v>109</v>
      </c>
      <c r="F255" s="53" t="s">
        <v>3882</v>
      </c>
      <c r="G255" s="53"/>
      <c r="H255" s="53"/>
      <c r="I255" s="54">
        <v>2018</v>
      </c>
      <c r="J255" s="53"/>
      <c r="K255" s="53" t="s">
        <v>146</v>
      </c>
      <c r="L255" s="53" t="s">
        <v>628</v>
      </c>
      <c r="M255" s="53" t="s">
        <v>499</v>
      </c>
    </row>
    <row r="256" spans="1:13" ht="15" customHeight="1" x14ac:dyDescent="0.35">
      <c r="A256" s="53" t="s">
        <v>629</v>
      </c>
      <c r="B256" s="53" t="s">
        <v>629</v>
      </c>
      <c r="C256" s="53" t="s">
        <v>3732</v>
      </c>
      <c r="D256" s="53" t="s">
        <v>497</v>
      </c>
      <c r="E256" s="53" t="s">
        <v>109</v>
      </c>
      <c r="F256" s="53" t="s">
        <v>3882</v>
      </c>
      <c r="G256" s="53"/>
      <c r="H256" s="53"/>
      <c r="I256" s="54">
        <v>2018</v>
      </c>
      <c r="J256" s="53"/>
      <c r="K256" s="53" t="s">
        <v>158</v>
      </c>
      <c r="L256" s="53" t="s">
        <v>630</v>
      </c>
      <c r="M256" s="53" t="s">
        <v>499</v>
      </c>
    </row>
    <row r="257" spans="1:13" ht="15" customHeight="1" x14ac:dyDescent="0.35">
      <c r="A257" s="53" t="s">
        <v>631</v>
      </c>
      <c r="B257" s="53" t="s">
        <v>631</v>
      </c>
      <c r="C257" s="53" t="s">
        <v>3732</v>
      </c>
      <c r="D257" s="53" t="s">
        <v>497</v>
      </c>
      <c r="E257" s="53" t="s">
        <v>109</v>
      </c>
      <c r="F257" s="53" t="s">
        <v>3882</v>
      </c>
      <c r="G257" s="53"/>
      <c r="H257" s="53"/>
      <c r="I257" s="54">
        <v>2018</v>
      </c>
      <c r="J257" s="53"/>
      <c r="K257" s="53" t="s">
        <v>146</v>
      </c>
      <c r="L257" s="53" t="s">
        <v>632</v>
      </c>
      <c r="M257" s="53" t="s">
        <v>499</v>
      </c>
    </row>
    <row r="258" spans="1:13" ht="15" customHeight="1" x14ac:dyDescent="0.35">
      <c r="A258" s="53" t="s">
        <v>633</v>
      </c>
      <c r="B258" s="53" t="s">
        <v>633</v>
      </c>
      <c r="C258" s="53" t="s">
        <v>3732</v>
      </c>
      <c r="D258" s="53" t="s">
        <v>497</v>
      </c>
      <c r="E258" s="53" t="s">
        <v>109</v>
      </c>
      <c r="F258" s="53" t="s">
        <v>3882</v>
      </c>
      <c r="G258" s="53"/>
      <c r="H258" s="53"/>
      <c r="I258" s="54">
        <v>2018</v>
      </c>
      <c r="J258" s="53"/>
      <c r="K258" s="53" t="s">
        <v>146</v>
      </c>
      <c r="L258" s="53" t="s">
        <v>634</v>
      </c>
      <c r="M258" s="53" t="s">
        <v>499</v>
      </c>
    </row>
    <row r="259" spans="1:13" ht="15" customHeight="1" x14ac:dyDescent="0.35">
      <c r="A259" s="53" t="s">
        <v>635</v>
      </c>
      <c r="B259" s="53" t="s">
        <v>635</v>
      </c>
      <c r="C259" s="53" t="s">
        <v>3732</v>
      </c>
      <c r="D259" s="53" t="s">
        <v>497</v>
      </c>
      <c r="E259" s="53" t="s">
        <v>109</v>
      </c>
      <c r="F259" s="53" t="s">
        <v>3882</v>
      </c>
      <c r="G259" s="53"/>
      <c r="H259" s="53"/>
      <c r="I259" s="54">
        <v>2018</v>
      </c>
      <c r="J259" s="53"/>
      <c r="K259" s="53" t="s">
        <v>158</v>
      </c>
      <c r="L259" s="53" t="s">
        <v>636</v>
      </c>
      <c r="M259" s="53" t="s">
        <v>499</v>
      </c>
    </row>
    <row r="260" spans="1:13" ht="15" customHeight="1" x14ac:dyDescent="0.35">
      <c r="A260" s="53" t="s">
        <v>637</v>
      </c>
      <c r="B260" s="53" t="s">
        <v>637</v>
      </c>
      <c r="C260" s="53" t="s">
        <v>3732</v>
      </c>
      <c r="D260" s="53" t="s">
        <v>497</v>
      </c>
      <c r="E260" s="53" t="s">
        <v>109</v>
      </c>
      <c r="F260" s="53" t="s">
        <v>3882</v>
      </c>
      <c r="G260" s="53"/>
      <c r="H260" s="53"/>
      <c r="I260" s="54">
        <v>2018</v>
      </c>
      <c r="J260" s="53"/>
      <c r="K260" s="53" t="s">
        <v>146</v>
      </c>
      <c r="L260" s="53" t="s">
        <v>638</v>
      </c>
      <c r="M260" s="53" t="s">
        <v>499</v>
      </c>
    </row>
    <row r="261" spans="1:13" ht="15" customHeight="1" x14ac:dyDescent="0.35">
      <c r="A261" s="53" t="s">
        <v>639</v>
      </c>
      <c r="B261" s="53" t="s">
        <v>639</v>
      </c>
      <c r="C261" s="53" t="s">
        <v>3732</v>
      </c>
      <c r="D261" s="53" t="s">
        <v>497</v>
      </c>
      <c r="E261" s="53" t="s">
        <v>109</v>
      </c>
      <c r="F261" s="53" t="s">
        <v>3882</v>
      </c>
      <c r="G261" s="53"/>
      <c r="H261" s="53"/>
      <c r="I261" s="54">
        <v>2018</v>
      </c>
      <c r="J261" s="53"/>
      <c r="K261" s="53" t="s">
        <v>146</v>
      </c>
      <c r="L261" s="53" t="s">
        <v>640</v>
      </c>
      <c r="M261" s="53" t="s">
        <v>499</v>
      </c>
    </row>
    <row r="262" spans="1:13" ht="15" customHeight="1" x14ac:dyDescent="0.35">
      <c r="A262" s="53" t="s">
        <v>641</v>
      </c>
      <c r="B262" s="53" t="s">
        <v>641</v>
      </c>
      <c r="C262" s="53" t="s">
        <v>3732</v>
      </c>
      <c r="D262" s="53" t="s">
        <v>497</v>
      </c>
      <c r="E262" s="53" t="s">
        <v>109</v>
      </c>
      <c r="F262" s="53" t="s">
        <v>3882</v>
      </c>
      <c r="G262" s="53"/>
      <c r="H262" s="53"/>
      <c r="I262" s="54">
        <v>2018</v>
      </c>
      <c r="J262" s="53"/>
      <c r="K262" s="53" t="s">
        <v>146</v>
      </c>
      <c r="L262" s="53" t="s">
        <v>642</v>
      </c>
      <c r="M262" s="53" t="s">
        <v>499</v>
      </c>
    </row>
    <row r="263" spans="1:13" ht="15" customHeight="1" x14ac:dyDescent="0.35">
      <c r="A263" s="53" t="s">
        <v>643</v>
      </c>
      <c r="B263" s="53" t="s">
        <v>643</v>
      </c>
      <c r="C263" s="53" t="s">
        <v>3732</v>
      </c>
      <c r="D263" s="53" t="s">
        <v>497</v>
      </c>
      <c r="E263" s="53" t="s">
        <v>109</v>
      </c>
      <c r="F263" s="53" t="s">
        <v>3882</v>
      </c>
      <c r="G263" s="53"/>
      <c r="H263" s="53"/>
      <c r="I263" s="54">
        <v>2018</v>
      </c>
      <c r="J263" s="53"/>
      <c r="K263" s="53" t="s">
        <v>146</v>
      </c>
      <c r="L263" s="53" t="s">
        <v>644</v>
      </c>
      <c r="M263" s="53" t="s">
        <v>499</v>
      </c>
    </row>
    <row r="264" spans="1:13" ht="15" customHeight="1" x14ac:dyDescent="0.35">
      <c r="A264" s="53" t="s">
        <v>645</v>
      </c>
      <c r="B264" s="53" t="s">
        <v>645</v>
      </c>
      <c r="C264" s="53" t="s">
        <v>3732</v>
      </c>
      <c r="D264" s="53" t="s">
        <v>497</v>
      </c>
      <c r="E264" s="53" t="s">
        <v>109</v>
      </c>
      <c r="F264" s="53" t="s">
        <v>3882</v>
      </c>
      <c r="G264" s="53"/>
      <c r="H264" s="53"/>
      <c r="I264" s="54">
        <v>2018</v>
      </c>
      <c r="J264" s="53"/>
      <c r="K264" s="53" t="s">
        <v>146</v>
      </c>
      <c r="L264" s="53" t="s">
        <v>646</v>
      </c>
      <c r="M264" s="53" t="s">
        <v>499</v>
      </c>
    </row>
    <row r="265" spans="1:13" ht="15" customHeight="1" x14ac:dyDescent="0.35">
      <c r="A265" s="53" t="s">
        <v>647</v>
      </c>
      <c r="B265" s="53" t="s">
        <v>647</v>
      </c>
      <c r="C265" s="53" t="s">
        <v>3732</v>
      </c>
      <c r="D265" s="53" t="s">
        <v>497</v>
      </c>
      <c r="E265" s="53" t="s">
        <v>109</v>
      </c>
      <c r="F265" s="53" t="s">
        <v>3882</v>
      </c>
      <c r="G265" s="53"/>
      <c r="H265" s="53"/>
      <c r="I265" s="54">
        <v>2018</v>
      </c>
      <c r="J265" s="53"/>
      <c r="K265" s="53" t="s">
        <v>146</v>
      </c>
      <c r="L265" s="53" t="s">
        <v>648</v>
      </c>
      <c r="M265" s="53" t="s">
        <v>499</v>
      </c>
    </row>
  </sheetData>
  <dataValidations count="1">
    <dataValidation type="list" allowBlank="1" sqref="K2:K1265" xr:uid="{00000000-0002-0000-1500-000000000000}">
      <formula1>"Activo,Activo candidato,Reserva,Standby,Crítica A1 por criterio negocio,Pendiente revisión"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A1:L1248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42" customWidth="1"/>
    <col min="3" max="3" width="19" customWidth="1"/>
    <col min="4" max="4" width="14" customWidth="1"/>
    <col min="5" max="5" width="11" customWidth="1"/>
    <col min="6" max="6" width="15" customWidth="1"/>
    <col min="7" max="7" width="21" customWidth="1"/>
    <col min="8" max="8" width="19" customWidth="1"/>
    <col min="9" max="9" width="14" customWidth="1"/>
    <col min="10" max="11" width="45" customWidth="1"/>
    <col min="12" max="12" width="30" customWidth="1"/>
  </cols>
  <sheetData>
    <row r="1" spans="1:12" ht="26.9" customHeight="1" x14ac:dyDescent="0.35">
      <c r="A1" s="11" t="s">
        <v>3893</v>
      </c>
      <c r="B1" s="11" t="s">
        <v>3894</v>
      </c>
      <c r="C1" s="11" t="s">
        <v>3895</v>
      </c>
      <c r="D1" s="11" t="s">
        <v>3896</v>
      </c>
      <c r="E1" s="11" t="s">
        <v>3897</v>
      </c>
      <c r="F1" s="11" t="s">
        <v>3898</v>
      </c>
      <c r="G1" s="11" t="s">
        <v>3899</v>
      </c>
      <c r="H1" s="11" t="s">
        <v>3900</v>
      </c>
      <c r="I1" s="11" t="s">
        <v>3901</v>
      </c>
      <c r="J1" s="11" t="s">
        <v>3902</v>
      </c>
      <c r="K1" s="11" t="s">
        <v>3903</v>
      </c>
      <c r="L1" s="11" t="s">
        <v>3904</v>
      </c>
    </row>
    <row r="2" spans="1:12" ht="15" customHeight="1" x14ac:dyDescent="0.35">
      <c r="A2" s="53" t="s">
        <v>897</v>
      </c>
      <c r="B2" s="53" t="s">
        <v>898</v>
      </c>
      <c r="C2" s="55">
        <v>404.55</v>
      </c>
      <c r="D2" s="55">
        <v>24273</v>
      </c>
      <c r="E2" s="53">
        <v>399</v>
      </c>
      <c r="F2" s="53">
        <v>175</v>
      </c>
      <c r="G2" s="55">
        <v>0.43859649122806998</v>
      </c>
      <c r="H2" s="55">
        <v>60.834586466165398</v>
      </c>
      <c r="I2" s="55">
        <v>2100</v>
      </c>
      <c r="J2" s="53" t="s">
        <v>3905</v>
      </c>
      <c r="K2" s="53" t="s">
        <v>3906</v>
      </c>
      <c r="L2" s="53" t="s">
        <v>3907</v>
      </c>
    </row>
    <row r="3" spans="1:12" ht="15" customHeight="1" x14ac:dyDescent="0.35">
      <c r="A3" s="53" t="s">
        <v>904</v>
      </c>
      <c r="B3" s="53" t="s">
        <v>905</v>
      </c>
      <c r="C3" s="55">
        <v>355.76666666666699</v>
      </c>
      <c r="D3" s="55">
        <v>21346</v>
      </c>
      <c r="E3" s="53">
        <v>196</v>
      </c>
      <c r="F3" s="53">
        <v>92</v>
      </c>
      <c r="G3" s="55">
        <v>0.469387755102041</v>
      </c>
      <c r="H3" s="55">
        <v>108.908163265306</v>
      </c>
      <c r="I3" s="55">
        <v>8700</v>
      </c>
      <c r="J3" s="53" t="s">
        <v>3908</v>
      </c>
      <c r="K3" s="53" t="s">
        <v>3909</v>
      </c>
      <c r="L3" s="53" t="s">
        <v>3907</v>
      </c>
    </row>
    <row r="4" spans="1:12" ht="15" customHeight="1" x14ac:dyDescent="0.35">
      <c r="A4" s="53" t="s">
        <v>908</v>
      </c>
      <c r="B4" s="53" t="s">
        <v>909</v>
      </c>
      <c r="C4" s="55">
        <v>302.78333333333302</v>
      </c>
      <c r="D4" s="55">
        <v>18167</v>
      </c>
      <c r="E4" s="53">
        <v>147</v>
      </c>
      <c r="F4" s="53">
        <v>95</v>
      </c>
      <c r="G4" s="55">
        <v>0.64625850340136104</v>
      </c>
      <c r="H4" s="55">
        <v>123.585034013605</v>
      </c>
      <c r="I4" s="55">
        <v>4320</v>
      </c>
      <c r="J4" s="53" t="s">
        <v>3910</v>
      </c>
      <c r="K4" s="53" t="s">
        <v>3911</v>
      </c>
      <c r="L4" s="53" t="s">
        <v>3907</v>
      </c>
    </row>
    <row r="5" spans="1:12" ht="15" customHeight="1" x14ac:dyDescent="0.35">
      <c r="A5" s="53" t="s">
        <v>912</v>
      </c>
      <c r="B5" s="53" t="s">
        <v>913</v>
      </c>
      <c r="C5" s="55">
        <v>297.73333333333301</v>
      </c>
      <c r="D5" s="55">
        <v>17864</v>
      </c>
      <c r="E5" s="53">
        <v>119</v>
      </c>
      <c r="F5" s="53">
        <v>73</v>
      </c>
      <c r="G5" s="55">
        <v>0.61344537815126099</v>
      </c>
      <c r="H5" s="55">
        <v>150.11764705882399</v>
      </c>
      <c r="I5" s="55">
        <v>1500</v>
      </c>
      <c r="J5" s="53" t="s">
        <v>3912</v>
      </c>
      <c r="K5" s="53" t="s">
        <v>3913</v>
      </c>
      <c r="L5" s="53" t="s">
        <v>3907</v>
      </c>
    </row>
    <row r="6" spans="1:12" ht="15" customHeight="1" x14ac:dyDescent="0.35">
      <c r="A6" s="53" t="s">
        <v>916</v>
      </c>
      <c r="B6" s="53" t="s">
        <v>917</v>
      </c>
      <c r="C6" s="55">
        <v>284.76666666666699</v>
      </c>
      <c r="D6" s="55">
        <v>17086</v>
      </c>
      <c r="E6" s="53">
        <v>57</v>
      </c>
      <c r="F6" s="53">
        <v>11</v>
      </c>
      <c r="G6" s="55">
        <v>0.19298245614035101</v>
      </c>
      <c r="H6" s="55">
        <v>299.75438596491199</v>
      </c>
      <c r="I6" s="55">
        <v>10500</v>
      </c>
      <c r="J6" s="53" t="s">
        <v>3914</v>
      </c>
      <c r="K6" s="53" t="s">
        <v>3915</v>
      </c>
      <c r="L6" s="53" t="s">
        <v>3907</v>
      </c>
    </row>
    <row r="7" spans="1:12" ht="15" customHeight="1" x14ac:dyDescent="0.35">
      <c r="A7" s="53" t="s">
        <v>920</v>
      </c>
      <c r="B7" s="53" t="s">
        <v>921</v>
      </c>
      <c r="C7" s="55">
        <v>269</v>
      </c>
      <c r="D7" s="55">
        <v>16140</v>
      </c>
      <c r="E7" s="53">
        <v>179</v>
      </c>
      <c r="F7" s="53">
        <v>99</v>
      </c>
      <c r="G7" s="55">
        <v>0.55307262569832405</v>
      </c>
      <c r="H7" s="55">
        <v>90.167597765363098</v>
      </c>
      <c r="I7" s="55">
        <v>848</v>
      </c>
      <c r="J7" s="53" t="s">
        <v>3916</v>
      </c>
      <c r="K7" s="53" t="s">
        <v>3917</v>
      </c>
      <c r="L7" s="53" t="s">
        <v>3907</v>
      </c>
    </row>
    <row r="8" spans="1:12" ht="15" customHeight="1" x14ac:dyDescent="0.35">
      <c r="A8" s="53" t="s">
        <v>924</v>
      </c>
      <c r="B8" s="53" t="s">
        <v>925</v>
      </c>
      <c r="C8" s="55">
        <v>267.13333333333298</v>
      </c>
      <c r="D8" s="55">
        <v>16028</v>
      </c>
      <c r="E8" s="53">
        <v>125</v>
      </c>
      <c r="F8" s="53">
        <v>76</v>
      </c>
      <c r="G8" s="55">
        <v>0.60799999999999998</v>
      </c>
      <c r="H8" s="55">
        <v>128.22399999999999</v>
      </c>
      <c r="I8" s="55">
        <v>1400</v>
      </c>
      <c r="J8" s="53" t="s">
        <v>3918</v>
      </c>
      <c r="K8" s="53" t="s">
        <v>3919</v>
      </c>
      <c r="L8" s="53" t="s">
        <v>3907</v>
      </c>
    </row>
    <row r="9" spans="1:12" ht="15" customHeight="1" x14ac:dyDescent="0.35">
      <c r="A9" s="53" t="s">
        <v>928</v>
      </c>
      <c r="B9" s="53" t="s">
        <v>929</v>
      </c>
      <c r="C9" s="55">
        <v>259.7</v>
      </c>
      <c r="D9" s="55">
        <v>15582</v>
      </c>
      <c r="E9" s="53">
        <v>103</v>
      </c>
      <c r="F9" s="53">
        <v>50</v>
      </c>
      <c r="G9" s="55">
        <v>0.485436893203884</v>
      </c>
      <c r="H9" s="55">
        <v>151.28155339805801</v>
      </c>
      <c r="I9" s="55">
        <v>2400</v>
      </c>
      <c r="J9" s="53" t="s">
        <v>3920</v>
      </c>
      <c r="K9" s="53" t="s">
        <v>3921</v>
      </c>
      <c r="L9" s="53" t="s">
        <v>3907</v>
      </c>
    </row>
    <row r="10" spans="1:12" ht="15" customHeight="1" x14ac:dyDescent="0.35">
      <c r="A10" s="53" t="s">
        <v>932</v>
      </c>
      <c r="B10" s="53" t="s">
        <v>921</v>
      </c>
      <c r="C10" s="55">
        <v>259.21666666666698</v>
      </c>
      <c r="D10" s="55">
        <v>15553</v>
      </c>
      <c r="E10" s="53">
        <v>41</v>
      </c>
      <c r="F10" s="53">
        <v>23</v>
      </c>
      <c r="G10" s="55">
        <v>0.56097560975609795</v>
      </c>
      <c r="H10" s="55">
        <v>379.34146341463401</v>
      </c>
      <c r="I10" s="55">
        <v>7304</v>
      </c>
      <c r="J10" s="53" t="s">
        <v>3922</v>
      </c>
      <c r="K10" s="53" t="s">
        <v>3923</v>
      </c>
      <c r="L10" s="53" t="s">
        <v>3924</v>
      </c>
    </row>
    <row r="11" spans="1:12" ht="15" customHeight="1" x14ac:dyDescent="0.35">
      <c r="A11" s="53" t="s">
        <v>935</v>
      </c>
      <c r="B11" s="53" t="s">
        <v>921</v>
      </c>
      <c r="C11" s="55">
        <v>242.15</v>
      </c>
      <c r="D11" s="55">
        <v>14529</v>
      </c>
      <c r="E11" s="53">
        <v>128</v>
      </c>
      <c r="F11" s="53">
        <v>64</v>
      </c>
      <c r="G11" s="55">
        <v>0.5</v>
      </c>
      <c r="H11" s="55">
        <v>113.5078125</v>
      </c>
      <c r="I11" s="55">
        <v>1620</v>
      </c>
      <c r="J11" s="53" t="s">
        <v>3925</v>
      </c>
      <c r="K11" s="53" t="s">
        <v>3926</v>
      </c>
      <c r="L11" s="53" t="s">
        <v>3907</v>
      </c>
    </row>
    <row r="12" spans="1:12" ht="15" customHeight="1" x14ac:dyDescent="0.35">
      <c r="A12" s="53" t="s">
        <v>938</v>
      </c>
      <c r="B12" s="53" t="s">
        <v>925</v>
      </c>
      <c r="C12" s="55">
        <v>235.75</v>
      </c>
      <c r="D12" s="55">
        <v>14145</v>
      </c>
      <c r="E12" s="53">
        <v>221</v>
      </c>
      <c r="F12" s="53">
        <v>113</v>
      </c>
      <c r="G12" s="55">
        <v>0.51131221719456998</v>
      </c>
      <c r="H12" s="55">
        <v>64.004524886877803</v>
      </c>
      <c r="I12" s="55">
        <v>960</v>
      </c>
      <c r="J12" s="53" t="s">
        <v>3927</v>
      </c>
      <c r="K12" s="53" t="s">
        <v>3928</v>
      </c>
      <c r="L12" s="53" t="s">
        <v>3907</v>
      </c>
    </row>
    <row r="13" spans="1:12" ht="15" customHeight="1" x14ac:dyDescent="0.35">
      <c r="A13" s="53" t="s">
        <v>941</v>
      </c>
      <c r="B13" s="53" t="s">
        <v>942</v>
      </c>
      <c r="C13" s="55">
        <v>234.51666666666699</v>
      </c>
      <c r="D13" s="55">
        <v>14071</v>
      </c>
      <c r="E13" s="53">
        <v>153</v>
      </c>
      <c r="F13" s="53">
        <v>80</v>
      </c>
      <c r="G13" s="55">
        <v>0.52287581699346397</v>
      </c>
      <c r="H13" s="55">
        <v>91.967320261437905</v>
      </c>
      <c r="I13" s="55">
        <v>3248</v>
      </c>
      <c r="J13" s="53" t="s">
        <v>3929</v>
      </c>
      <c r="K13" s="53" t="s">
        <v>3930</v>
      </c>
      <c r="L13" s="53" t="s">
        <v>3907</v>
      </c>
    </row>
    <row r="14" spans="1:12" ht="15" customHeight="1" x14ac:dyDescent="0.35">
      <c r="A14" s="53" t="s">
        <v>945</v>
      </c>
      <c r="B14" s="53" t="s">
        <v>946</v>
      </c>
      <c r="C14" s="55">
        <v>234.35</v>
      </c>
      <c r="D14" s="55">
        <v>14061</v>
      </c>
      <c r="E14" s="53">
        <v>52</v>
      </c>
      <c r="F14" s="53">
        <v>33</v>
      </c>
      <c r="G14" s="55">
        <v>0.63461538461538503</v>
      </c>
      <c r="H14" s="55">
        <v>270.40384615384602</v>
      </c>
      <c r="I14" s="55">
        <v>5700</v>
      </c>
      <c r="J14" s="53" t="s">
        <v>3931</v>
      </c>
      <c r="K14" s="53" t="s">
        <v>3932</v>
      </c>
      <c r="L14" s="53" t="s">
        <v>3907</v>
      </c>
    </row>
    <row r="15" spans="1:12" ht="15" customHeight="1" x14ac:dyDescent="0.35">
      <c r="A15" s="53" t="s">
        <v>949</v>
      </c>
      <c r="B15" s="53" t="s">
        <v>925</v>
      </c>
      <c r="C15" s="55">
        <v>232.21666666666701</v>
      </c>
      <c r="D15" s="55">
        <v>13933</v>
      </c>
      <c r="E15" s="53">
        <v>136</v>
      </c>
      <c r="F15" s="53">
        <v>89</v>
      </c>
      <c r="G15" s="55">
        <v>0.65441176470588203</v>
      </c>
      <c r="H15" s="55">
        <v>102.44852941176499</v>
      </c>
      <c r="I15" s="55">
        <v>650</v>
      </c>
      <c r="J15" s="53" t="s">
        <v>3933</v>
      </c>
      <c r="K15" s="53" t="s">
        <v>3934</v>
      </c>
      <c r="L15" s="53" t="s">
        <v>3907</v>
      </c>
    </row>
    <row r="16" spans="1:12" ht="15" customHeight="1" x14ac:dyDescent="0.35">
      <c r="A16" s="53" t="s">
        <v>952</v>
      </c>
      <c r="B16" s="53" t="s">
        <v>913</v>
      </c>
      <c r="C16" s="55">
        <v>230.833333333333</v>
      </c>
      <c r="D16" s="55">
        <v>13850</v>
      </c>
      <c r="E16" s="53">
        <v>95</v>
      </c>
      <c r="F16" s="53">
        <v>58</v>
      </c>
      <c r="G16" s="55">
        <v>0.61052631578947403</v>
      </c>
      <c r="H16" s="55">
        <v>145.789473684211</v>
      </c>
      <c r="I16" s="55">
        <v>2000</v>
      </c>
      <c r="J16" s="53" t="s">
        <v>3935</v>
      </c>
      <c r="K16" s="53" t="s">
        <v>3936</v>
      </c>
      <c r="L16" s="53" t="s">
        <v>3907</v>
      </c>
    </row>
    <row r="17" spans="1:12" ht="15" customHeight="1" x14ac:dyDescent="0.35">
      <c r="A17" s="53" t="s">
        <v>955</v>
      </c>
      <c r="B17" s="53" t="s">
        <v>921</v>
      </c>
      <c r="C17" s="55">
        <v>229.01666666666699</v>
      </c>
      <c r="D17" s="55">
        <v>13741</v>
      </c>
      <c r="E17" s="53">
        <v>82</v>
      </c>
      <c r="F17" s="53">
        <v>39</v>
      </c>
      <c r="G17" s="55">
        <v>0.47560975609756101</v>
      </c>
      <c r="H17" s="55">
        <v>167.57317073170699</v>
      </c>
      <c r="I17" s="55">
        <v>4500</v>
      </c>
      <c r="J17" s="53" t="s">
        <v>3937</v>
      </c>
      <c r="K17" s="53" t="s">
        <v>3938</v>
      </c>
      <c r="L17" s="53" t="s">
        <v>3907</v>
      </c>
    </row>
    <row r="18" spans="1:12" ht="15" customHeight="1" x14ac:dyDescent="0.35">
      <c r="A18" s="53" t="s">
        <v>958</v>
      </c>
      <c r="B18" s="53" t="s">
        <v>959</v>
      </c>
      <c r="C18" s="55">
        <v>228.316666666667</v>
      </c>
      <c r="D18" s="55">
        <v>13699</v>
      </c>
      <c r="E18" s="53">
        <v>209</v>
      </c>
      <c r="F18" s="53">
        <v>47</v>
      </c>
      <c r="G18" s="55">
        <v>0.22488038277512001</v>
      </c>
      <c r="H18" s="55">
        <v>65.545454545454604</v>
      </c>
      <c r="I18" s="55">
        <v>2620</v>
      </c>
      <c r="J18" s="53" t="s">
        <v>3939</v>
      </c>
      <c r="K18" s="53" t="s">
        <v>3940</v>
      </c>
      <c r="L18" s="53" t="s">
        <v>3941</v>
      </c>
    </row>
    <row r="19" spans="1:12" ht="15" customHeight="1" x14ac:dyDescent="0.35">
      <c r="A19" s="53" t="s">
        <v>962</v>
      </c>
      <c r="B19" s="53" t="s">
        <v>963</v>
      </c>
      <c r="C19" s="55">
        <v>227.3</v>
      </c>
      <c r="D19" s="55">
        <v>13638</v>
      </c>
      <c r="E19" s="53">
        <v>238</v>
      </c>
      <c r="F19" s="53">
        <v>68</v>
      </c>
      <c r="G19" s="55">
        <v>0.28571428571428598</v>
      </c>
      <c r="H19" s="55">
        <v>57.302521008403403</v>
      </c>
      <c r="I19" s="55">
        <v>2345</v>
      </c>
      <c r="J19" s="53" t="s">
        <v>3942</v>
      </c>
      <c r="K19" s="53" t="s">
        <v>3943</v>
      </c>
      <c r="L19" s="53" t="s">
        <v>3907</v>
      </c>
    </row>
    <row r="20" spans="1:12" ht="15" customHeight="1" x14ac:dyDescent="0.35">
      <c r="A20" s="53" t="s">
        <v>966</v>
      </c>
      <c r="B20" s="53" t="s">
        <v>921</v>
      </c>
      <c r="C20" s="55">
        <v>225.3</v>
      </c>
      <c r="D20" s="55">
        <v>13518</v>
      </c>
      <c r="E20" s="53">
        <v>146</v>
      </c>
      <c r="F20" s="53">
        <v>74</v>
      </c>
      <c r="G20" s="55">
        <v>0.50684931506849296</v>
      </c>
      <c r="H20" s="55">
        <v>92.589041095890394</v>
      </c>
      <c r="I20" s="55">
        <v>5824</v>
      </c>
      <c r="J20" s="53" t="s">
        <v>3944</v>
      </c>
      <c r="K20" s="53" t="s">
        <v>3945</v>
      </c>
      <c r="L20" s="53" t="s">
        <v>3907</v>
      </c>
    </row>
    <row r="21" spans="1:12" ht="15" customHeight="1" x14ac:dyDescent="0.35">
      <c r="A21" s="53" t="s">
        <v>969</v>
      </c>
      <c r="B21" s="53" t="s">
        <v>946</v>
      </c>
      <c r="C21" s="55">
        <v>224.63333333333301</v>
      </c>
      <c r="D21" s="55">
        <v>13478</v>
      </c>
      <c r="E21" s="53">
        <v>60</v>
      </c>
      <c r="F21" s="53">
        <v>36</v>
      </c>
      <c r="G21" s="55">
        <v>0.6</v>
      </c>
      <c r="H21" s="55">
        <v>224.63333333333301</v>
      </c>
      <c r="I21" s="55">
        <v>8500</v>
      </c>
      <c r="J21" s="53" t="s">
        <v>3946</v>
      </c>
      <c r="K21" s="53" t="s">
        <v>3947</v>
      </c>
      <c r="L21" s="53" t="s">
        <v>3907</v>
      </c>
    </row>
    <row r="22" spans="1:12" ht="15" customHeight="1" x14ac:dyDescent="0.35">
      <c r="A22" s="53" t="s">
        <v>972</v>
      </c>
      <c r="B22" s="53" t="s">
        <v>973</v>
      </c>
      <c r="C22" s="55">
        <v>223.98333333333301</v>
      </c>
      <c r="D22" s="55">
        <v>13439</v>
      </c>
      <c r="E22" s="53">
        <v>136</v>
      </c>
      <c r="F22" s="53">
        <v>64</v>
      </c>
      <c r="G22" s="55">
        <v>0.47058823529411797</v>
      </c>
      <c r="H22" s="55">
        <v>98.816176470588204</v>
      </c>
      <c r="I22" s="55">
        <v>2400</v>
      </c>
      <c r="J22" s="53" t="s">
        <v>3948</v>
      </c>
      <c r="K22" s="53" t="s">
        <v>3949</v>
      </c>
      <c r="L22" s="53" t="s">
        <v>3907</v>
      </c>
    </row>
    <row r="23" spans="1:12" ht="15" customHeight="1" x14ac:dyDescent="0.35">
      <c r="A23" s="53" t="s">
        <v>976</v>
      </c>
      <c r="B23" s="53" t="s">
        <v>959</v>
      </c>
      <c r="C23" s="55">
        <v>217.8</v>
      </c>
      <c r="D23" s="55">
        <v>13068</v>
      </c>
      <c r="E23" s="53">
        <v>84</v>
      </c>
      <c r="F23" s="53">
        <v>26</v>
      </c>
      <c r="G23" s="55">
        <v>0.30952380952380998</v>
      </c>
      <c r="H23" s="55">
        <v>155.57142857142901</v>
      </c>
      <c r="I23" s="55">
        <v>2407</v>
      </c>
      <c r="J23" s="53" t="s">
        <v>3950</v>
      </c>
      <c r="K23" s="53" t="s">
        <v>3951</v>
      </c>
      <c r="L23" s="53" t="s">
        <v>3941</v>
      </c>
    </row>
    <row r="24" spans="1:12" ht="15" customHeight="1" x14ac:dyDescent="0.35">
      <c r="A24" s="53" t="s">
        <v>979</v>
      </c>
      <c r="B24" s="53" t="s">
        <v>925</v>
      </c>
      <c r="C24" s="55">
        <v>209.46666666666701</v>
      </c>
      <c r="D24" s="55">
        <v>12568</v>
      </c>
      <c r="E24" s="53">
        <v>106</v>
      </c>
      <c r="F24" s="53">
        <v>67</v>
      </c>
      <c r="G24" s="55">
        <v>0.63207547169811296</v>
      </c>
      <c r="H24" s="55">
        <v>118.56603773584899</v>
      </c>
      <c r="I24" s="55">
        <v>1420</v>
      </c>
      <c r="J24" s="53" t="s">
        <v>3952</v>
      </c>
      <c r="K24" s="53" t="s">
        <v>3953</v>
      </c>
      <c r="L24" s="53" t="s">
        <v>3907</v>
      </c>
    </row>
    <row r="25" spans="1:12" ht="15" customHeight="1" x14ac:dyDescent="0.35">
      <c r="A25" s="53" t="s">
        <v>982</v>
      </c>
      <c r="B25" s="53" t="s">
        <v>909</v>
      </c>
      <c r="C25" s="55">
        <v>208.73333333333301</v>
      </c>
      <c r="D25" s="55">
        <v>12524</v>
      </c>
      <c r="E25" s="53">
        <v>167</v>
      </c>
      <c r="F25" s="53">
        <v>108</v>
      </c>
      <c r="G25" s="55">
        <v>0.64670658682634696</v>
      </c>
      <c r="H25" s="55">
        <v>74.994011976047901</v>
      </c>
      <c r="I25" s="55">
        <v>1680</v>
      </c>
      <c r="J25" s="53" t="s">
        <v>3954</v>
      </c>
      <c r="K25" s="53" t="s">
        <v>3955</v>
      </c>
      <c r="L25" s="53" t="s">
        <v>3907</v>
      </c>
    </row>
    <row r="26" spans="1:12" ht="15" customHeight="1" x14ac:dyDescent="0.35">
      <c r="A26" s="53" t="s">
        <v>985</v>
      </c>
      <c r="B26" s="53" t="s">
        <v>925</v>
      </c>
      <c r="C26" s="55">
        <v>208.45</v>
      </c>
      <c r="D26" s="55">
        <v>12507</v>
      </c>
      <c r="E26" s="53">
        <v>170</v>
      </c>
      <c r="F26" s="53">
        <v>99</v>
      </c>
      <c r="G26" s="55">
        <v>0.58235294117647096</v>
      </c>
      <c r="H26" s="55">
        <v>73.570588235294096</v>
      </c>
      <c r="I26" s="55">
        <v>1300</v>
      </c>
      <c r="J26" s="53" t="s">
        <v>3956</v>
      </c>
      <c r="K26" s="53" t="s">
        <v>3957</v>
      </c>
      <c r="L26" s="53" t="s">
        <v>3907</v>
      </c>
    </row>
    <row r="27" spans="1:12" ht="15" customHeight="1" x14ac:dyDescent="0.35">
      <c r="A27" s="53" t="s">
        <v>988</v>
      </c>
      <c r="B27" s="53" t="s">
        <v>989</v>
      </c>
      <c r="C27" s="55">
        <v>208</v>
      </c>
      <c r="D27" s="55">
        <v>12480</v>
      </c>
      <c r="E27" s="53">
        <v>138</v>
      </c>
      <c r="F27" s="53">
        <v>72</v>
      </c>
      <c r="G27" s="55">
        <v>0.52173913043478304</v>
      </c>
      <c r="H27" s="55">
        <v>90.434782608695699</v>
      </c>
      <c r="I27" s="55">
        <v>1080</v>
      </c>
      <c r="J27" s="53" t="s">
        <v>3958</v>
      </c>
      <c r="K27" s="53" t="s">
        <v>3959</v>
      </c>
      <c r="L27" s="53" t="s">
        <v>3907</v>
      </c>
    </row>
    <row r="28" spans="1:12" ht="15" customHeight="1" x14ac:dyDescent="0.35">
      <c r="A28" s="53" t="s">
        <v>992</v>
      </c>
      <c r="B28" s="53" t="s">
        <v>909</v>
      </c>
      <c r="C28" s="55">
        <v>203.05</v>
      </c>
      <c r="D28" s="55">
        <v>12183</v>
      </c>
      <c r="E28" s="53">
        <v>167</v>
      </c>
      <c r="F28" s="53">
        <v>76</v>
      </c>
      <c r="G28" s="55">
        <v>0.45508982035928103</v>
      </c>
      <c r="H28" s="55">
        <v>72.952095808383206</v>
      </c>
      <c r="I28" s="55">
        <v>3000</v>
      </c>
      <c r="J28" s="53" t="s">
        <v>3960</v>
      </c>
      <c r="K28" s="53" t="s">
        <v>3961</v>
      </c>
      <c r="L28" s="53" t="s">
        <v>3907</v>
      </c>
    </row>
    <row r="29" spans="1:12" ht="15" customHeight="1" x14ac:dyDescent="0.35">
      <c r="A29" s="53" t="s">
        <v>995</v>
      </c>
      <c r="B29" s="53" t="s">
        <v>996</v>
      </c>
      <c r="C29" s="55">
        <v>200.2</v>
      </c>
      <c r="D29" s="55">
        <v>12012</v>
      </c>
      <c r="E29" s="53">
        <v>82</v>
      </c>
      <c r="F29" s="53">
        <v>46</v>
      </c>
      <c r="G29" s="55">
        <v>0.56097560975609795</v>
      </c>
      <c r="H29" s="55">
        <v>146.48780487804899</v>
      </c>
      <c r="I29" s="55">
        <v>1350</v>
      </c>
      <c r="J29" s="53" t="s">
        <v>3962</v>
      </c>
      <c r="K29" s="53" t="s">
        <v>3963</v>
      </c>
      <c r="L29" s="53" t="s">
        <v>3907</v>
      </c>
    </row>
    <row r="30" spans="1:12" ht="15" customHeight="1" x14ac:dyDescent="0.35">
      <c r="A30" s="53" t="s">
        <v>999</v>
      </c>
      <c r="B30" s="53" t="s">
        <v>946</v>
      </c>
      <c r="C30" s="55">
        <v>200.05</v>
      </c>
      <c r="D30" s="55">
        <v>12003</v>
      </c>
      <c r="E30" s="53">
        <v>51</v>
      </c>
      <c r="F30" s="53">
        <v>29</v>
      </c>
      <c r="G30" s="55">
        <v>0.56862745098039202</v>
      </c>
      <c r="H30" s="55">
        <v>235.35294117647101</v>
      </c>
      <c r="I30" s="55">
        <v>9780</v>
      </c>
      <c r="J30" s="53" t="s">
        <v>3964</v>
      </c>
      <c r="K30" s="53" t="s">
        <v>3965</v>
      </c>
      <c r="L30" s="53" t="s">
        <v>3907</v>
      </c>
    </row>
    <row r="31" spans="1:12" ht="15" customHeight="1" x14ac:dyDescent="0.35">
      <c r="A31" s="53" t="s">
        <v>1002</v>
      </c>
      <c r="B31" s="53" t="s">
        <v>989</v>
      </c>
      <c r="C31" s="55">
        <v>197.666666666667</v>
      </c>
      <c r="D31" s="55">
        <v>11860</v>
      </c>
      <c r="E31" s="53">
        <v>100</v>
      </c>
      <c r="F31" s="53">
        <v>49</v>
      </c>
      <c r="G31" s="55">
        <v>0.49</v>
      </c>
      <c r="H31" s="55">
        <v>118.6</v>
      </c>
      <c r="I31" s="55">
        <v>1980</v>
      </c>
      <c r="J31" s="53" t="s">
        <v>3966</v>
      </c>
      <c r="K31" s="53" t="s">
        <v>3967</v>
      </c>
      <c r="L31" s="53" t="s">
        <v>3907</v>
      </c>
    </row>
    <row r="32" spans="1:12" ht="15" customHeight="1" x14ac:dyDescent="0.35">
      <c r="A32" s="53" t="s">
        <v>1005</v>
      </c>
      <c r="B32" s="53" t="s">
        <v>921</v>
      </c>
      <c r="C32" s="55">
        <v>196.53333333333299</v>
      </c>
      <c r="D32" s="55">
        <v>11792</v>
      </c>
      <c r="E32" s="53">
        <v>149</v>
      </c>
      <c r="F32" s="53">
        <v>59</v>
      </c>
      <c r="G32" s="55">
        <v>0.39597315436241598</v>
      </c>
      <c r="H32" s="55">
        <v>79.140939597315395</v>
      </c>
      <c r="I32" s="55">
        <v>1632</v>
      </c>
      <c r="J32" s="53" t="s">
        <v>3968</v>
      </c>
      <c r="K32" s="53" t="s">
        <v>3969</v>
      </c>
      <c r="L32" s="53" t="s">
        <v>3907</v>
      </c>
    </row>
    <row r="33" spans="1:12" ht="15" customHeight="1" x14ac:dyDescent="0.35">
      <c r="A33" s="53" t="s">
        <v>1008</v>
      </c>
      <c r="B33" s="53" t="s">
        <v>1009</v>
      </c>
      <c r="C33" s="55">
        <v>192.1</v>
      </c>
      <c r="D33" s="55">
        <v>11526</v>
      </c>
      <c r="E33" s="53">
        <v>125</v>
      </c>
      <c r="F33" s="53">
        <v>53</v>
      </c>
      <c r="G33" s="55">
        <v>0.42399999999999999</v>
      </c>
      <c r="H33" s="55">
        <v>92.207999999999998</v>
      </c>
      <c r="I33" s="55">
        <v>5520</v>
      </c>
      <c r="J33" s="53" t="s">
        <v>3970</v>
      </c>
      <c r="K33" s="53" t="s">
        <v>3971</v>
      </c>
      <c r="L33" s="53" t="s">
        <v>3907</v>
      </c>
    </row>
    <row r="34" spans="1:12" ht="15" customHeight="1" x14ac:dyDescent="0.35">
      <c r="A34" s="53" t="s">
        <v>1012</v>
      </c>
      <c r="B34" s="53" t="s">
        <v>921</v>
      </c>
      <c r="C34" s="55">
        <v>191.333333333333</v>
      </c>
      <c r="D34" s="55">
        <v>11480</v>
      </c>
      <c r="E34" s="53">
        <v>196</v>
      </c>
      <c r="F34" s="53">
        <v>79</v>
      </c>
      <c r="G34" s="55">
        <v>0.40306122448979598</v>
      </c>
      <c r="H34" s="55">
        <v>58.571428571428598</v>
      </c>
      <c r="I34" s="55">
        <v>1400</v>
      </c>
      <c r="J34" s="53" t="s">
        <v>3972</v>
      </c>
      <c r="K34" s="53" t="s">
        <v>3973</v>
      </c>
      <c r="L34" s="53" t="s">
        <v>3907</v>
      </c>
    </row>
    <row r="35" spans="1:12" ht="15" customHeight="1" x14ac:dyDescent="0.35">
      <c r="A35" s="53" t="s">
        <v>1015</v>
      </c>
      <c r="B35" s="53" t="s">
        <v>996</v>
      </c>
      <c r="C35" s="55">
        <v>179.683333333333</v>
      </c>
      <c r="D35" s="55">
        <v>10781</v>
      </c>
      <c r="E35" s="53">
        <v>92</v>
      </c>
      <c r="F35" s="53">
        <v>50</v>
      </c>
      <c r="G35" s="55">
        <v>0.54347826086956497</v>
      </c>
      <c r="H35" s="55">
        <v>117.184782608696</v>
      </c>
      <c r="I35" s="55">
        <v>1380</v>
      </c>
      <c r="J35" s="53" t="s">
        <v>3974</v>
      </c>
      <c r="K35" s="53" t="s">
        <v>3975</v>
      </c>
      <c r="L35" s="53" t="s">
        <v>3907</v>
      </c>
    </row>
    <row r="36" spans="1:12" ht="15" customHeight="1" x14ac:dyDescent="0.35">
      <c r="A36" s="53" t="s">
        <v>1018</v>
      </c>
      <c r="B36" s="53" t="s">
        <v>963</v>
      </c>
      <c r="C36" s="55">
        <v>179.55</v>
      </c>
      <c r="D36" s="55">
        <v>10773</v>
      </c>
      <c r="E36" s="53">
        <v>150</v>
      </c>
      <c r="F36" s="53">
        <v>19</v>
      </c>
      <c r="G36" s="55">
        <v>0.12666666666666701</v>
      </c>
      <c r="H36" s="55">
        <v>71.819999999999993</v>
      </c>
      <c r="I36" s="55">
        <v>3547</v>
      </c>
      <c r="J36" s="53" t="s">
        <v>3976</v>
      </c>
      <c r="K36" s="53" t="s">
        <v>3977</v>
      </c>
      <c r="L36" s="53" t="s">
        <v>3907</v>
      </c>
    </row>
    <row r="37" spans="1:12" ht="15" customHeight="1" x14ac:dyDescent="0.35">
      <c r="A37" s="53" t="s">
        <v>1021</v>
      </c>
      <c r="B37" s="53" t="s">
        <v>925</v>
      </c>
      <c r="C37" s="55">
        <v>178.083333333333</v>
      </c>
      <c r="D37" s="55">
        <v>10685</v>
      </c>
      <c r="E37" s="53">
        <v>136</v>
      </c>
      <c r="F37" s="53">
        <v>76</v>
      </c>
      <c r="G37" s="55">
        <v>0.55882352941176505</v>
      </c>
      <c r="H37" s="55">
        <v>78.566176470588204</v>
      </c>
      <c r="I37" s="55">
        <v>1000</v>
      </c>
      <c r="J37" s="53" t="s">
        <v>3978</v>
      </c>
      <c r="K37" s="53" t="s">
        <v>3979</v>
      </c>
      <c r="L37" s="53" t="s">
        <v>3907</v>
      </c>
    </row>
    <row r="38" spans="1:12" ht="15" customHeight="1" x14ac:dyDescent="0.35">
      <c r="A38" s="53" t="s">
        <v>1024</v>
      </c>
      <c r="B38" s="53" t="s">
        <v>925</v>
      </c>
      <c r="C38" s="55">
        <v>176.666666666667</v>
      </c>
      <c r="D38" s="55">
        <v>10600</v>
      </c>
      <c r="E38" s="53">
        <v>74</v>
      </c>
      <c r="F38" s="53">
        <v>45</v>
      </c>
      <c r="G38" s="55">
        <v>0.608108108108108</v>
      </c>
      <c r="H38" s="55">
        <v>143.243243243243</v>
      </c>
      <c r="I38" s="55">
        <v>1380</v>
      </c>
      <c r="J38" s="53" t="s">
        <v>3980</v>
      </c>
      <c r="K38" s="53" t="s">
        <v>3981</v>
      </c>
      <c r="L38" s="53" t="s">
        <v>3907</v>
      </c>
    </row>
    <row r="39" spans="1:12" ht="15" customHeight="1" x14ac:dyDescent="0.35">
      <c r="A39" s="53" t="s">
        <v>1028</v>
      </c>
      <c r="B39" s="53" t="s">
        <v>989</v>
      </c>
      <c r="C39" s="55">
        <v>175.4</v>
      </c>
      <c r="D39" s="55">
        <v>10524</v>
      </c>
      <c r="E39" s="53">
        <v>47</v>
      </c>
      <c r="F39" s="53">
        <v>30</v>
      </c>
      <c r="G39" s="55">
        <v>0.63829787234042601</v>
      </c>
      <c r="H39" s="55">
        <v>223.91489361702099</v>
      </c>
      <c r="I39" s="55">
        <v>6120</v>
      </c>
      <c r="J39" s="53" t="s">
        <v>3982</v>
      </c>
      <c r="K39" s="53" t="s">
        <v>3983</v>
      </c>
      <c r="L39" s="53" t="s">
        <v>3907</v>
      </c>
    </row>
    <row r="40" spans="1:12" ht="15" customHeight="1" x14ac:dyDescent="0.35">
      <c r="A40" s="53" t="s">
        <v>1031</v>
      </c>
      <c r="B40" s="53" t="s">
        <v>996</v>
      </c>
      <c r="C40" s="55">
        <v>175.25</v>
      </c>
      <c r="D40" s="55">
        <v>10515</v>
      </c>
      <c r="E40" s="53">
        <v>141</v>
      </c>
      <c r="F40" s="53">
        <v>81</v>
      </c>
      <c r="G40" s="55">
        <v>0.57446808510638303</v>
      </c>
      <c r="H40" s="55">
        <v>74.574468085106403</v>
      </c>
      <c r="I40" s="55">
        <v>825</v>
      </c>
      <c r="J40" s="53" t="s">
        <v>3984</v>
      </c>
      <c r="K40" s="53" t="s">
        <v>3985</v>
      </c>
      <c r="L40" s="53" t="s">
        <v>3924</v>
      </c>
    </row>
    <row r="41" spans="1:12" ht="15" customHeight="1" x14ac:dyDescent="0.35">
      <c r="A41" s="53" t="s">
        <v>1034</v>
      </c>
      <c r="B41" s="53" t="s">
        <v>905</v>
      </c>
      <c r="C41" s="55">
        <v>174.95</v>
      </c>
      <c r="D41" s="55">
        <v>10497</v>
      </c>
      <c r="E41" s="53">
        <v>131</v>
      </c>
      <c r="F41" s="53">
        <v>56</v>
      </c>
      <c r="G41" s="55">
        <v>0.42748091603053401</v>
      </c>
      <c r="H41" s="55">
        <v>80.129770992366403</v>
      </c>
      <c r="I41" s="55">
        <v>1363</v>
      </c>
      <c r="J41" s="53" t="s">
        <v>3986</v>
      </c>
      <c r="K41" s="53" t="s">
        <v>3987</v>
      </c>
      <c r="L41" s="53" t="s">
        <v>3907</v>
      </c>
    </row>
    <row r="42" spans="1:12" ht="15" customHeight="1" x14ac:dyDescent="0.35">
      <c r="A42" s="53" t="s">
        <v>1037</v>
      </c>
      <c r="B42" s="53" t="s">
        <v>905</v>
      </c>
      <c r="C42" s="55">
        <v>174.916666666667</v>
      </c>
      <c r="D42" s="55">
        <v>10495</v>
      </c>
      <c r="E42" s="53">
        <v>90</v>
      </c>
      <c r="F42" s="53">
        <v>39</v>
      </c>
      <c r="G42" s="55">
        <v>0.43333333333333302</v>
      </c>
      <c r="H42" s="55">
        <v>116.611111111111</v>
      </c>
      <c r="I42" s="55">
        <v>2800</v>
      </c>
      <c r="J42" s="53" t="s">
        <v>3988</v>
      </c>
      <c r="K42" s="53" t="s">
        <v>3989</v>
      </c>
      <c r="L42" s="53" t="s">
        <v>3907</v>
      </c>
    </row>
    <row r="43" spans="1:12" ht="15" customHeight="1" x14ac:dyDescent="0.35">
      <c r="A43" s="53" t="s">
        <v>1040</v>
      </c>
      <c r="B43" s="53" t="s">
        <v>925</v>
      </c>
      <c r="C43" s="55">
        <v>173.566666666667</v>
      </c>
      <c r="D43" s="55">
        <v>10414</v>
      </c>
      <c r="E43" s="53">
        <v>92</v>
      </c>
      <c r="F43" s="53">
        <v>39</v>
      </c>
      <c r="G43" s="55">
        <v>0.42391304347826098</v>
      </c>
      <c r="H43" s="55">
        <v>113.195652173913</v>
      </c>
      <c r="I43" s="55">
        <v>2200</v>
      </c>
      <c r="J43" s="53" t="s">
        <v>3990</v>
      </c>
      <c r="K43" s="53" t="s">
        <v>3991</v>
      </c>
      <c r="L43" s="53" t="s">
        <v>3907</v>
      </c>
    </row>
    <row r="44" spans="1:12" ht="15" customHeight="1" x14ac:dyDescent="0.35">
      <c r="A44" s="53" t="s">
        <v>1043</v>
      </c>
      <c r="B44" s="53" t="s">
        <v>925</v>
      </c>
      <c r="C44" s="55">
        <v>172.6</v>
      </c>
      <c r="D44" s="55">
        <v>10356</v>
      </c>
      <c r="E44" s="53">
        <v>132</v>
      </c>
      <c r="F44" s="53">
        <v>58</v>
      </c>
      <c r="G44" s="55">
        <v>0.439393939393939</v>
      </c>
      <c r="H44" s="55">
        <v>78.454545454545496</v>
      </c>
      <c r="I44" s="55">
        <v>980</v>
      </c>
      <c r="J44" s="53" t="s">
        <v>3992</v>
      </c>
      <c r="K44" s="53" t="s">
        <v>3993</v>
      </c>
      <c r="L44" s="53" t="s">
        <v>3907</v>
      </c>
    </row>
    <row r="45" spans="1:12" ht="15" customHeight="1" x14ac:dyDescent="0.35">
      <c r="A45" s="53" t="s">
        <v>1046</v>
      </c>
      <c r="B45" s="53" t="s">
        <v>909</v>
      </c>
      <c r="C45" s="55">
        <v>171.95</v>
      </c>
      <c r="D45" s="55">
        <v>10317</v>
      </c>
      <c r="E45" s="53">
        <v>163</v>
      </c>
      <c r="F45" s="53">
        <v>91</v>
      </c>
      <c r="G45" s="55">
        <v>0.55828220858895705</v>
      </c>
      <c r="H45" s="55">
        <v>63.294478527607403</v>
      </c>
      <c r="I45" s="55">
        <v>1310</v>
      </c>
      <c r="J45" s="53" t="s">
        <v>3994</v>
      </c>
      <c r="K45" s="53" t="s">
        <v>3995</v>
      </c>
      <c r="L45" s="53" t="s">
        <v>3907</v>
      </c>
    </row>
    <row r="46" spans="1:12" ht="15" customHeight="1" x14ac:dyDescent="0.35">
      <c r="A46" s="53" t="s">
        <v>1049</v>
      </c>
      <c r="B46" s="53" t="s">
        <v>1050</v>
      </c>
      <c r="C46" s="55">
        <v>170.61666666666699</v>
      </c>
      <c r="D46" s="55">
        <v>10237</v>
      </c>
      <c r="E46" s="53">
        <v>78</v>
      </c>
      <c r="F46" s="53">
        <v>41</v>
      </c>
      <c r="G46" s="55">
        <v>0.52564102564102599</v>
      </c>
      <c r="H46" s="55">
        <v>131.24358974359001</v>
      </c>
      <c r="I46" s="55">
        <v>1420</v>
      </c>
      <c r="J46" s="53" t="s">
        <v>3996</v>
      </c>
      <c r="K46" s="53" t="s">
        <v>3997</v>
      </c>
      <c r="L46" s="53" t="s">
        <v>3907</v>
      </c>
    </row>
    <row r="47" spans="1:12" ht="15" customHeight="1" x14ac:dyDescent="0.35">
      <c r="A47" s="53" t="s">
        <v>1053</v>
      </c>
      <c r="B47" s="53" t="s">
        <v>1054</v>
      </c>
      <c r="C47" s="55">
        <v>169.916666666667</v>
      </c>
      <c r="D47" s="55">
        <v>10195</v>
      </c>
      <c r="E47" s="53">
        <v>96</v>
      </c>
      <c r="F47" s="53">
        <v>52</v>
      </c>
      <c r="G47" s="55">
        <v>0.54166666666666696</v>
      </c>
      <c r="H47" s="55">
        <v>106.197916666667</v>
      </c>
      <c r="I47" s="55">
        <v>985</v>
      </c>
      <c r="J47" s="53" t="s">
        <v>3998</v>
      </c>
      <c r="K47" s="53" t="s">
        <v>3999</v>
      </c>
      <c r="L47" s="53" t="s">
        <v>3907</v>
      </c>
    </row>
    <row r="48" spans="1:12" ht="15" customHeight="1" x14ac:dyDescent="0.35">
      <c r="A48" s="53" t="s">
        <v>1057</v>
      </c>
      <c r="B48" s="53" t="s">
        <v>996</v>
      </c>
      <c r="C48" s="55">
        <v>169</v>
      </c>
      <c r="D48" s="55">
        <v>10140</v>
      </c>
      <c r="E48" s="53">
        <v>124</v>
      </c>
      <c r="F48" s="53">
        <v>80</v>
      </c>
      <c r="G48" s="55">
        <v>0.64516129032258096</v>
      </c>
      <c r="H48" s="55">
        <v>81.774193548387103</v>
      </c>
      <c r="I48" s="55">
        <v>1871</v>
      </c>
      <c r="J48" s="53" t="s">
        <v>4000</v>
      </c>
      <c r="K48" s="53" t="s">
        <v>4001</v>
      </c>
      <c r="L48" s="53" t="s">
        <v>3924</v>
      </c>
    </row>
    <row r="49" spans="1:12" ht="15" customHeight="1" x14ac:dyDescent="0.35">
      <c r="A49" s="53" t="s">
        <v>1060</v>
      </c>
      <c r="B49" s="53" t="s">
        <v>913</v>
      </c>
      <c r="C49" s="55">
        <v>167.21666666666701</v>
      </c>
      <c r="D49" s="55">
        <v>10033</v>
      </c>
      <c r="E49" s="53">
        <v>108</v>
      </c>
      <c r="F49" s="53">
        <v>75</v>
      </c>
      <c r="G49" s="55">
        <v>0.69444444444444398</v>
      </c>
      <c r="H49" s="55">
        <v>92.898148148148195</v>
      </c>
      <c r="I49" s="55">
        <v>900</v>
      </c>
      <c r="J49" s="53" t="s">
        <v>4002</v>
      </c>
      <c r="K49" s="53" t="s">
        <v>4003</v>
      </c>
      <c r="L49" s="53" t="s">
        <v>3907</v>
      </c>
    </row>
    <row r="50" spans="1:12" ht="15" customHeight="1" x14ac:dyDescent="0.35">
      <c r="A50" s="53" t="s">
        <v>1063</v>
      </c>
      <c r="B50" s="53" t="s">
        <v>921</v>
      </c>
      <c r="C50" s="55">
        <v>164.316666666667</v>
      </c>
      <c r="D50" s="55">
        <v>9859</v>
      </c>
      <c r="E50" s="53">
        <v>118</v>
      </c>
      <c r="F50" s="53">
        <v>62</v>
      </c>
      <c r="G50" s="55">
        <v>0.52542372881355903</v>
      </c>
      <c r="H50" s="55">
        <v>83.5508474576271</v>
      </c>
      <c r="I50" s="55">
        <v>720</v>
      </c>
      <c r="J50" s="53" t="s">
        <v>4004</v>
      </c>
      <c r="K50" s="53" t="s">
        <v>4005</v>
      </c>
      <c r="L50" s="53" t="s">
        <v>3907</v>
      </c>
    </row>
    <row r="51" spans="1:12" ht="15" customHeight="1" x14ac:dyDescent="0.35">
      <c r="A51" s="53" t="s">
        <v>1066</v>
      </c>
      <c r="B51" s="53" t="s">
        <v>921</v>
      </c>
      <c r="C51" s="55">
        <v>162.86666666666699</v>
      </c>
      <c r="D51" s="55">
        <v>9772</v>
      </c>
      <c r="E51" s="53">
        <v>117</v>
      </c>
      <c r="F51" s="53">
        <v>72</v>
      </c>
      <c r="G51" s="55">
        <v>0.61538461538461497</v>
      </c>
      <c r="H51" s="55">
        <v>83.521367521367495</v>
      </c>
      <c r="I51" s="55">
        <v>960</v>
      </c>
      <c r="J51" s="53" t="s">
        <v>4006</v>
      </c>
      <c r="K51" s="53" t="s">
        <v>4007</v>
      </c>
      <c r="L51" s="53" t="s">
        <v>3907</v>
      </c>
    </row>
    <row r="52" spans="1:12" ht="15" customHeight="1" x14ac:dyDescent="0.35">
      <c r="A52" s="53" t="s">
        <v>1069</v>
      </c>
      <c r="B52" s="53" t="s">
        <v>1070</v>
      </c>
      <c r="C52" s="55">
        <v>162.21666666666701</v>
      </c>
      <c r="D52" s="55">
        <v>9733</v>
      </c>
      <c r="E52" s="53">
        <v>203</v>
      </c>
      <c r="F52" s="53">
        <v>90</v>
      </c>
      <c r="G52" s="55">
        <v>0.44334975369458102</v>
      </c>
      <c r="H52" s="55">
        <v>47.945812807881801</v>
      </c>
      <c r="I52" s="55">
        <v>1000</v>
      </c>
      <c r="J52" s="53" t="s">
        <v>4008</v>
      </c>
      <c r="K52" s="53" t="s">
        <v>4009</v>
      </c>
      <c r="L52" s="53" t="s">
        <v>3907</v>
      </c>
    </row>
    <row r="53" spans="1:12" ht="15" customHeight="1" x14ac:dyDescent="0.35">
      <c r="A53" s="53" t="s">
        <v>1073</v>
      </c>
      <c r="B53" s="53" t="s">
        <v>1070</v>
      </c>
      <c r="C53" s="55">
        <v>160.85</v>
      </c>
      <c r="D53" s="55">
        <v>9651</v>
      </c>
      <c r="E53" s="53">
        <v>200</v>
      </c>
      <c r="F53" s="53">
        <v>83</v>
      </c>
      <c r="G53" s="55">
        <v>0.41499999999999998</v>
      </c>
      <c r="H53" s="55">
        <v>48.255000000000003</v>
      </c>
      <c r="I53" s="55">
        <v>575</v>
      </c>
      <c r="J53" s="53" t="s">
        <v>4010</v>
      </c>
      <c r="K53" s="53" t="s">
        <v>4011</v>
      </c>
      <c r="L53" s="53" t="s">
        <v>3907</v>
      </c>
    </row>
    <row r="54" spans="1:12" ht="15" customHeight="1" x14ac:dyDescent="0.35">
      <c r="A54" s="53" t="s">
        <v>1076</v>
      </c>
      <c r="B54" s="53" t="s">
        <v>1077</v>
      </c>
      <c r="C54" s="55">
        <v>159.69999999999999</v>
      </c>
      <c r="D54" s="55">
        <v>9582</v>
      </c>
      <c r="E54" s="53">
        <v>203</v>
      </c>
      <c r="F54" s="53">
        <v>25</v>
      </c>
      <c r="G54" s="55">
        <v>0.123152709359606</v>
      </c>
      <c r="H54" s="55">
        <v>47.201970443349801</v>
      </c>
      <c r="I54" s="55">
        <v>3200</v>
      </c>
      <c r="J54" s="53" t="s">
        <v>4012</v>
      </c>
      <c r="K54" s="53" t="s">
        <v>4013</v>
      </c>
      <c r="L54" s="53" t="s">
        <v>3941</v>
      </c>
    </row>
    <row r="55" spans="1:12" ht="15" customHeight="1" x14ac:dyDescent="0.35">
      <c r="A55" s="53" t="s">
        <v>1080</v>
      </c>
      <c r="B55" s="53" t="s">
        <v>905</v>
      </c>
      <c r="C55" s="55">
        <v>156.44999999999999</v>
      </c>
      <c r="D55" s="55">
        <v>9387</v>
      </c>
      <c r="E55" s="53">
        <v>146</v>
      </c>
      <c r="F55" s="53">
        <v>55</v>
      </c>
      <c r="G55" s="55">
        <v>0.37671232876712302</v>
      </c>
      <c r="H55" s="55">
        <v>64.294520547945197</v>
      </c>
      <c r="I55" s="55">
        <v>1800</v>
      </c>
      <c r="J55" s="53" t="s">
        <v>4014</v>
      </c>
      <c r="K55" s="53" t="s">
        <v>4015</v>
      </c>
      <c r="L55" s="53" t="s">
        <v>3907</v>
      </c>
    </row>
    <row r="56" spans="1:12" ht="15" customHeight="1" x14ac:dyDescent="0.35">
      <c r="A56" s="53" t="s">
        <v>1083</v>
      </c>
      <c r="B56" s="53" t="s">
        <v>1084</v>
      </c>
      <c r="C56" s="55">
        <v>156.166666666667</v>
      </c>
      <c r="D56" s="55">
        <v>9370</v>
      </c>
      <c r="E56" s="53">
        <v>113</v>
      </c>
      <c r="F56" s="53">
        <v>20</v>
      </c>
      <c r="G56" s="55">
        <v>0.17699115044247801</v>
      </c>
      <c r="H56" s="55">
        <v>82.920353982300895</v>
      </c>
      <c r="I56" s="55">
        <v>2211</v>
      </c>
      <c r="J56" s="53" t="s">
        <v>4016</v>
      </c>
      <c r="K56" s="53" t="s">
        <v>4017</v>
      </c>
      <c r="L56" s="53" t="s">
        <v>3941</v>
      </c>
    </row>
    <row r="57" spans="1:12" ht="15" customHeight="1" x14ac:dyDescent="0.35">
      <c r="A57" s="53" t="s">
        <v>1087</v>
      </c>
      <c r="B57" s="53" t="s">
        <v>989</v>
      </c>
      <c r="C57" s="55">
        <v>155.85</v>
      </c>
      <c r="D57" s="55">
        <v>9351</v>
      </c>
      <c r="E57" s="53">
        <v>104</v>
      </c>
      <c r="F57" s="53">
        <v>52</v>
      </c>
      <c r="G57" s="55">
        <v>0.5</v>
      </c>
      <c r="H57" s="55">
        <v>89.913461538461505</v>
      </c>
      <c r="I57" s="55">
        <v>3000</v>
      </c>
      <c r="J57" s="53" t="s">
        <v>4018</v>
      </c>
      <c r="K57" s="53" t="s">
        <v>4019</v>
      </c>
      <c r="L57" s="53" t="s">
        <v>3907</v>
      </c>
    </row>
    <row r="58" spans="1:12" ht="15" customHeight="1" x14ac:dyDescent="0.35">
      <c r="A58" s="53" t="s">
        <v>1090</v>
      </c>
      <c r="B58" s="53" t="s">
        <v>1091</v>
      </c>
      <c r="C58" s="55">
        <v>155.38333333333301</v>
      </c>
      <c r="D58" s="55">
        <v>9323</v>
      </c>
      <c r="E58" s="53">
        <v>55</v>
      </c>
      <c r="F58" s="53">
        <v>24</v>
      </c>
      <c r="G58" s="55">
        <v>0.43636363636363601</v>
      </c>
      <c r="H58" s="55">
        <v>169.50909090909099</v>
      </c>
      <c r="I58" s="55">
        <v>1500</v>
      </c>
      <c r="J58" s="53" t="s">
        <v>4020</v>
      </c>
      <c r="K58" s="53" t="s">
        <v>4021</v>
      </c>
      <c r="L58" s="53" t="s">
        <v>3907</v>
      </c>
    </row>
    <row r="59" spans="1:12" ht="15" customHeight="1" x14ac:dyDescent="0.35">
      <c r="A59" s="53" t="s">
        <v>1094</v>
      </c>
      <c r="B59" s="53" t="s">
        <v>921</v>
      </c>
      <c r="C59" s="55">
        <v>154.46666666666701</v>
      </c>
      <c r="D59" s="55">
        <v>9268</v>
      </c>
      <c r="E59" s="53">
        <v>107</v>
      </c>
      <c r="F59" s="53">
        <v>52</v>
      </c>
      <c r="G59" s="55">
        <v>0.48598130841121501</v>
      </c>
      <c r="H59" s="55">
        <v>86.616822429906605</v>
      </c>
      <c r="I59" s="55">
        <v>2033</v>
      </c>
      <c r="J59" s="53" t="s">
        <v>4022</v>
      </c>
      <c r="K59" s="53" t="s">
        <v>4023</v>
      </c>
      <c r="L59" s="53" t="s">
        <v>3907</v>
      </c>
    </row>
    <row r="60" spans="1:12" ht="15" customHeight="1" x14ac:dyDescent="0.35">
      <c r="A60" s="53" t="s">
        <v>1097</v>
      </c>
      <c r="B60" s="53" t="s">
        <v>1050</v>
      </c>
      <c r="C60" s="55">
        <v>149.25</v>
      </c>
      <c r="D60" s="55">
        <v>8955</v>
      </c>
      <c r="E60" s="53">
        <v>105</v>
      </c>
      <c r="F60" s="53">
        <v>54</v>
      </c>
      <c r="G60" s="55">
        <v>0.51428571428571401</v>
      </c>
      <c r="H60" s="55">
        <v>85.285714285714306</v>
      </c>
      <c r="I60" s="55">
        <v>2450</v>
      </c>
      <c r="J60" s="53" t="s">
        <v>4024</v>
      </c>
      <c r="K60" s="53" t="s">
        <v>4025</v>
      </c>
      <c r="L60" s="53" t="s">
        <v>3907</v>
      </c>
    </row>
    <row r="61" spans="1:12" ht="15" customHeight="1" x14ac:dyDescent="0.35">
      <c r="A61" s="53" t="s">
        <v>1100</v>
      </c>
      <c r="B61" s="53" t="s">
        <v>1101</v>
      </c>
      <c r="C61" s="55">
        <v>149.21666666666701</v>
      </c>
      <c r="D61" s="55">
        <v>8953</v>
      </c>
      <c r="E61" s="53">
        <v>111</v>
      </c>
      <c r="F61" s="53">
        <v>60</v>
      </c>
      <c r="G61" s="55">
        <v>0.54054054054054101</v>
      </c>
      <c r="H61" s="55">
        <v>80.657657657657694</v>
      </c>
      <c r="I61" s="55">
        <v>660</v>
      </c>
      <c r="J61" s="53" t="s">
        <v>4026</v>
      </c>
      <c r="K61" s="53" t="s">
        <v>4027</v>
      </c>
      <c r="L61" s="53" t="s">
        <v>3907</v>
      </c>
    </row>
    <row r="62" spans="1:12" ht="15" customHeight="1" x14ac:dyDescent="0.35">
      <c r="A62" s="53" t="s">
        <v>1104</v>
      </c>
      <c r="B62" s="53" t="s">
        <v>909</v>
      </c>
      <c r="C62" s="55">
        <v>148.21666666666701</v>
      </c>
      <c r="D62" s="55">
        <v>8893</v>
      </c>
      <c r="E62" s="53">
        <v>132</v>
      </c>
      <c r="F62" s="53">
        <v>85</v>
      </c>
      <c r="G62" s="55">
        <v>0.64393939393939403</v>
      </c>
      <c r="H62" s="55">
        <v>67.371212121212096</v>
      </c>
      <c r="I62" s="55">
        <v>1000</v>
      </c>
      <c r="J62" s="53" t="s">
        <v>4028</v>
      </c>
      <c r="K62" s="53" t="s">
        <v>4029</v>
      </c>
      <c r="L62" s="53" t="s">
        <v>3907</v>
      </c>
    </row>
    <row r="63" spans="1:12" ht="15" customHeight="1" x14ac:dyDescent="0.35">
      <c r="A63" s="53" t="s">
        <v>1107</v>
      </c>
      <c r="B63" s="53" t="s">
        <v>1101</v>
      </c>
      <c r="C63" s="55">
        <v>145.916666666667</v>
      </c>
      <c r="D63" s="55">
        <v>8755</v>
      </c>
      <c r="E63" s="53">
        <v>163</v>
      </c>
      <c r="F63" s="53">
        <v>60</v>
      </c>
      <c r="G63" s="55">
        <v>0.36809815950920199</v>
      </c>
      <c r="H63" s="55">
        <v>53.7116564417178</v>
      </c>
      <c r="I63" s="55">
        <v>1000</v>
      </c>
      <c r="J63" s="53" t="s">
        <v>4030</v>
      </c>
      <c r="K63" s="53" t="s">
        <v>4031</v>
      </c>
      <c r="L63" s="53" t="s">
        <v>3907</v>
      </c>
    </row>
    <row r="64" spans="1:12" ht="15" customHeight="1" x14ac:dyDescent="0.35">
      <c r="A64" s="53" t="s">
        <v>1110</v>
      </c>
      <c r="B64" s="53" t="s">
        <v>1111</v>
      </c>
      <c r="C64" s="55">
        <v>144.166666666667</v>
      </c>
      <c r="D64" s="55">
        <v>8650</v>
      </c>
      <c r="E64" s="53">
        <v>91</v>
      </c>
      <c r="F64" s="53">
        <v>41</v>
      </c>
      <c r="G64" s="55">
        <v>0.450549450549451</v>
      </c>
      <c r="H64" s="55">
        <v>95.054945054945094</v>
      </c>
      <c r="I64" s="55">
        <v>1850</v>
      </c>
      <c r="J64" s="53" t="s">
        <v>4032</v>
      </c>
      <c r="K64" s="53" t="s">
        <v>4033</v>
      </c>
      <c r="L64" s="53" t="s">
        <v>3907</v>
      </c>
    </row>
    <row r="65" spans="1:12" ht="15" customHeight="1" x14ac:dyDescent="0.35">
      <c r="A65" s="53" t="s">
        <v>1114</v>
      </c>
      <c r="B65" s="53" t="s">
        <v>925</v>
      </c>
      <c r="C65" s="55">
        <v>143.583333333333</v>
      </c>
      <c r="D65" s="55">
        <v>8615</v>
      </c>
      <c r="E65" s="53">
        <v>80</v>
      </c>
      <c r="F65" s="53">
        <v>37</v>
      </c>
      <c r="G65" s="55">
        <v>0.46250000000000002</v>
      </c>
      <c r="H65" s="55">
        <v>107.6875</v>
      </c>
      <c r="I65" s="55">
        <v>970</v>
      </c>
      <c r="J65" s="53" t="s">
        <v>4034</v>
      </c>
      <c r="K65" s="53" t="s">
        <v>4035</v>
      </c>
      <c r="L65" s="53" t="s">
        <v>3907</v>
      </c>
    </row>
    <row r="66" spans="1:12" ht="15" customHeight="1" x14ac:dyDescent="0.35">
      <c r="A66" s="53" t="s">
        <v>1117</v>
      </c>
      <c r="B66" s="53" t="s">
        <v>1118</v>
      </c>
      <c r="C66" s="55">
        <v>141.683333333333</v>
      </c>
      <c r="D66" s="55">
        <v>8501</v>
      </c>
      <c r="E66" s="53">
        <v>32</v>
      </c>
      <c r="F66" s="53">
        <v>13</v>
      </c>
      <c r="G66" s="55">
        <v>0.40625</v>
      </c>
      <c r="H66" s="55">
        <v>265.65625</v>
      </c>
      <c r="I66" s="55">
        <v>3300</v>
      </c>
      <c r="J66" s="53" t="s">
        <v>4036</v>
      </c>
      <c r="K66" s="53" t="s">
        <v>4037</v>
      </c>
      <c r="L66" s="53" t="s">
        <v>3907</v>
      </c>
    </row>
    <row r="67" spans="1:12" ht="15" customHeight="1" x14ac:dyDescent="0.35">
      <c r="A67" s="53" t="s">
        <v>1121</v>
      </c>
      <c r="B67" s="53" t="s">
        <v>1122</v>
      </c>
      <c r="C67" s="55">
        <v>141.61666666666699</v>
      </c>
      <c r="D67" s="55">
        <v>8497</v>
      </c>
      <c r="E67" s="53">
        <v>101</v>
      </c>
      <c r="F67" s="53">
        <v>32</v>
      </c>
      <c r="G67" s="55">
        <v>0.316831683168317</v>
      </c>
      <c r="H67" s="55">
        <v>84.128712871287107</v>
      </c>
      <c r="I67" s="55">
        <v>3040</v>
      </c>
      <c r="J67" s="53" t="s">
        <v>4038</v>
      </c>
      <c r="K67" s="53" t="s">
        <v>4039</v>
      </c>
      <c r="L67" s="53" t="s">
        <v>3907</v>
      </c>
    </row>
    <row r="68" spans="1:12" ht="15" customHeight="1" x14ac:dyDescent="0.35">
      <c r="A68" s="53" t="s">
        <v>1125</v>
      </c>
      <c r="B68" s="53" t="s">
        <v>989</v>
      </c>
      <c r="C68" s="55">
        <v>141.083333333333</v>
      </c>
      <c r="D68" s="55">
        <v>8465</v>
      </c>
      <c r="E68" s="53">
        <v>161</v>
      </c>
      <c r="F68" s="53">
        <v>58</v>
      </c>
      <c r="G68" s="55">
        <v>0.36024844720496901</v>
      </c>
      <c r="H68" s="55">
        <v>52.577639751552802</v>
      </c>
      <c r="I68" s="55">
        <v>900</v>
      </c>
      <c r="J68" s="53" t="s">
        <v>4040</v>
      </c>
      <c r="K68" s="53" t="s">
        <v>4041</v>
      </c>
      <c r="L68" s="53" t="s">
        <v>3907</v>
      </c>
    </row>
    <row r="69" spans="1:12" ht="15" customHeight="1" x14ac:dyDescent="0.35">
      <c r="A69" s="53" t="s">
        <v>1128</v>
      </c>
      <c r="B69" s="53" t="s">
        <v>1129</v>
      </c>
      <c r="C69" s="55">
        <v>138.71666666666701</v>
      </c>
      <c r="D69" s="55">
        <v>8323</v>
      </c>
      <c r="E69" s="53">
        <v>125</v>
      </c>
      <c r="F69" s="53">
        <v>57</v>
      </c>
      <c r="G69" s="55">
        <v>0.45600000000000002</v>
      </c>
      <c r="H69" s="55">
        <v>66.584000000000003</v>
      </c>
      <c r="I69" s="55">
        <v>840</v>
      </c>
      <c r="J69" s="53" t="s">
        <v>4042</v>
      </c>
      <c r="K69" s="53" t="s">
        <v>4043</v>
      </c>
      <c r="L69" s="53" t="s">
        <v>3907</v>
      </c>
    </row>
    <row r="70" spans="1:12" ht="15" customHeight="1" x14ac:dyDescent="0.35">
      <c r="A70" s="53" t="s">
        <v>1132</v>
      </c>
      <c r="B70" s="53" t="s">
        <v>1111</v>
      </c>
      <c r="C70" s="55">
        <v>136.35</v>
      </c>
      <c r="D70" s="55">
        <v>8181</v>
      </c>
      <c r="E70" s="53">
        <v>131</v>
      </c>
      <c r="F70" s="53">
        <v>57</v>
      </c>
      <c r="G70" s="55">
        <v>0.43511450381679401</v>
      </c>
      <c r="H70" s="55">
        <v>62.450381679389302</v>
      </c>
      <c r="I70" s="55">
        <v>600</v>
      </c>
      <c r="J70" s="53" t="s">
        <v>4044</v>
      </c>
      <c r="K70" s="53" t="s">
        <v>4045</v>
      </c>
      <c r="L70" s="53" t="s">
        <v>3907</v>
      </c>
    </row>
    <row r="71" spans="1:12" ht="15" customHeight="1" x14ac:dyDescent="0.35">
      <c r="A71" s="53" t="s">
        <v>1135</v>
      </c>
      <c r="B71" s="53" t="s">
        <v>1136</v>
      </c>
      <c r="C71" s="55">
        <v>135.51666666666699</v>
      </c>
      <c r="D71" s="55">
        <v>8131</v>
      </c>
      <c r="E71" s="53">
        <v>121</v>
      </c>
      <c r="F71" s="53">
        <v>70</v>
      </c>
      <c r="G71" s="55">
        <v>0.57851239669421495</v>
      </c>
      <c r="H71" s="55">
        <v>67.198347107437996</v>
      </c>
      <c r="I71" s="55">
        <v>570</v>
      </c>
      <c r="J71" s="53" t="s">
        <v>4046</v>
      </c>
      <c r="K71" s="53" t="s">
        <v>4047</v>
      </c>
      <c r="L71" s="53" t="s">
        <v>3907</v>
      </c>
    </row>
    <row r="72" spans="1:12" ht="15" customHeight="1" x14ac:dyDescent="0.35">
      <c r="A72" s="53" t="s">
        <v>1139</v>
      </c>
      <c r="B72" s="53" t="s">
        <v>905</v>
      </c>
      <c r="C72" s="55">
        <v>135.03333333333299</v>
      </c>
      <c r="D72" s="55">
        <v>8102</v>
      </c>
      <c r="E72" s="53">
        <v>122</v>
      </c>
      <c r="F72" s="53">
        <v>47</v>
      </c>
      <c r="G72" s="55">
        <v>0.38524590163934402</v>
      </c>
      <c r="H72" s="55">
        <v>66.409836065573799</v>
      </c>
      <c r="I72" s="55">
        <v>1000</v>
      </c>
      <c r="J72" s="53" t="s">
        <v>4048</v>
      </c>
      <c r="K72" s="53" t="s">
        <v>4049</v>
      </c>
      <c r="L72" s="53" t="s">
        <v>3907</v>
      </c>
    </row>
    <row r="73" spans="1:12" ht="15" customHeight="1" x14ac:dyDescent="0.35">
      <c r="A73" s="53" t="s">
        <v>1142</v>
      </c>
      <c r="B73" s="53" t="s">
        <v>1143</v>
      </c>
      <c r="C73" s="55">
        <v>134.433333333333</v>
      </c>
      <c r="D73" s="55">
        <v>8066</v>
      </c>
      <c r="E73" s="53">
        <v>18</v>
      </c>
      <c r="F73" s="53">
        <v>4</v>
      </c>
      <c r="G73" s="55">
        <v>0.22222222222222199</v>
      </c>
      <c r="H73" s="55">
        <v>448.11111111111097</v>
      </c>
      <c r="I73" s="55">
        <v>7920</v>
      </c>
      <c r="J73" s="53" t="s">
        <v>4050</v>
      </c>
      <c r="K73" s="53" t="s">
        <v>4051</v>
      </c>
      <c r="L73" s="53" t="s">
        <v>4052</v>
      </c>
    </row>
    <row r="74" spans="1:12" ht="15" customHeight="1" x14ac:dyDescent="0.35">
      <c r="A74" s="53" t="s">
        <v>1146</v>
      </c>
      <c r="B74" s="53" t="s">
        <v>1009</v>
      </c>
      <c r="C74" s="55">
        <v>133.5</v>
      </c>
      <c r="D74" s="55">
        <v>8010</v>
      </c>
      <c r="E74" s="53">
        <v>150</v>
      </c>
      <c r="F74" s="53">
        <v>58</v>
      </c>
      <c r="G74" s="55">
        <v>0.38666666666666699</v>
      </c>
      <c r="H74" s="55">
        <v>53.4</v>
      </c>
      <c r="I74" s="55">
        <v>1920</v>
      </c>
      <c r="J74" s="53" t="s">
        <v>4053</v>
      </c>
      <c r="K74" s="53" t="s">
        <v>4054</v>
      </c>
      <c r="L74" s="53" t="s">
        <v>3907</v>
      </c>
    </row>
    <row r="75" spans="1:12" ht="15" customHeight="1" x14ac:dyDescent="0.35">
      <c r="A75" s="53" t="s">
        <v>1149</v>
      </c>
      <c r="B75" s="53" t="s">
        <v>1150</v>
      </c>
      <c r="C75" s="55">
        <v>133.30000000000001</v>
      </c>
      <c r="D75" s="55">
        <v>7998</v>
      </c>
      <c r="E75" s="53">
        <v>97</v>
      </c>
      <c r="F75" s="53">
        <v>46</v>
      </c>
      <c r="G75" s="55">
        <v>0.47422680412371099</v>
      </c>
      <c r="H75" s="55">
        <v>82.453608247422693</v>
      </c>
      <c r="I75" s="55">
        <v>1000</v>
      </c>
      <c r="J75" s="53" t="s">
        <v>4055</v>
      </c>
      <c r="K75" s="53" t="s">
        <v>4056</v>
      </c>
      <c r="L75" s="53" t="s">
        <v>3907</v>
      </c>
    </row>
    <row r="76" spans="1:12" ht="15" customHeight="1" x14ac:dyDescent="0.35">
      <c r="A76" s="53" t="s">
        <v>1153</v>
      </c>
      <c r="B76" s="53" t="s">
        <v>1084</v>
      </c>
      <c r="C76" s="55">
        <v>132.76666666666699</v>
      </c>
      <c r="D76" s="55">
        <v>7966</v>
      </c>
      <c r="E76" s="53">
        <v>73</v>
      </c>
      <c r="F76" s="53">
        <v>16</v>
      </c>
      <c r="G76" s="55">
        <v>0.219178082191781</v>
      </c>
      <c r="H76" s="55">
        <v>109.123287671233</v>
      </c>
      <c r="I76" s="55">
        <v>4597</v>
      </c>
      <c r="J76" s="53" t="s">
        <v>4057</v>
      </c>
      <c r="K76" s="53" t="s">
        <v>4058</v>
      </c>
      <c r="L76" s="53" t="s">
        <v>3941</v>
      </c>
    </row>
    <row r="77" spans="1:12" ht="15" customHeight="1" x14ac:dyDescent="0.35">
      <c r="A77" s="53" t="s">
        <v>1156</v>
      </c>
      <c r="B77" s="53" t="s">
        <v>1157</v>
      </c>
      <c r="C77" s="55">
        <v>132.75</v>
      </c>
      <c r="D77" s="55">
        <v>7965</v>
      </c>
      <c r="E77" s="53">
        <v>85</v>
      </c>
      <c r="F77" s="53">
        <v>34</v>
      </c>
      <c r="G77" s="55">
        <v>0.4</v>
      </c>
      <c r="H77" s="55">
        <v>93.705882352941202</v>
      </c>
      <c r="I77" s="55">
        <v>3150</v>
      </c>
      <c r="J77" s="53" t="s">
        <v>4059</v>
      </c>
      <c r="K77" s="53" t="s">
        <v>4060</v>
      </c>
      <c r="L77" s="53" t="s">
        <v>3907</v>
      </c>
    </row>
    <row r="78" spans="1:12" ht="15" customHeight="1" x14ac:dyDescent="0.35">
      <c r="A78" s="53" t="s">
        <v>1160</v>
      </c>
      <c r="B78" s="53" t="s">
        <v>1009</v>
      </c>
      <c r="C78" s="55">
        <v>132.433333333333</v>
      </c>
      <c r="D78" s="55">
        <v>7946</v>
      </c>
      <c r="E78" s="53">
        <v>99</v>
      </c>
      <c r="F78" s="53">
        <v>36</v>
      </c>
      <c r="G78" s="55">
        <v>0.36363636363636398</v>
      </c>
      <c r="H78" s="55">
        <v>80.262626262626299</v>
      </c>
      <c r="I78" s="55">
        <v>3305</v>
      </c>
      <c r="J78" s="53" t="s">
        <v>4061</v>
      </c>
      <c r="K78" s="53" t="s">
        <v>4062</v>
      </c>
      <c r="L78" s="53" t="s">
        <v>3907</v>
      </c>
    </row>
    <row r="79" spans="1:12" ht="15" customHeight="1" x14ac:dyDescent="0.35">
      <c r="A79" s="53" t="s">
        <v>1163</v>
      </c>
      <c r="B79" s="53" t="s">
        <v>1101</v>
      </c>
      <c r="C79" s="55">
        <v>130.933333333333</v>
      </c>
      <c r="D79" s="55">
        <v>7856</v>
      </c>
      <c r="E79" s="53">
        <v>91</v>
      </c>
      <c r="F79" s="53">
        <v>47</v>
      </c>
      <c r="G79" s="55">
        <v>0.51648351648351698</v>
      </c>
      <c r="H79" s="55">
        <v>86.329670329670293</v>
      </c>
      <c r="I79" s="55">
        <v>720</v>
      </c>
      <c r="J79" s="53" t="s">
        <v>4063</v>
      </c>
      <c r="K79" s="53" t="s">
        <v>4064</v>
      </c>
      <c r="L79" s="53" t="s">
        <v>3907</v>
      </c>
    </row>
    <row r="80" spans="1:12" ht="15" customHeight="1" x14ac:dyDescent="0.35">
      <c r="A80" s="53" t="s">
        <v>1166</v>
      </c>
      <c r="B80" s="53" t="s">
        <v>1077</v>
      </c>
      <c r="C80" s="55">
        <v>130.48333333333301</v>
      </c>
      <c r="D80" s="55">
        <v>7829</v>
      </c>
      <c r="E80" s="53">
        <v>180</v>
      </c>
      <c r="F80" s="53">
        <v>23</v>
      </c>
      <c r="G80" s="55">
        <v>0.12777777777777799</v>
      </c>
      <c r="H80" s="55">
        <v>43.494444444444497</v>
      </c>
      <c r="I80" s="55">
        <v>1920</v>
      </c>
      <c r="J80" s="53" t="s">
        <v>4065</v>
      </c>
      <c r="K80" s="53" t="s">
        <v>4066</v>
      </c>
      <c r="L80" s="53" t="s">
        <v>3941</v>
      </c>
    </row>
    <row r="81" spans="1:12" ht="15" customHeight="1" x14ac:dyDescent="0.35">
      <c r="A81" s="53" t="s">
        <v>1169</v>
      </c>
      <c r="B81" s="53" t="s">
        <v>1122</v>
      </c>
      <c r="C81" s="55">
        <v>130.05000000000001</v>
      </c>
      <c r="D81" s="55">
        <v>7803</v>
      </c>
      <c r="E81" s="53">
        <v>233</v>
      </c>
      <c r="F81" s="53">
        <v>67</v>
      </c>
      <c r="G81" s="55">
        <v>0.28755364806867001</v>
      </c>
      <c r="H81" s="55">
        <v>33.489270386266099</v>
      </c>
      <c r="I81" s="55">
        <v>1200</v>
      </c>
      <c r="J81" s="53" t="s">
        <v>4067</v>
      </c>
      <c r="K81" s="53" t="s">
        <v>4068</v>
      </c>
      <c r="L81" s="53" t="s">
        <v>3907</v>
      </c>
    </row>
    <row r="82" spans="1:12" ht="15" customHeight="1" x14ac:dyDescent="0.35">
      <c r="A82" s="53" t="s">
        <v>1172</v>
      </c>
      <c r="B82" s="53" t="s">
        <v>909</v>
      </c>
      <c r="C82" s="55">
        <v>129.1</v>
      </c>
      <c r="D82" s="55">
        <v>7746</v>
      </c>
      <c r="E82" s="53">
        <v>75</v>
      </c>
      <c r="F82" s="53">
        <v>56</v>
      </c>
      <c r="G82" s="55">
        <v>0.74666666666666703</v>
      </c>
      <c r="H82" s="55">
        <v>103.28</v>
      </c>
      <c r="I82" s="55">
        <v>960</v>
      </c>
      <c r="J82" s="53" t="s">
        <v>4069</v>
      </c>
      <c r="K82" s="53" t="s">
        <v>4070</v>
      </c>
      <c r="L82" s="53" t="s">
        <v>3907</v>
      </c>
    </row>
    <row r="83" spans="1:12" ht="15" customHeight="1" x14ac:dyDescent="0.35">
      <c r="A83" s="53" t="s">
        <v>1175</v>
      </c>
      <c r="B83" s="53" t="s">
        <v>973</v>
      </c>
      <c r="C83" s="55">
        <v>128.53333333333299</v>
      </c>
      <c r="D83" s="55">
        <v>7712</v>
      </c>
      <c r="E83" s="53">
        <v>118</v>
      </c>
      <c r="F83" s="53">
        <v>58</v>
      </c>
      <c r="G83" s="55">
        <v>0.49152542372881403</v>
      </c>
      <c r="H83" s="55">
        <v>65.355932203389798</v>
      </c>
      <c r="I83" s="55">
        <v>920</v>
      </c>
      <c r="J83" s="53" t="s">
        <v>4071</v>
      </c>
      <c r="K83" s="53" t="s">
        <v>4072</v>
      </c>
      <c r="L83" s="53" t="s">
        <v>3907</v>
      </c>
    </row>
    <row r="84" spans="1:12" ht="15" customHeight="1" x14ac:dyDescent="0.35">
      <c r="A84" s="53" t="s">
        <v>1178</v>
      </c>
      <c r="B84" s="53" t="s">
        <v>921</v>
      </c>
      <c r="C84" s="55">
        <v>126.933333333333</v>
      </c>
      <c r="D84" s="55">
        <v>7616</v>
      </c>
      <c r="E84" s="53">
        <v>91</v>
      </c>
      <c r="F84" s="53">
        <v>42</v>
      </c>
      <c r="G84" s="55">
        <v>0.46153846153846201</v>
      </c>
      <c r="H84" s="55">
        <v>83.692307692307693</v>
      </c>
      <c r="I84" s="55">
        <v>899</v>
      </c>
      <c r="J84" s="53" t="s">
        <v>4073</v>
      </c>
      <c r="K84" s="53" t="s">
        <v>4074</v>
      </c>
      <c r="L84" s="53" t="s">
        <v>3907</v>
      </c>
    </row>
    <row r="85" spans="1:12" ht="15" customHeight="1" x14ac:dyDescent="0.35">
      <c r="A85" s="53" t="s">
        <v>1181</v>
      </c>
      <c r="B85" s="53" t="s">
        <v>1101</v>
      </c>
      <c r="C85" s="55">
        <v>126.383333333333</v>
      </c>
      <c r="D85" s="55">
        <v>7583</v>
      </c>
      <c r="E85" s="53">
        <v>123</v>
      </c>
      <c r="F85" s="53">
        <v>50</v>
      </c>
      <c r="G85" s="55">
        <v>0.40650406504065001</v>
      </c>
      <c r="H85" s="55">
        <v>61.650406504065003</v>
      </c>
      <c r="I85" s="55">
        <v>720</v>
      </c>
      <c r="J85" s="53" t="s">
        <v>4075</v>
      </c>
      <c r="K85" s="53" t="s">
        <v>4076</v>
      </c>
      <c r="L85" s="53" t="s">
        <v>3907</v>
      </c>
    </row>
    <row r="86" spans="1:12" ht="15" customHeight="1" x14ac:dyDescent="0.35">
      <c r="A86" s="53" t="s">
        <v>1184</v>
      </c>
      <c r="B86" s="53" t="s">
        <v>942</v>
      </c>
      <c r="C86" s="55">
        <v>125.6</v>
      </c>
      <c r="D86" s="55">
        <v>7536</v>
      </c>
      <c r="E86" s="53">
        <v>121</v>
      </c>
      <c r="F86" s="53">
        <v>60</v>
      </c>
      <c r="G86" s="55">
        <v>0.495867768595041</v>
      </c>
      <c r="H86" s="55">
        <v>62.280991735537199</v>
      </c>
      <c r="I86" s="55">
        <v>1198</v>
      </c>
      <c r="J86" s="53" t="s">
        <v>4077</v>
      </c>
      <c r="K86" s="53" t="s">
        <v>4078</v>
      </c>
      <c r="L86" s="53" t="s">
        <v>3907</v>
      </c>
    </row>
    <row r="87" spans="1:12" ht="15" customHeight="1" x14ac:dyDescent="0.35">
      <c r="A87" s="53" t="s">
        <v>1187</v>
      </c>
      <c r="B87" s="53" t="s">
        <v>921</v>
      </c>
      <c r="C87" s="55">
        <v>125.316666666667</v>
      </c>
      <c r="D87" s="55">
        <v>7519</v>
      </c>
      <c r="E87" s="53">
        <v>101</v>
      </c>
      <c r="F87" s="53">
        <v>42</v>
      </c>
      <c r="G87" s="55">
        <v>0.41584158415841599</v>
      </c>
      <c r="H87" s="55">
        <v>74.445544554455495</v>
      </c>
      <c r="I87" s="55">
        <v>1500</v>
      </c>
      <c r="J87" s="53" t="s">
        <v>4079</v>
      </c>
      <c r="K87" s="53" t="s">
        <v>4080</v>
      </c>
      <c r="L87" s="53" t="s">
        <v>3907</v>
      </c>
    </row>
    <row r="88" spans="1:12" ht="15" customHeight="1" x14ac:dyDescent="0.35">
      <c r="A88" s="53" t="s">
        <v>1190</v>
      </c>
      <c r="B88" s="53" t="s">
        <v>942</v>
      </c>
      <c r="C88" s="55">
        <v>124.9</v>
      </c>
      <c r="D88" s="55">
        <v>7494</v>
      </c>
      <c r="E88" s="53">
        <v>124</v>
      </c>
      <c r="F88" s="53">
        <v>49</v>
      </c>
      <c r="G88" s="55">
        <v>0.39516129032258102</v>
      </c>
      <c r="H88" s="55">
        <v>60.435483870967701</v>
      </c>
      <c r="I88" s="55">
        <v>1800</v>
      </c>
      <c r="J88" s="53" t="s">
        <v>4081</v>
      </c>
      <c r="K88" s="53" t="s">
        <v>4082</v>
      </c>
      <c r="L88" s="53" t="s">
        <v>3907</v>
      </c>
    </row>
    <row r="89" spans="1:12" ht="15" customHeight="1" x14ac:dyDescent="0.35">
      <c r="A89" s="53" t="s">
        <v>1193</v>
      </c>
      <c r="B89" s="53" t="s">
        <v>1009</v>
      </c>
      <c r="C89" s="55">
        <v>123.383333333333</v>
      </c>
      <c r="D89" s="55">
        <v>7403</v>
      </c>
      <c r="E89" s="53">
        <v>138</v>
      </c>
      <c r="F89" s="53">
        <v>58</v>
      </c>
      <c r="G89" s="55">
        <v>0.42028985507246402</v>
      </c>
      <c r="H89" s="55">
        <v>53.644927536231897</v>
      </c>
      <c r="I89" s="55">
        <v>1000</v>
      </c>
      <c r="J89" s="53" t="s">
        <v>4083</v>
      </c>
      <c r="K89" s="53" t="s">
        <v>4084</v>
      </c>
      <c r="L89" s="53" t="s">
        <v>3907</v>
      </c>
    </row>
    <row r="90" spans="1:12" ht="15" customHeight="1" x14ac:dyDescent="0.35">
      <c r="A90" s="53" t="s">
        <v>1196</v>
      </c>
      <c r="B90" s="53" t="s">
        <v>921</v>
      </c>
      <c r="C90" s="55">
        <v>121.76666666666701</v>
      </c>
      <c r="D90" s="55">
        <v>7306</v>
      </c>
      <c r="E90" s="53">
        <v>84</v>
      </c>
      <c r="F90" s="53">
        <v>58</v>
      </c>
      <c r="G90" s="55">
        <v>0.69047619047619102</v>
      </c>
      <c r="H90" s="55">
        <v>86.976190476190496</v>
      </c>
      <c r="I90" s="55">
        <v>858</v>
      </c>
      <c r="J90" s="53" t="s">
        <v>4085</v>
      </c>
      <c r="K90" s="53" t="s">
        <v>4086</v>
      </c>
      <c r="L90" s="53" t="s">
        <v>3907</v>
      </c>
    </row>
    <row r="91" spans="1:12" ht="15" customHeight="1" x14ac:dyDescent="0.35">
      <c r="A91" s="53" t="s">
        <v>1199</v>
      </c>
      <c r="B91" s="53" t="s">
        <v>1009</v>
      </c>
      <c r="C91" s="55">
        <v>121.666666666667</v>
      </c>
      <c r="D91" s="55">
        <v>7300</v>
      </c>
      <c r="E91" s="53">
        <v>117</v>
      </c>
      <c r="F91" s="53">
        <v>58</v>
      </c>
      <c r="G91" s="55">
        <v>0.49572649572649602</v>
      </c>
      <c r="H91" s="55">
        <v>62.393162393162399</v>
      </c>
      <c r="I91" s="55">
        <v>600</v>
      </c>
      <c r="J91" s="53" t="s">
        <v>4087</v>
      </c>
      <c r="K91" s="53" t="s">
        <v>4088</v>
      </c>
      <c r="L91" s="53" t="s">
        <v>3907</v>
      </c>
    </row>
    <row r="92" spans="1:12" ht="15" customHeight="1" x14ac:dyDescent="0.35">
      <c r="A92" s="53" t="s">
        <v>1202</v>
      </c>
      <c r="B92" s="53" t="s">
        <v>989</v>
      </c>
      <c r="C92" s="55">
        <v>121.566666666667</v>
      </c>
      <c r="D92" s="55">
        <v>7294</v>
      </c>
      <c r="E92" s="53">
        <v>77</v>
      </c>
      <c r="F92" s="53">
        <v>41</v>
      </c>
      <c r="G92" s="55">
        <v>0.53246753246753198</v>
      </c>
      <c r="H92" s="55">
        <v>94.727272727272705</v>
      </c>
      <c r="I92" s="55">
        <v>1800</v>
      </c>
      <c r="J92" s="53" t="s">
        <v>4089</v>
      </c>
      <c r="K92" s="53" t="s">
        <v>4090</v>
      </c>
      <c r="L92" s="53" t="s">
        <v>3907</v>
      </c>
    </row>
    <row r="93" spans="1:12" ht="15" customHeight="1" x14ac:dyDescent="0.35">
      <c r="A93" s="53" t="s">
        <v>1205</v>
      </c>
      <c r="B93" s="53" t="s">
        <v>996</v>
      </c>
      <c r="C93" s="55">
        <v>121.35</v>
      </c>
      <c r="D93" s="55">
        <v>7281</v>
      </c>
      <c r="E93" s="53">
        <v>87</v>
      </c>
      <c r="F93" s="53">
        <v>38</v>
      </c>
      <c r="G93" s="55">
        <v>0.43678160919540199</v>
      </c>
      <c r="H93" s="55">
        <v>83.689655172413794</v>
      </c>
      <c r="I93" s="55">
        <v>950</v>
      </c>
      <c r="J93" s="53" t="s">
        <v>4091</v>
      </c>
      <c r="K93" s="53" t="s">
        <v>4092</v>
      </c>
      <c r="L93" s="53" t="s">
        <v>3907</v>
      </c>
    </row>
    <row r="94" spans="1:12" ht="15" customHeight="1" x14ac:dyDescent="0.35">
      <c r="A94" s="53" t="s">
        <v>1208</v>
      </c>
      <c r="B94" s="53" t="s">
        <v>1077</v>
      </c>
      <c r="C94" s="55">
        <v>121.01666666666701</v>
      </c>
      <c r="D94" s="55">
        <v>7261</v>
      </c>
      <c r="E94" s="53">
        <v>174</v>
      </c>
      <c r="F94" s="53">
        <v>29</v>
      </c>
      <c r="G94" s="55">
        <v>0.16666666666666699</v>
      </c>
      <c r="H94" s="55">
        <v>41.7298850574713</v>
      </c>
      <c r="I94" s="55">
        <v>1100</v>
      </c>
      <c r="J94" s="53" t="s">
        <v>4093</v>
      </c>
      <c r="K94" s="53" t="s">
        <v>4094</v>
      </c>
      <c r="L94" s="53" t="s">
        <v>3941</v>
      </c>
    </row>
    <row r="95" spans="1:12" ht="15" customHeight="1" x14ac:dyDescent="0.35">
      <c r="A95" s="53" t="s">
        <v>1211</v>
      </c>
      <c r="B95" s="53" t="s">
        <v>1212</v>
      </c>
      <c r="C95" s="55">
        <v>119.8</v>
      </c>
      <c r="D95" s="55">
        <v>7188</v>
      </c>
      <c r="E95" s="53">
        <v>96</v>
      </c>
      <c r="F95" s="53">
        <v>37</v>
      </c>
      <c r="G95" s="55">
        <v>0.38541666666666702</v>
      </c>
      <c r="H95" s="55">
        <v>74.875</v>
      </c>
      <c r="I95" s="55">
        <v>3600</v>
      </c>
      <c r="J95" s="53" t="s">
        <v>4095</v>
      </c>
      <c r="K95" s="53" t="s">
        <v>4096</v>
      </c>
      <c r="L95" s="53" t="s">
        <v>3907</v>
      </c>
    </row>
    <row r="96" spans="1:12" ht="15" customHeight="1" x14ac:dyDescent="0.35">
      <c r="A96" s="53" t="s">
        <v>1215</v>
      </c>
      <c r="B96" s="53" t="s">
        <v>913</v>
      </c>
      <c r="C96" s="55">
        <v>119.466666666667</v>
      </c>
      <c r="D96" s="55">
        <v>7168</v>
      </c>
      <c r="E96" s="53">
        <v>68</v>
      </c>
      <c r="F96" s="53">
        <v>37</v>
      </c>
      <c r="G96" s="55">
        <v>0.54411764705882404</v>
      </c>
      <c r="H96" s="55">
        <v>105.41176470588201</v>
      </c>
      <c r="I96" s="55">
        <v>1020</v>
      </c>
      <c r="J96" s="53" t="s">
        <v>4097</v>
      </c>
      <c r="K96" s="53" t="s">
        <v>4098</v>
      </c>
      <c r="L96" s="53" t="s">
        <v>3907</v>
      </c>
    </row>
    <row r="97" spans="1:12" ht="15" customHeight="1" x14ac:dyDescent="0.35">
      <c r="A97" s="53" t="s">
        <v>1218</v>
      </c>
      <c r="B97" s="53" t="s">
        <v>973</v>
      </c>
      <c r="C97" s="55">
        <v>119.333333333333</v>
      </c>
      <c r="D97" s="55">
        <v>7160</v>
      </c>
      <c r="E97" s="53">
        <v>81</v>
      </c>
      <c r="F97" s="53">
        <v>38</v>
      </c>
      <c r="G97" s="55">
        <v>0.469135802469136</v>
      </c>
      <c r="H97" s="55">
        <v>88.395061728395106</v>
      </c>
      <c r="I97" s="55">
        <v>900</v>
      </c>
      <c r="J97" s="53" t="s">
        <v>4099</v>
      </c>
      <c r="K97" s="53" t="s">
        <v>4100</v>
      </c>
      <c r="L97" s="53" t="s">
        <v>3907</v>
      </c>
    </row>
    <row r="98" spans="1:12" ht="15" customHeight="1" x14ac:dyDescent="0.35">
      <c r="A98" s="53" t="s">
        <v>1221</v>
      </c>
      <c r="B98" s="53" t="s">
        <v>921</v>
      </c>
      <c r="C98" s="55">
        <v>118.73333333333299</v>
      </c>
      <c r="D98" s="55">
        <v>7124</v>
      </c>
      <c r="E98" s="53">
        <v>130</v>
      </c>
      <c r="F98" s="53">
        <v>52</v>
      </c>
      <c r="G98" s="55">
        <v>0.4</v>
      </c>
      <c r="H98" s="55">
        <v>54.8</v>
      </c>
      <c r="I98" s="55">
        <v>600</v>
      </c>
      <c r="J98" s="53" t="s">
        <v>4101</v>
      </c>
      <c r="K98" s="53" t="s">
        <v>4102</v>
      </c>
      <c r="L98" s="53" t="s">
        <v>3907</v>
      </c>
    </row>
    <row r="99" spans="1:12" ht="15" customHeight="1" x14ac:dyDescent="0.35">
      <c r="A99" s="53" t="s">
        <v>1224</v>
      </c>
      <c r="B99" s="53" t="s">
        <v>996</v>
      </c>
      <c r="C99" s="55">
        <v>118.3</v>
      </c>
      <c r="D99" s="55">
        <v>7098</v>
      </c>
      <c r="E99" s="53">
        <v>82</v>
      </c>
      <c r="F99" s="53">
        <v>44</v>
      </c>
      <c r="G99" s="55">
        <v>0.53658536585365901</v>
      </c>
      <c r="H99" s="55">
        <v>86.560975609756099</v>
      </c>
      <c r="I99" s="55">
        <v>840</v>
      </c>
      <c r="J99" s="53" t="s">
        <v>4103</v>
      </c>
      <c r="K99" s="53" t="s">
        <v>4104</v>
      </c>
      <c r="L99" s="53" t="s">
        <v>3907</v>
      </c>
    </row>
    <row r="100" spans="1:12" ht="15" customHeight="1" x14ac:dyDescent="0.35">
      <c r="A100" s="53" t="s">
        <v>1227</v>
      </c>
      <c r="B100" s="53" t="s">
        <v>1077</v>
      </c>
      <c r="C100" s="55">
        <v>117.73333333333299</v>
      </c>
      <c r="D100" s="55">
        <v>7064</v>
      </c>
      <c r="E100" s="53">
        <v>45</v>
      </c>
      <c r="F100" s="53">
        <v>8</v>
      </c>
      <c r="G100" s="55">
        <v>0.17777777777777801</v>
      </c>
      <c r="H100" s="55">
        <v>156.97777777777799</v>
      </c>
      <c r="I100" s="55">
        <v>4824</v>
      </c>
      <c r="J100" s="53" t="s">
        <v>4105</v>
      </c>
      <c r="K100" s="53" t="s">
        <v>4106</v>
      </c>
      <c r="L100" s="53" t="s">
        <v>3941</v>
      </c>
    </row>
    <row r="101" spans="1:12" ht="15" customHeight="1" x14ac:dyDescent="0.35">
      <c r="A101" s="53" t="s">
        <v>1230</v>
      </c>
      <c r="B101" s="53" t="s">
        <v>1009</v>
      </c>
      <c r="C101" s="55">
        <v>116.466666666667</v>
      </c>
      <c r="D101" s="55">
        <v>6988</v>
      </c>
      <c r="E101" s="53">
        <v>103</v>
      </c>
      <c r="F101" s="53">
        <v>47</v>
      </c>
      <c r="G101" s="55">
        <v>0.456310679611651</v>
      </c>
      <c r="H101" s="55">
        <v>67.844660194174807</v>
      </c>
      <c r="I101" s="55">
        <v>1560</v>
      </c>
      <c r="J101" s="53" t="s">
        <v>4107</v>
      </c>
      <c r="K101" s="53" t="s">
        <v>4108</v>
      </c>
      <c r="L101" s="53" t="s">
        <v>3907</v>
      </c>
    </row>
    <row r="102" spans="1:12" ht="15" customHeight="1" x14ac:dyDescent="0.35">
      <c r="A102" s="53" t="s">
        <v>1233</v>
      </c>
      <c r="B102" s="53" t="s">
        <v>989</v>
      </c>
      <c r="C102" s="55">
        <v>116.01666666666701</v>
      </c>
      <c r="D102" s="55">
        <v>6961</v>
      </c>
      <c r="E102" s="53">
        <v>161</v>
      </c>
      <c r="F102" s="53">
        <v>59</v>
      </c>
      <c r="G102" s="55">
        <v>0.36645962732919302</v>
      </c>
      <c r="H102" s="55">
        <v>43.236024844720497</v>
      </c>
      <c r="I102" s="55">
        <v>960</v>
      </c>
      <c r="J102" s="53" t="s">
        <v>4109</v>
      </c>
      <c r="K102" s="53" t="s">
        <v>4110</v>
      </c>
      <c r="L102" s="53" t="s">
        <v>3907</v>
      </c>
    </row>
    <row r="103" spans="1:12" ht="15" customHeight="1" x14ac:dyDescent="0.35">
      <c r="A103" s="53" t="s">
        <v>1236</v>
      </c>
      <c r="B103" s="53" t="s">
        <v>1101</v>
      </c>
      <c r="C103" s="55">
        <v>115.283333333333</v>
      </c>
      <c r="D103" s="55">
        <v>6917</v>
      </c>
      <c r="E103" s="53">
        <v>68</v>
      </c>
      <c r="F103" s="53">
        <v>24</v>
      </c>
      <c r="G103" s="55">
        <v>0.35294117647058798</v>
      </c>
      <c r="H103" s="55">
        <v>101.720588235294</v>
      </c>
      <c r="I103" s="55">
        <v>3000</v>
      </c>
      <c r="J103" s="53" t="s">
        <v>4111</v>
      </c>
      <c r="K103" s="53" t="s">
        <v>4112</v>
      </c>
      <c r="L103" s="53" t="s">
        <v>3907</v>
      </c>
    </row>
    <row r="104" spans="1:12" ht="15" customHeight="1" x14ac:dyDescent="0.35">
      <c r="A104" s="53" t="s">
        <v>1239</v>
      </c>
      <c r="B104" s="53" t="s">
        <v>1240</v>
      </c>
      <c r="C104" s="55">
        <v>114.183333333333</v>
      </c>
      <c r="D104" s="55">
        <v>6851</v>
      </c>
      <c r="E104" s="53">
        <v>119</v>
      </c>
      <c r="F104" s="53">
        <v>48</v>
      </c>
      <c r="G104" s="55">
        <v>0.40336134453781503</v>
      </c>
      <c r="H104" s="55">
        <v>57.571428571428598</v>
      </c>
      <c r="I104" s="55">
        <v>1400</v>
      </c>
      <c r="J104" s="53" t="s">
        <v>4113</v>
      </c>
      <c r="K104" s="53" t="s">
        <v>4114</v>
      </c>
      <c r="L104" s="53" t="s">
        <v>3907</v>
      </c>
    </row>
    <row r="105" spans="1:12" ht="15" customHeight="1" x14ac:dyDescent="0.35">
      <c r="A105" s="53" t="s">
        <v>1243</v>
      </c>
      <c r="B105" s="53" t="s">
        <v>1009</v>
      </c>
      <c r="C105" s="55">
        <v>112.866666666667</v>
      </c>
      <c r="D105" s="55">
        <v>6772</v>
      </c>
      <c r="E105" s="53">
        <v>176</v>
      </c>
      <c r="F105" s="53">
        <v>59</v>
      </c>
      <c r="G105" s="55">
        <v>0.33522727272727298</v>
      </c>
      <c r="H105" s="55">
        <v>38.477272727272698</v>
      </c>
      <c r="I105" s="55">
        <v>1001</v>
      </c>
      <c r="J105" s="53" t="s">
        <v>4115</v>
      </c>
      <c r="K105" s="53" t="s">
        <v>4116</v>
      </c>
      <c r="L105" s="53" t="s">
        <v>3907</v>
      </c>
    </row>
    <row r="106" spans="1:12" ht="15" customHeight="1" x14ac:dyDescent="0.35">
      <c r="A106" s="53" t="s">
        <v>1246</v>
      </c>
      <c r="B106" s="53" t="s">
        <v>959</v>
      </c>
      <c r="C106" s="55">
        <v>112.8</v>
      </c>
      <c r="D106" s="55">
        <v>6768</v>
      </c>
      <c r="E106" s="53">
        <v>84</v>
      </c>
      <c r="F106" s="53">
        <v>24</v>
      </c>
      <c r="G106" s="55">
        <v>0.28571428571428598</v>
      </c>
      <c r="H106" s="55">
        <v>80.571428571428598</v>
      </c>
      <c r="I106" s="55">
        <v>1450</v>
      </c>
      <c r="J106" s="53" t="s">
        <v>4117</v>
      </c>
      <c r="K106" s="53" t="s">
        <v>4118</v>
      </c>
      <c r="L106" s="53" t="s">
        <v>3941</v>
      </c>
    </row>
    <row r="107" spans="1:12" ht="15" customHeight="1" x14ac:dyDescent="0.35">
      <c r="A107" s="53" t="s">
        <v>1249</v>
      </c>
      <c r="B107" s="53" t="s">
        <v>1091</v>
      </c>
      <c r="C107" s="55">
        <v>112.683333333333</v>
      </c>
      <c r="D107" s="55">
        <v>6761</v>
      </c>
      <c r="E107" s="53">
        <v>63</v>
      </c>
      <c r="F107" s="53">
        <v>27</v>
      </c>
      <c r="G107" s="55">
        <v>0.42857142857142899</v>
      </c>
      <c r="H107" s="55">
        <v>107.31746031746</v>
      </c>
      <c r="I107" s="55">
        <v>1000</v>
      </c>
      <c r="J107" s="53" t="s">
        <v>4119</v>
      </c>
      <c r="K107" s="53" t="s">
        <v>4120</v>
      </c>
      <c r="L107" s="53" t="s">
        <v>3907</v>
      </c>
    </row>
    <row r="108" spans="1:12" ht="15" customHeight="1" x14ac:dyDescent="0.35">
      <c r="A108" s="53" t="s">
        <v>1252</v>
      </c>
      <c r="B108" s="53" t="s">
        <v>996</v>
      </c>
      <c r="C108" s="55">
        <v>111.98333333333299</v>
      </c>
      <c r="D108" s="55">
        <v>6719</v>
      </c>
      <c r="E108" s="53">
        <v>61</v>
      </c>
      <c r="F108" s="53">
        <v>40</v>
      </c>
      <c r="G108" s="55">
        <v>0.65573770491803296</v>
      </c>
      <c r="H108" s="55">
        <v>110.147540983607</v>
      </c>
      <c r="I108" s="55">
        <v>790</v>
      </c>
      <c r="J108" s="53" t="s">
        <v>4121</v>
      </c>
      <c r="K108" s="53" t="s">
        <v>4122</v>
      </c>
      <c r="L108" s="53" t="s">
        <v>3907</v>
      </c>
    </row>
    <row r="109" spans="1:12" ht="15" customHeight="1" x14ac:dyDescent="0.35">
      <c r="A109" s="53" t="s">
        <v>1255</v>
      </c>
      <c r="B109" s="53" t="s">
        <v>925</v>
      </c>
      <c r="C109" s="55">
        <v>111.75</v>
      </c>
      <c r="D109" s="55">
        <v>6705</v>
      </c>
      <c r="E109" s="53">
        <v>95</v>
      </c>
      <c r="F109" s="53">
        <v>54</v>
      </c>
      <c r="G109" s="55">
        <v>0.56842105263157905</v>
      </c>
      <c r="H109" s="55">
        <v>70.578947368421098</v>
      </c>
      <c r="I109" s="55">
        <v>600</v>
      </c>
      <c r="J109" s="53" t="s">
        <v>4123</v>
      </c>
      <c r="K109" s="53" t="s">
        <v>4124</v>
      </c>
      <c r="L109" s="53" t="s">
        <v>3907</v>
      </c>
    </row>
    <row r="110" spans="1:12" ht="15" customHeight="1" x14ac:dyDescent="0.35">
      <c r="A110" s="53" t="s">
        <v>1258</v>
      </c>
      <c r="B110" s="53" t="s">
        <v>946</v>
      </c>
      <c r="C110" s="55">
        <v>111.533333333333</v>
      </c>
      <c r="D110" s="55">
        <v>6692</v>
      </c>
      <c r="E110" s="53">
        <v>44</v>
      </c>
      <c r="F110" s="53">
        <v>26</v>
      </c>
      <c r="G110" s="55">
        <v>0.59090909090909105</v>
      </c>
      <c r="H110" s="55">
        <v>152.09090909090901</v>
      </c>
      <c r="I110" s="55">
        <v>4020</v>
      </c>
      <c r="J110" s="53" t="s">
        <v>4125</v>
      </c>
      <c r="K110" s="53" t="s">
        <v>4126</v>
      </c>
      <c r="L110" s="53" t="s">
        <v>3907</v>
      </c>
    </row>
    <row r="111" spans="1:12" ht="15" customHeight="1" x14ac:dyDescent="0.35">
      <c r="A111" s="53" t="s">
        <v>1261</v>
      </c>
      <c r="B111" s="53" t="s">
        <v>1136</v>
      </c>
      <c r="C111" s="55">
        <v>111.25</v>
      </c>
      <c r="D111" s="55">
        <v>6675</v>
      </c>
      <c r="E111" s="53">
        <v>105</v>
      </c>
      <c r="F111" s="53">
        <v>41</v>
      </c>
      <c r="G111" s="55">
        <v>0.39047619047619098</v>
      </c>
      <c r="H111" s="55">
        <v>63.571428571428598</v>
      </c>
      <c r="I111" s="55">
        <v>1440</v>
      </c>
      <c r="J111" s="53" t="s">
        <v>4127</v>
      </c>
      <c r="K111" s="53" t="s">
        <v>4128</v>
      </c>
      <c r="L111" s="53" t="s">
        <v>3907</v>
      </c>
    </row>
    <row r="112" spans="1:12" ht="15" customHeight="1" x14ac:dyDescent="0.35">
      <c r="A112" s="53" t="s">
        <v>1264</v>
      </c>
      <c r="B112" s="53" t="s">
        <v>929</v>
      </c>
      <c r="C112" s="55">
        <v>111.01666666666701</v>
      </c>
      <c r="D112" s="55">
        <v>6661</v>
      </c>
      <c r="E112" s="53">
        <v>127</v>
      </c>
      <c r="F112" s="53">
        <v>49</v>
      </c>
      <c r="G112" s="55">
        <v>0.38582677165354301</v>
      </c>
      <c r="H112" s="55">
        <v>52.4488188976378</v>
      </c>
      <c r="I112" s="55">
        <v>724</v>
      </c>
      <c r="J112" s="53" t="s">
        <v>4129</v>
      </c>
      <c r="K112" s="53" t="s">
        <v>4130</v>
      </c>
      <c r="L112" s="53" t="s">
        <v>3907</v>
      </c>
    </row>
    <row r="113" spans="1:12" ht="15" customHeight="1" x14ac:dyDescent="0.35">
      <c r="A113" s="53" t="s">
        <v>1267</v>
      </c>
      <c r="B113" s="53" t="s">
        <v>989</v>
      </c>
      <c r="C113" s="55">
        <v>110.833333333333</v>
      </c>
      <c r="D113" s="55">
        <v>6650</v>
      </c>
      <c r="E113" s="53">
        <v>63</v>
      </c>
      <c r="F113" s="53">
        <v>37</v>
      </c>
      <c r="G113" s="55">
        <v>0.58730158730158699</v>
      </c>
      <c r="H113" s="55">
        <v>105.555555555556</v>
      </c>
      <c r="I113" s="55">
        <v>536</v>
      </c>
      <c r="J113" s="53" t="s">
        <v>4131</v>
      </c>
      <c r="K113" s="53" t="s">
        <v>4132</v>
      </c>
      <c r="L113" s="53" t="s">
        <v>3907</v>
      </c>
    </row>
    <row r="114" spans="1:12" ht="15" customHeight="1" x14ac:dyDescent="0.35">
      <c r="A114" s="53" t="s">
        <v>1270</v>
      </c>
      <c r="B114" s="53" t="s">
        <v>1009</v>
      </c>
      <c r="C114" s="55">
        <v>110.05</v>
      </c>
      <c r="D114" s="55">
        <v>6603</v>
      </c>
      <c r="E114" s="53">
        <v>121</v>
      </c>
      <c r="F114" s="53">
        <v>50</v>
      </c>
      <c r="G114" s="55">
        <v>0.413223140495868</v>
      </c>
      <c r="H114" s="55">
        <v>54.570247933884303</v>
      </c>
      <c r="I114" s="55">
        <v>1500</v>
      </c>
      <c r="J114" s="53" t="s">
        <v>4133</v>
      </c>
      <c r="K114" s="53" t="s">
        <v>4134</v>
      </c>
      <c r="L114" s="53" t="s">
        <v>3907</v>
      </c>
    </row>
    <row r="115" spans="1:12" ht="15" customHeight="1" x14ac:dyDescent="0.35">
      <c r="A115" s="53" t="s">
        <v>1273</v>
      </c>
      <c r="B115" s="53" t="s">
        <v>905</v>
      </c>
      <c r="C115" s="55">
        <v>109</v>
      </c>
      <c r="D115" s="55">
        <v>6540</v>
      </c>
      <c r="E115" s="53">
        <v>67</v>
      </c>
      <c r="F115" s="53">
        <v>31</v>
      </c>
      <c r="G115" s="55">
        <v>0.462686567164179</v>
      </c>
      <c r="H115" s="55">
        <v>97.611940298507506</v>
      </c>
      <c r="I115" s="55">
        <v>1500</v>
      </c>
      <c r="J115" s="53" t="s">
        <v>4135</v>
      </c>
      <c r="K115" s="53" t="s">
        <v>4136</v>
      </c>
      <c r="L115" s="53" t="s">
        <v>3907</v>
      </c>
    </row>
    <row r="116" spans="1:12" ht="15" customHeight="1" x14ac:dyDescent="0.35">
      <c r="A116" s="53" t="s">
        <v>1276</v>
      </c>
      <c r="B116" s="53" t="s">
        <v>921</v>
      </c>
      <c r="C116" s="55">
        <v>108.033333333333</v>
      </c>
      <c r="D116" s="55">
        <v>6482</v>
      </c>
      <c r="E116" s="53">
        <v>128</v>
      </c>
      <c r="F116" s="53">
        <v>53</v>
      </c>
      <c r="G116" s="55">
        <v>0.4140625</v>
      </c>
      <c r="H116" s="55">
        <v>50.640625</v>
      </c>
      <c r="I116" s="55">
        <v>1035</v>
      </c>
      <c r="J116" s="53" t="s">
        <v>4137</v>
      </c>
      <c r="K116" s="53" t="s">
        <v>4138</v>
      </c>
      <c r="L116" s="53" t="s">
        <v>3924</v>
      </c>
    </row>
    <row r="117" spans="1:12" ht="15" customHeight="1" x14ac:dyDescent="0.35">
      <c r="A117" s="53" t="s">
        <v>1279</v>
      </c>
      <c r="B117" s="53" t="s">
        <v>1009</v>
      </c>
      <c r="C117" s="55">
        <v>108</v>
      </c>
      <c r="D117" s="55">
        <v>6480</v>
      </c>
      <c r="E117" s="53">
        <v>100</v>
      </c>
      <c r="F117" s="53">
        <v>46</v>
      </c>
      <c r="G117" s="55">
        <v>0.46</v>
      </c>
      <c r="H117" s="55">
        <v>64.8</v>
      </c>
      <c r="I117" s="55">
        <v>1420</v>
      </c>
      <c r="J117" s="53" t="s">
        <v>4139</v>
      </c>
      <c r="K117" s="53" t="s">
        <v>4140</v>
      </c>
      <c r="L117" s="53" t="s">
        <v>3907</v>
      </c>
    </row>
    <row r="118" spans="1:12" ht="15" customHeight="1" x14ac:dyDescent="0.35">
      <c r="A118" s="53" t="s">
        <v>1282</v>
      </c>
      <c r="B118" s="53" t="s">
        <v>1136</v>
      </c>
      <c r="C118" s="55">
        <v>107.76666666666701</v>
      </c>
      <c r="D118" s="55">
        <v>6466</v>
      </c>
      <c r="E118" s="53">
        <v>65</v>
      </c>
      <c r="F118" s="53">
        <v>32</v>
      </c>
      <c r="G118" s="55">
        <v>0.492307692307692</v>
      </c>
      <c r="H118" s="55">
        <v>99.4769230769231</v>
      </c>
      <c r="I118" s="55">
        <v>1560</v>
      </c>
      <c r="J118" s="53" t="s">
        <v>4141</v>
      </c>
      <c r="K118" s="53" t="s">
        <v>4142</v>
      </c>
      <c r="L118" s="53" t="s">
        <v>3907</v>
      </c>
    </row>
    <row r="119" spans="1:12" ht="15" customHeight="1" x14ac:dyDescent="0.35">
      <c r="A119" s="53" t="s">
        <v>1285</v>
      </c>
      <c r="B119" s="53" t="s">
        <v>989</v>
      </c>
      <c r="C119" s="55">
        <v>107.066666666667</v>
      </c>
      <c r="D119" s="55">
        <v>6424</v>
      </c>
      <c r="E119" s="53">
        <v>109</v>
      </c>
      <c r="F119" s="53">
        <v>50</v>
      </c>
      <c r="G119" s="55">
        <v>0.45871559633027498</v>
      </c>
      <c r="H119" s="55">
        <v>58.935779816513801</v>
      </c>
      <c r="I119" s="55">
        <v>1140</v>
      </c>
      <c r="J119" s="53" t="s">
        <v>4143</v>
      </c>
      <c r="K119" s="53" t="s">
        <v>4144</v>
      </c>
      <c r="L119" s="53" t="s">
        <v>3907</v>
      </c>
    </row>
    <row r="120" spans="1:12" ht="15" customHeight="1" x14ac:dyDescent="0.35">
      <c r="A120" s="53" t="s">
        <v>1288</v>
      </c>
      <c r="B120" s="53" t="s">
        <v>1136</v>
      </c>
      <c r="C120" s="55">
        <v>104.75</v>
      </c>
      <c r="D120" s="55">
        <v>6285</v>
      </c>
      <c r="E120" s="53">
        <v>75</v>
      </c>
      <c r="F120" s="53">
        <v>47</v>
      </c>
      <c r="G120" s="55">
        <v>0.62666666666666704</v>
      </c>
      <c r="H120" s="55">
        <v>83.8</v>
      </c>
      <c r="I120" s="55">
        <v>570</v>
      </c>
      <c r="J120" s="53" t="s">
        <v>4145</v>
      </c>
      <c r="K120" s="53" t="s">
        <v>4146</v>
      </c>
      <c r="L120" s="53" t="s">
        <v>3907</v>
      </c>
    </row>
    <row r="121" spans="1:12" ht="15" customHeight="1" x14ac:dyDescent="0.35">
      <c r="A121" s="53" t="s">
        <v>1291</v>
      </c>
      <c r="B121" s="53" t="s">
        <v>921</v>
      </c>
      <c r="C121" s="55">
        <v>103.416666666667</v>
      </c>
      <c r="D121" s="55">
        <v>6205</v>
      </c>
      <c r="E121" s="53">
        <v>88</v>
      </c>
      <c r="F121" s="53">
        <v>41</v>
      </c>
      <c r="G121" s="55">
        <v>0.46590909090909099</v>
      </c>
      <c r="H121" s="55">
        <v>70.511363636363598</v>
      </c>
      <c r="I121" s="55">
        <v>480</v>
      </c>
      <c r="J121" s="53" t="s">
        <v>4147</v>
      </c>
      <c r="K121" s="53" t="s">
        <v>4148</v>
      </c>
      <c r="L121" s="53" t="s">
        <v>3907</v>
      </c>
    </row>
    <row r="122" spans="1:12" ht="15" customHeight="1" x14ac:dyDescent="0.35">
      <c r="A122" s="53" t="s">
        <v>1294</v>
      </c>
      <c r="B122" s="53" t="s">
        <v>1295</v>
      </c>
      <c r="C122" s="55">
        <v>103.316666666667</v>
      </c>
      <c r="D122" s="55">
        <v>6199</v>
      </c>
      <c r="E122" s="53">
        <v>72</v>
      </c>
      <c r="F122" s="53">
        <v>31</v>
      </c>
      <c r="G122" s="55">
        <v>0.43055555555555602</v>
      </c>
      <c r="H122" s="55">
        <v>86.0972222222222</v>
      </c>
      <c r="I122" s="55">
        <v>1618</v>
      </c>
      <c r="J122" s="53" t="s">
        <v>4149</v>
      </c>
      <c r="K122" s="53" t="s">
        <v>4150</v>
      </c>
      <c r="L122" s="53" t="s">
        <v>3907</v>
      </c>
    </row>
    <row r="123" spans="1:12" ht="15" customHeight="1" x14ac:dyDescent="0.35">
      <c r="A123" s="53" t="s">
        <v>1298</v>
      </c>
      <c r="B123" s="53" t="s">
        <v>1299</v>
      </c>
      <c r="C123" s="55">
        <v>103.283333333333</v>
      </c>
      <c r="D123" s="55">
        <v>6197</v>
      </c>
      <c r="E123" s="53">
        <v>88</v>
      </c>
      <c r="F123" s="53">
        <v>18</v>
      </c>
      <c r="G123" s="55">
        <v>0.204545454545455</v>
      </c>
      <c r="H123" s="55">
        <v>70.420454545454604</v>
      </c>
      <c r="I123" s="55">
        <v>1292</v>
      </c>
      <c r="J123" s="53" t="s">
        <v>4151</v>
      </c>
      <c r="K123" s="53" t="s">
        <v>4152</v>
      </c>
      <c r="L123" s="53" t="s">
        <v>3941</v>
      </c>
    </row>
    <row r="124" spans="1:12" ht="15" customHeight="1" x14ac:dyDescent="0.35">
      <c r="A124" s="53" t="s">
        <v>1302</v>
      </c>
      <c r="B124" s="53" t="s">
        <v>925</v>
      </c>
      <c r="C124" s="55">
        <v>101</v>
      </c>
      <c r="D124" s="55">
        <v>6060</v>
      </c>
      <c r="E124" s="53">
        <v>14</v>
      </c>
      <c r="F124" s="53">
        <v>6</v>
      </c>
      <c r="G124" s="55">
        <v>0.42857142857142899</v>
      </c>
      <c r="H124" s="55">
        <v>432.857142857143</v>
      </c>
      <c r="I124" s="55">
        <v>3000</v>
      </c>
      <c r="J124" s="53" t="s">
        <v>4153</v>
      </c>
      <c r="K124" s="53" t="s">
        <v>4154</v>
      </c>
      <c r="L124" s="53" t="s">
        <v>3907</v>
      </c>
    </row>
    <row r="125" spans="1:12" ht="15" customHeight="1" x14ac:dyDescent="0.35">
      <c r="A125" s="53" t="s">
        <v>1305</v>
      </c>
      <c r="B125" s="53" t="s">
        <v>1101</v>
      </c>
      <c r="C125" s="55">
        <v>100.716666666667</v>
      </c>
      <c r="D125" s="55">
        <v>6043</v>
      </c>
      <c r="E125" s="53">
        <v>76</v>
      </c>
      <c r="F125" s="53">
        <v>34</v>
      </c>
      <c r="G125" s="55">
        <v>0.44736842105263203</v>
      </c>
      <c r="H125" s="55">
        <v>79.513157894736807</v>
      </c>
      <c r="I125" s="55">
        <v>2136</v>
      </c>
      <c r="J125" s="53" t="s">
        <v>4155</v>
      </c>
      <c r="K125" s="53" t="s">
        <v>4156</v>
      </c>
      <c r="L125" s="53" t="s">
        <v>3907</v>
      </c>
    </row>
    <row r="126" spans="1:12" ht="15" customHeight="1" x14ac:dyDescent="0.35">
      <c r="A126" s="53" t="s">
        <v>1308</v>
      </c>
      <c r="B126" s="53" t="s">
        <v>1118</v>
      </c>
      <c r="C126" s="55">
        <v>100.666666666667</v>
      </c>
      <c r="D126" s="55">
        <v>6040</v>
      </c>
      <c r="E126" s="53">
        <v>15</v>
      </c>
      <c r="F126" s="53">
        <v>10</v>
      </c>
      <c r="G126" s="55">
        <v>0.66666666666666696</v>
      </c>
      <c r="H126" s="55">
        <v>402.66666666666703</v>
      </c>
      <c r="I126" s="55">
        <v>4450</v>
      </c>
      <c r="J126" s="53" t="s">
        <v>4157</v>
      </c>
      <c r="K126" s="53" t="s">
        <v>4158</v>
      </c>
      <c r="L126" s="53" t="s">
        <v>3907</v>
      </c>
    </row>
    <row r="127" spans="1:12" ht="15" customHeight="1" x14ac:dyDescent="0.35">
      <c r="A127" s="53" t="s">
        <v>1311</v>
      </c>
      <c r="B127" s="53" t="s">
        <v>1070</v>
      </c>
      <c r="C127" s="55">
        <v>100.133333333333</v>
      </c>
      <c r="D127" s="55">
        <v>6008</v>
      </c>
      <c r="E127" s="53">
        <v>74</v>
      </c>
      <c r="F127" s="53">
        <v>34</v>
      </c>
      <c r="G127" s="55">
        <v>0.45945945945945998</v>
      </c>
      <c r="H127" s="55">
        <v>81.189189189189193</v>
      </c>
      <c r="I127" s="55">
        <v>1297</v>
      </c>
      <c r="J127" s="53" t="s">
        <v>4159</v>
      </c>
      <c r="K127" s="53" t="s">
        <v>4160</v>
      </c>
      <c r="L127" s="53" t="s">
        <v>3907</v>
      </c>
    </row>
    <row r="128" spans="1:12" ht="15" customHeight="1" x14ac:dyDescent="0.35">
      <c r="A128" s="53" t="s">
        <v>1314</v>
      </c>
      <c r="B128" s="53" t="s">
        <v>925</v>
      </c>
      <c r="C128" s="55">
        <v>99.466666666666697</v>
      </c>
      <c r="D128" s="55">
        <v>5968</v>
      </c>
      <c r="E128" s="53">
        <v>94</v>
      </c>
      <c r="F128" s="53">
        <v>50</v>
      </c>
      <c r="G128" s="55">
        <v>0.53191489361702105</v>
      </c>
      <c r="H128" s="55">
        <v>63.489361702127702</v>
      </c>
      <c r="I128" s="55">
        <v>960</v>
      </c>
      <c r="J128" s="53" t="s">
        <v>4161</v>
      </c>
      <c r="K128" s="53" t="s">
        <v>4162</v>
      </c>
      <c r="L128" s="53" t="s">
        <v>3907</v>
      </c>
    </row>
    <row r="129" spans="1:12" ht="15" customHeight="1" x14ac:dyDescent="0.35">
      <c r="A129" s="53" t="s">
        <v>1317</v>
      </c>
      <c r="B129" s="53" t="s">
        <v>1111</v>
      </c>
      <c r="C129" s="55">
        <v>98.966666666666697</v>
      </c>
      <c r="D129" s="55">
        <v>5938</v>
      </c>
      <c r="E129" s="53">
        <v>13</v>
      </c>
      <c r="F129" s="53">
        <v>9</v>
      </c>
      <c r="G129" s="55">
        <v>0.69230769230769196</v>
      </c>
      <c r="H129" s="55">
        <v>456.769230769231</v>
      </c>
      <c r="I129" s="55">
        <v>5878</v>
      </c>
      <c r="J129" s="53" t="s">
        <v>4163</v>
      </c>
      <c r="K129" s="53" t="s">
        <v>4164</v>
      </c>
      <c r="L129" s="53" t="s">
        <v>4165</v>
      </c>
    </row>
    <row r="130" spans="1:12" ht="15" customHeight="1" x14ac:dyDescent="0.35">
      <c r="A130" s="53" t="s">
        <v>1320</v>
      </c>
      <c r="B130" s="53" t="s">
        <v>925</v>
      </c>
      <c r="C130" s="55">
        <v>97.883333333333297</v>
      </c>
      <c r="D130" s="55">
        <v>5873</v>
      </c>
      <c r="E130" s="53">
        <v>49</v>
      </c>
      <c r="F130" s="53">
        <v>23</v>
      </c>
      <c r="G130" s="55">
        <v>0.469387755102041</v>
      </c>
      <c r="H130" s="55">
        <v>119.857142857143</v>
      </c>
      <c r="I130" s="55">
        <v>1910</v>
      </c>
      <c r="J130" s="53" t="s">
        <v>4166</v>
      </c>
      <c r="K130" s="53" t="s">
        <v>4167</v>
      </c>
      <c r="L130" s="53" t="s">
        <v>3924</v>
      </c>
    </row>
    <row r="131" spans="1:12" ht="15" customHeight="1" x14ac:dyDescent="0.35">
      <c r="A131" s="53" t="s">
        <v>1323</v>
      </c>
      <c r="B131" s="53" t="s">
        <v>989</v>
      </c>
      <c r="C131" s="55">
        <v>97.383333333333297</v>
      </c>
      <c r="D131" s="55">
        <v>5843</v>
      </c>
      <c r="E131" s="53">
        <v>66</v>
      </c>
      <c r="F131" s="53">
        <v>33</v>
      </c>
      <c r="G131" s="55">
        <v>0.5</v>
      </c>
      <c r="H131" s="55">
        <v>88.530303030303003</v>
      </c>
      <c r="I131" s="55">
        <v>800</v>
      </c>
      <c r="J131" s="53" t="s">
        <v>4168</v>
      </c>
      <c r="K131" s="53" t="s">
        <v>4169</v>
      </c>
      <c r="L131" s="53" t="s">
        <v>3907</v>
      </c>
    </row>
    <row r="132" spans="1:12" ht="15" customHeight="1" x14ac:dyDescent="0.35">
      <c r="A132" s="53" t="s">
        <v>1326</v>
      </c>
      <c r="B132" s="53" t="s">
        <v>905</v>
      </c>
      <c r="C132" s="55">
        <v>96.866666666666703</v>
      </c>
      <c r="D132" s="55">
        <v>5812</v>
      </c>
      <c r="E132" s="53">
        <v>96</v>
      </c>
      <c r="F132" s="53">
        <v>38</v>
      </c>
      <c r="G132" s="55">
        <v>0.39583333333333298</v>
      </c>
      <c r="H132" s="55">
        <v>60.5416666666667</v>
      </c>
      <c r="I132" s="55">
        <v>720</v>
      </c>
      <c r="J132" s="53" t="s">
        <v>4170</v>
      </c>
      <c r="K132" s="53" t="s">
        <v>4171</v>
      </c>
      <c r="L132" s="53" t="s">
        <v>3907</v>
      </c>
    </row>
    <row r="133" spans="1:12" ht="15" customHeight="1" x14ac:dyDescent="0.35">
      <c r="A133" s="53" t="s">
        <v>1329</v>
      </c>
      <c r="B133" s="53" t="s">
        <v>905</v>
      </c>
      <c r="C133" s="55">
        <v>96.383333333333297</v>
      </c>
      <c r="D133" s="55">
        <v>5783</v>
      </c>
      <c r="E133" s="53">
        <v>93</v>
      </c>
      <c r="F133" s="53">
        <v>48</v>
      </c>
      <c r="G133" s="55">
        <v>0.51612903225806495</v>
      </c>
      <c r="H133" s="55">
        <v>62.1827956989247</v>
      </c>
      <c r="I133" s="55">
        <v>579</v>
      </c>
      <c r="J133" s="53" t="s">
        <v>4172</v>
      </c>
      <c r="K133" s="53" t="s">
        <v>4173</v>
      </c>
      <c r="L133" s="53" t="s">
        <v>3907</v>
      </c>
    </row>
    <row r="134" spans="1:12" ht="15" customHeight="1" x14ac:dyDescent="0.35">
      <c r="A134" s="53" t="s">
        <v>1332</v>
      </c>
      <c r="B134" s="53" t="s">
        <v>913</v>
      </c>
      <c r="C134" s="55">
        <v>95.483333333333306</v>
      </c>
      <c r="D134" s="55">
        <v>5729</v>
      </c>
      <c r="E134" s="53">
        <v>91</v>
      </c>
      <c r="F134" s="53">
        <v>61</v>
      </c>
      <c r="G134" s="55">
        <v>0.67032967032966995</v>
      </c>
      <c r="H134" s="55">
        <v>62.956043956043999</v>
      </c>
      <c r="I134" s="55">
        <v>1000</v>
      </c>
      <c r="J134" s="53" t="s">
        <v>4174</v>
      </c>
      <c r="K134" s="53" t="s">
        <v>4175</v>
      </c>
      <c r="L134" s="53" t="s">
        <v>3907</v>
      </c>
    </row>
    <row r="135" spans="1:12" ht="15" customHeight="1" x14ac:dyDescent="0.35">
      <c r="A135" s="53" t="s">
        <v>1335</v>
      </c>
      <c r="B135" s="53" t="s">
        <v>905</v>
      </c>
      <c r="C135" s="55">
        <v>94.9</v>
      </c>
      <c r="D135" s="55">
        <v>5694</v>
      </c>
      <c r="E135" s="53">
        <v>30</v>
      </c>
      <c r="F135" s="53">
        <v>12</v>
      </c>
      <c r="G135" s="55">
        <v>0.4</v>
      </c>
      <c r="H135" s="55">
        <v>189.8</v>
      </c>
      <c r="I135" s="55">
        <v>2789</v>
      </c>
      <c r="J135" s="53" t="s">
        <v>4176</v>
      </c>
      <c r="K135" s="53" t="s">
        <v>4177</v>
      </c>
      <c r="L135" s="53" t="s">
        <v>3907</v>
      </c>
    </row>
    <row r="136" spans="1:12" ht="15" customHeight="1" x14ac:dyDescent="0.35">
      <c r="A136" s="53" t="s">
        <v>1338</v>
      </c>
      <c r="B136" s="53" t="s">
        <v>913</v>
      </c>
      <c r="C136" s="55">
        <v>94.783333333333303</v>
      </c>
      <c r="D136" s="55">
        <v>5687</v>
      </c>
      <c r="E136" s="53">
        <v>79</v>
      </c>
      <c r="F136" s="53">
        <v>49</v>
      </c>
      <c r="G136" s="55">
        <v>0.620253164556962</v>
      </c>
      <c r="H136" s="55">
        <v>71.987341772151893</v>
      </c>
      <c r="I136" s="55">
        <v>480</v>
      </c>
      <c r="J136" s="53" t="s">
        <v>4178</v>
      </c>
      <c r="K136" s="53" t="s">
        <v>4179</v>
      </c>
      <c r="L136" s="53" t="s">
        <v>3907</v>
      </c>
    </row>
    <row r="137" spans="1:12" ht="15" customHeight="1" x14ac:dyDescent="0.35">
      <c r="A137" s="53" t="s">
        <v>1341</v>
      </c>
      <c r="B137" s="53" t="s">
        <v>989</v>
      </c>
      <c r="C137" s="55">
        <v>94.45</v>
      </c>
      <c r="D137" s="55">
        <v>5667</v>
      </c>
      <c r="E137" s="53">
        <v>95</v>
      </c>
      <c r="F137" s="53">
        <v>51</v>
      </c>
      <c r="G137" s="55">
        <v>0.53684210526315801</v>
      </c>
      <c r="H137" s="55">
        <v>59.6526315789474</v>
      </c>
      <c r="I137" s="55">
        <v>500</v>
      </c>
      <c r="J137" s="53" t="s">
        <v>4180</v>
      </c>
      <c r="K137" s="53" t="s">
        <v>4181</v>
      </c>
      <c r="L137" s="53" t="s">
        <v>3907</v>
      </c>
    </row>
    <row r="138" spans="1:12" ht="15" customHeight="1" x14ac:dyDescent="0.35">
      <c r="A138" s="53" t="s">
        <v>1344</v>
      </c>
      <c r="B138" s="53" t="s">
        <v>905</v>
      </c>
      <c r="C138" s="55">
        <v>94.066666666666706</v>
      </c>
      <c r="D138" s="55">
        <v>5644</v>
      </c>
      <c r="E138" s="53">
        <v>61</v>
      </c>
      <c r="F138" s="53">
        <v>37</v>
      </c>
      <c r="G138" s="55">
        <v>0.60655737704918</v>
      </c>
      <c r="H138" s="55">
        <v>92.524590163934405</v>
      </c>
      <c r="I138" s="55">
        <v>600</v>
      </c>
      <c r="J138" s="53" t="s">
        <v>4182</v>
      </c>
      <c r="K138" s="53" t="s">
        <v>4183</v>
      </c>
      <c r="L138" s="53" t="s">
        <v>3907</v>
      </c>
    </row>
    <row r="139" spans="1:12" ht="15" customHeight="1" x14ac:dyDescent="0.35">
      <c r="A139" s="53" t="s">
        <v>1347</v>
      </c>
      <c r="B139" s="53" t="s">
        <v>929</v>
      </c>
      <c r="C139" s="55">
        <v>92.85</v>
      </c>
      <c r="D139" s="55">
        <v>5571</v>
      </c>
      <c r="E139" s="53">
        <v>17</v>
      </c>
      <c r="F139" s="53">
        <v>10</v>
      </c>
      <c r="G139" s="55">
        <v>0.58823529411764697</v>
      </c>
      <c r="H139" s="55">
        <v>327.70588235294099</v>
      </c>
      <c r="I139" s="55">
        <v>4140</v>
      </c>
      <c r="J139" s="53" t="s">
        <v>4184</v>
      </c>
      <c r="K139" s="53" t="s">
        <v>4185</v>
      </c>
      <c r="L139" s="53" t="s">
        <v>3924</v>
      </c>
    </row>
    <row r="140" spans="1:12" ht="15" customHeight="1" x14ac:dyDescent="0.35">
      <c r="A140" s="53" t="s">
        <v>1350</v>
      </c>
      <c r="B140" s="53" t="s">
        <v>1136</v>
      </c>
      <c r="C140" s="55">
        <v>91.466666666666697</v>
      </c>
      <c r="D140" s="55">
        <v>5488</v>
      </c>
      <c r="E140" s="53">
        <v>85</v>
      </c>
      <c r="F140" s="53">
        <v>25</v>
      </c>
      <c r="G140" s="55">
        <v>0.29411764705882398</v>
      </c>
      <c r="H140" s="55">
        <v>64.564705882352897</v>
      </c>
      <c r="I140" s="55">
        <v>1440</v>
      </c>
      <c r="J140" s="53" t="s">
        <v>4186</v>
      </c>
      <c r="K140" s="53" t="s">
        <v>4187</v>
      </c>
      <c r="L140" s="53" t="s">
        <v>3907</v>
      </c>
    </row>
    <row r="141" spans="1:12" ht="15" customHeight="1" x14ac:dyDescent="0.35">
      <c r="A141" s="53" t="s">
        <v>1353</v>
      </c>
      <c r="B141" s="53" t="s">
        <v>909</v>
      </c>
      <c r="C141" s="55">
        <v>91.4</v>
      </c>
      <c r="D141" s="55">
        <v>5484</v>
      </c>
      <c r="E141" s="53">
        <v>66</v>
      </c>
      <c r="F141" s="53">
        <v>46</v>
      </c>
      <c r="G141" s="55">
        <v>0.69696969696969702</v>
      </c>
      <c r="H141" s="55">
        <v>83.090909090909093</v>
      </c>
      <c r="I141" s="55">
        <v>1228</v>
      </c>
      <c r="J141" s="53" t="s">
        <v>4188</v>
      </c>
      <c r="K141" s="53" t="s">
        <v>4189</v>
      </c>
      <c r="L141" s="53" t="s">
        <v>3907</v>
      </c>
    </row>
    <row r="142" spans="1:12" ht="15" customHeight="1" x14ac:dyDescent="0.35">
      <c r="A142" s="53" t="s">
        <v>1356</v>
      </c>
      <c r="B142" s="53" t="s">
        <v>1101</v>
      </c>
      <c r="C142" s="55">
        <v>89.533333333333303</v>
      </c>
      <c r="D142" s="55">
        <v>5372</v>
      </c>
      <c r="E142" s="53">
        <v>106</v>
      </c>
      <c r="F142" s="53">
        <v>35</v>
      </c>
      <c r="G142" s="55">
        <v>0.330188679245283</v>
      </c>
      <c r="H142" s="55">
        <v>50.679245283018901</v>
      </c>
      <c r="I142" s="55">
        <v>705</v>
      </c>
      <c r="J142" s="53" t="s">
        <v>4190</v>
      </c>
      <c r="K142" s="53" t="s">
        <v>4191</v>
      </c>
      <c r="L142" s="53" t="s">
        <v>3907</v>
      </c>
    </row>
    <row r="143" spans="1:12" ht="15" customHeight="1" x14ac:dyDescent="0.35">
      <c r="A143" s="53" t="s">
        <v>1359</v>
      </c>
      <c r="B143" s="53" t="s">
        <v>989</v>
      </c>
      <c r="C143" s="55">
        <v>88.716666666666697</v>
      </c>
      <c r="D143" s="55">
        <v>5323</v>
      </c>
      <c r="E143" s="53">
        <v>78</v>
      </c>
      <c r="F143" s="53">
        <v>37</v>
      </c>
      <c r="G143" s="55">
        <v>0.47435897435897401</v>
      </c>
      <c r="H143" s="55">
        <v>68.243589743589695</v>
      </c>
      <c r="I143" s="55">
        <v>720</v>
      </c>
      <c r="J143" s="53" t="s">
        <v>4192</v>
      </c>
      <c r="K143" s="53" t="s">
        <v>4193</v>
      </c>
      <c r="L143" s="53" t="s">
        <v>3907</v>
      </c>
    </row>
    <row r="144" spans="1:12" ht="15" customHeight="1" x14ac:dyDescent="0.35">
      <c r="A144" s="53" t="s">
        <v>1362</v>
      </c>
      <c r="B144" s="53" t="s">
        <v>1009</v>
      </c>
      <c r="C144" s="55">
        <v>87.566666666666706</v>
      </c>
      <c r="D144" s="55">
        <v>5254</v>
      </c>
      <c r="E144" s="53">
        <v>135</v>
      </c>
      <c r="F144" s="53">
        <v>37</v>
      </c>
      <c r="G144" s="55">
        <v>0.27407407407407403</v>
      </c>
      <c r="H144" s="55">
        <v>38.918518518518503</v>
      </c>
      <c r="I144" s="55">
        <v>1340</v>
      </c>
      <c r="J144" s="53" t="s">
        <v>4194</v>
      </c>
      <c r="K144" s="53" t="s">
        <v>4195</v>
      </c>
      <c r="L144" s="53" t="s">
        <v>3907</v>
      </c>
    </row>
    <row r="145" spans="1:12" ht="15" customHeight="1" x14ac:dyDescent="0.35">
      <c r="A145" s="53" t="s">
        <v>1365</v>
      </c>
      <c r="B145" s="53" t="s">
        <v>1299</v>
      </c>
      <c r="C145" s="55">
        <v>86.866666666666703</v>
      </c>
      <c r="D145" s="55">
        <v>5212</v>
      </c>
      <c r="E145" s="53">
        <v>64</v>
      </c>
      <c r="F145" s="53">
        <v>23</v>
      </c>
      <c r="G145" s="55">
        <v>0.359375</v>
      </c>
      <c r="H145" s="55">
        <v>81.4375</v>
      </c>
      <c r="I145" s="55">
        <v>1260</v>
      </c>
      <c r="J145" s="53" t="s">
        <v>4196</v>
      </c>
      <c r="K145" s="53" t="s">
        <v>4197</v>
      </c>
      <c r="L145" s="53" t="s">
        <v>3941</v>
      </c>
    </row>
    <row r="146" spans="1:12" ht="15" customHeight="1" x14ac:dyDescent="0.35">
      <c r="A146" s="53" t="s">
        <v>1368</v>
      </c>
      <c r="B146" s="53" t="s">
        <v>1070</v>
      </c>
      <c r="C146" s="55">
        <v>86.816666666666706</v>
      </c>
      <c r="D146" s="55">
        <v>5209</v>
      </c>
      <c r="E146" s="53">
        <v>110</v>
      </c>
      <c r="F146" s="53">
        <v>41</v>
      </c>
      <c r="G146" s="55">
        <v>0.37272727272727302</v>
      </c>
      <c r="H146" s="55">
        <v>47.354545454545502</v>
      </c>
      <c r="I146" s="55">
        <v>748</v>
      </c>
      <c r="J146" s="53" t="s">
        <v>4198</v>
      </c>
      <c r="K146" s="53" t="s">
        <v>4199</v>
      </c>
      <c r="L146" s="53" t="s">
        <v>3907</v>
      </c>
    </row>
    <row r="147" spans="1:12" ht="15" customHeight="1" x14ac:dyDescent="0.35">
      <c r="A147" s="53" t="s">
        <v>1371</v>
      </c>
      <c r="B147" s="53" t="s">
        <v>1136</v>
      </c>
      <c r="C147" s="55">
        <v>86.516666666666694</v>
      </c>
      <c r="D147" s="55">
        <v>5191</v>
      </c>
      <c r="E147" s="53">
        <v>79</v>
      </c>
      <c r="F147" s="53">
        <v>28</v>
      </c>
      <c r="G147" s="55">
        <v>0.354430379746835</v>
      </c>
      <c r="H147" s="55">
        <v>65.708860759493703</v>
      </c>
      <c r="I147" s="55">
        <v>3000</v>
      </c>
      <c r="J147" s="53" t="s">
        <v>4200</v>
      </c>
      <c r="K147" s="53" t="s">
        <v>4201</v>
      </c>
      <c r="L147" s="53" t="s">
        <v>3907</v>
      </c>
    </row>
    <row r="148" spans="1:12" ht="15" customHeight="1" x14ac:dyDescent="0.35">
      <c r="A148" s="53" t="s">
        <v>1374</v>
      </c>
      <c r="B148" s="53" t="s">
        <v>989</v>
      </c>
      <c r="C148" s="55">
        <v>86.183333333333294</v>
      </c>
      <c r="D148" s="55">
        <v>5171</v>
      </c>
      <c r="E148" s="53">
        <v>95</v>
      </c>
      <c r="F148" s="53">
        <v>32</v>
      </c>
      <c r="G148" s="55">
        <v>0.336842105263158</v>
      </c>
      <c r="H148" s="55">
        <v>54.431578947368401</v>
      </c>
      <c r="I148" s="55">
        <v>1380</v>
      </c>
      <c r="J148" s="53" t="s">
        <v>4202</v>
      </c>
      <c r="K148" s="53" t="s">
        <v>4203</v>
      </c>
      <c r="L148" s="53" t="s">
        <v>3907</v>
      </c>
    </row>
    <row r="149" spans="1:12" ht="15" customHeight="1" x14ac:dyDescent="0.35">
      <c r="A149" s="53" t="s">
        <v>1377</v>
      </c>
      <c r="B149" s="53" t="s">
        <v>913</v>
      </c>
      <c r="C149" s="55">
        <v>85.816666666666706</v>
      </c>
      <c r="D149" s="55">
        <v>5149</v>
      </c>
      <c r="E149" s="53">
        <v>57</v>
      </c>
      <c r="F149" s="53">
        <v>39</v>
      </c>
      <c r="G149" s="55">
        <v>0.68421052631579005</v>
      </c>
      <c r="H149" s="55">
        <v>90.3333333333333</v>
      </c>
      <c r="I149" s="55">
        <v>900</v>
      </c>
      <c r="J149" s="53" t="s">
        <v>4204</v>
      </c>
      <c r="K149" s="53" t="s">
        <v>4205</v>
      </c>
      <c r="L149" s="53" t="s">
        <v>3907</v>
      </c>
    </row>
    <row r="150" spans="1:12" ht="15" customHeight="1" x14ac:dyDescent="0.35">
      <c r="A150" s="53" t="s">
        <v>1380</v>
      </c>
      <c r="B150" s="53" t="s">
        <v>1009</v>
      </c>
      <c r="C150" s="55">
        <v>85.5</v>
      </c>
      <c r="D150" s="55">
        <v>5130</v>
      </c>
      <c r="E150" s="53">
        <v>120</v>
      </c>
      <c r="F150" s="53">
        <v>46</v>
      </c>
      <c r="G150" s="55">
        <v>0.38333333333333303</v>
      </c>
      <c r="H150" s="55">
        <v>42.75</v>
      </c>
      <c r="I150" s="55">
        <v>480</v>
      </c>
      <c r="J150" s="53" t="s">
        <v>4206</v>
      </c>
      <c r="K150" s="53" t="s">
        <v>4207</v>
      </c>
      <c r="L150" s="53" t="s">
        <v>3907</v>
      </c>
    </row>
    <row r="151" spans="1:12" ht="15" customHeight="1" x14ac:dyDescent="0.35">
      <c r="A151" s="53" t="s">
        <v>1383</v>
      </c>
      <c r="B151" s="53" t="s">
        <v>1050</v>
      </c>
      <c r="C151" s="55">
        <v>83.816666666666706</v>
      </c>
      <c r="D151" s="55">
        <v>5029</v>
      </c>
      <c r="E151" s="53">
        <v>68</v>
      </c>
      <c r="F151" s="53">
        <v>49</v>
      </c>
      <c r="G151" s="55">
        <v>0.72058823529411797</v>
      </c>
      <c r="H151" s="55">
        <v>73.955882352941202</v>
      </c>
      <c r="I151" s="55">
        <v>540</v>
      </c>
      <c r="J151" s="53" t="s">
        <v>4208</v>
      </c>
      <c r="K151" s="53" t="s">
        <v>4209</v>
      </c>
      <c r="L151" s="53" t="s">
        <v>3907</v>
      </c>
    </row>
    <row r="152" spans="1:12" ht="15" customHeight="1" x14ac:dyDescent="0.35">
      <c r="A152" s="53" t="s">
        <v>1386</v>
      </c>
      <c r="B152" s="53" t="s">
        <v>913</v>
      </c>
      <c r="C152" s="55">
        <v>83.716666666666697</v>
      </c>
      <c r="D152" s="55">
        <v>5023</v>
      </c>
      <c r="E152" s="53">
        <v>82</v>
      </c>
      <c r="F152" s="53">
        <v>35</v>
      </c>
      <c r="G152" s="55">
        <v>0.42682926829268297</v>
      </c>
      <c r="H152" s="55">
        <v>61.256097560975597</v>
      </c>
      <c r="I152" s="55">
        <v>1360</v>
      </c>
      <c r="J152" s="53" t="s">
        <v>4210</v>
      </c>
      <c r="K152" s="53" t="s">
        <v>4211</v>
      </c>
      <c r="L152" s="53" t="s">
        <v>3907</v>
      </c>
    </row>
    <row r="153" spans="1:12" ht="15" customHeight="1" x14ac:dyDescent="0.35">
      <c r="A153" s="53" t="s">
        <v>1389</v>
      </c>
      <c r="B153" s="53" t="s">
        <v>1299</v>
      </c>
      <c r="C153" s="55">
        <v>83.45</v>
      </c>
      <c r="D153" s="55">
        <v>5007</v>
      </c>
      <c r="E153" s="53">
        <v>46</v>
      </c>
      <c r="F153" s="53">
        <v>17</v>
      </c>
      <c r="G153" s="55">
        <v>0.36956521739130399</v>
      </c>
      <c r="H153" s="55">
        <v>108.847826086957</v>
      </c>
      <c r="I153" s="55">
        <v>959</v>
      </c>
      <c r="J153" s="53" t="s">
        <v>4212</v>
      </c>
      <c r="K153" s="53" t="s">
        <v>4213</v>
      </c>
      <c r="L153" s="53" t="s">
        <v>4214</v>
      </c>
    </row>
    <row r="154" spans="1:12" ht="15" customHeight="1" x14ac:dyDescent="0.35">
      <c r="A154" s="53" t="s">
        <v>1392</v>
      </c>
      <c r="B154" s="53" t="s">
        <v>1240</v>
      </c>
      <c r="C154" s="55">
        <v>83.3333333333333</v>
      </c>
      <c r="D154" s="55">
        <v>5000</v>
      </c>
      <c r="E154" s="53">
        <v>95</v>
      </c>
      <c r="F154" s="53">
        <v>32</v>
      </c>
      <c r="G154" s="55">
        <v>0.336842105263158</v>
      </c>
      <c r="H154" s="55">
        <v>52.631578947368403</v>
      </c>
      <c r="I154" s="55">
        <v>750</v>
      </c>
      <c r="J154" s="53" t="s">
        <v>4215</v>
      </c>
      <c r="K154" s="53" t="s">
        <v>4216</v>
      </c>
      <c r="L154" s="53" t="s">
        <v>3907</v>
      </c>
    </row>
    <row r="155" spans="1:12" ht="15" customHeight="1" x14ac:dyDescent="0.35">
      <c r="A155" s="53" t="s">
        <v>1395</v>
      </c>
      <c r="B155" s="53" t="s">
        <v>905</v>
      </c>
      <c r="C155" s="55">
        <v>83.1</v>
      </c>
      <c r="D155" s="55">
        <v>4986</v>
      </c>
      <c r="E155" s="53">
        <v>69</v>
      </c>
      <c r="F155" s="53">
        <v>41</v>
      </c>
      <c r="G155" s="55">
        <v>0.59420289855072495</v>
      </c>
      <c r="H155" s="55">
        <v>72.260869565217405</v>
      </c>
      <c r="I155" s="55">
        <v>780</v>
      </c>
      <c r="J155" s="53" t="s">
        <v>4217</v>
      </c>
      <c r="K155" s="53" t="s">
        <v>4218</v>
      </c>
      <c r="L155" s="53" t="s">
        <v>3907</v>
      </c>
    </row>
    <row r="156" spans="1:12" ht="15" customHeight="1" x14ac:dyDescent="0.35">
      <c r="A156" s="53" t="s">
        <v>1398</v>
      </c>
      <c r="B156" s="53" t="s">
        <v>925</v>
      </c>
      <c r="C156" s="55">
        <v>83.016666666666694</v>
      </c>
      <c r="D156" s="55">
        <v>4981</v>
      </c>
      <c r="E156" s="53">
        <v>67</v>
      </c>
      <c r="F156" s="53">
        <v>36</v>
      </c>
      <c r="G156" s="55">
        <v>0.537313432835821</v>
      </c>
      <c r="H156" s="55">
        <v>74.343283582089597</v>
      </c>
      <c r="I156" s="55">
        <v>480</v>
      </c>
      <c r="J156" s="53" t="s">
        <v>4219</v>
      </c>
      <c r="K156" s="53" t="s">
        <v>4220</v>
      </c>
      <c r="L156" s="53" t="s">
        <v>3907</v>
      </c>
    </row>
    <row r="157" spans="1:12" ht="15" customHeight="1" x14ac:dyDescent="0.35">
      <c r="A157" s="53" t="s">
        <v>1401</v>
      </c>
      <c r="B157" s="53" t="s">
        <v>1084</v>
      </c>
      <c r="C157" s="55">
        <v>82.066666666666706</v>
      </c>
      <c r="D157" s="55">
        <v>4924</v>
      </c>
      <c r="E157" s="53">
        <v>87</v>
      </c>
      <c r="F157" s="53">
        <v>14</v>
      </c>
      <c r="G157" s="55">
        <v>0.160919540229885</v>
      </c>
      <c r="H157" s="55">
        <v>56.597701149425298</v>
      </c>
      <c r="I157" s="55">
        <v>1620</v>
      </c>
      <c r="J157" s="53" t="s">
        <v>4221</v>
      </c>
      <c r="K157" s="53" t="s">
        <v>4222</v>
      </c>
      <c r="L157" s="53" t="s">
        <v>3941</v>
      </c>
    </row>
    <row r="158" spans="1:12" ht="15" customHeight="1" x14ac:dyDescent="0.35">
      <c r="A158" s="53" t="s">
        <v>1404</v>
      </c>
      <c r="B158" s="53" t="s">
        <v>963</v>
      </c>
      <c r="C158" s="55">
        <v>80.6666666666667</v>
      </c>
      <c r="D158" s="55">
        <v>4840</v>
      </c>
      <c r="E158" s="53">
        <v>166</v>
      </c>
      <c r="F158" s="53">
        <v>43</v>
      </c>
      <c r="G158" s="55">
        <v>0.25903614457831298</v>
      </c>
      <c r="H158" s="55">
        <v>29.1566265060241</v>
      </c>
      <c r="I158" s="55">
        <v>600</v>
      </c>
      <c r="J158" s="53" t="s">
        <v>4223</v>
      </c>
      <c r="K158" s="53" t="s">
        <v>4224</v>
      </c>
      <c r="L158" s="53" t="s">
        <v>3907</v>
      </c>
    </row>
    <row r="159" spans="1:12" ht="15" customHeight="1" x14ac:dyDescent="0.35">
      <c r="A159" s="53" t="s">
        <v>1407</v>
      </c>
      <c r="B159" s="53" t="s">
        <v>913</v>
      </c>
      <c r="C159" s="55">
        <v>78.866666666666703</v>
      </c>
      <c r="D159" s="55">
        <v>4732</v>
      </c>
      <c r="E159" s="53">
        <v>71</v>
      </c>
      <c r="F159" s="53">
        <v>39</v>
      </c>
      <c r="G159" s="55">
        <v>0.54929577464788704</v>
      </c>
      <c r="H159" s="55">
        <v>66.647887323943706</v>
      </c>
      <c r="I159" s="55">
        <v>745</v>
      </c>
      <c r="J159" s="53" t="s">
        <v>4225</v>
      </c>
      <c r="K159" s="53" t="s">
        <v>4226</v>
      </c>
      <c r="L159" s="53" t="s">
        <v>3907</v>
      </c>
    </row>
    <row r="160" spans="1:12" ht="15" customHeight="1" x14ac:dyDescent="0.35">
      <c r="A160" s="53" t="s">
        <v>1410</v>
      </c>
      <c r="B160" s="53" t="s">
        <v>1240</v>
      </c>
      <c r="C160" s="55">
        <v>78.766666666666694</v>
      </c>
      <c r="D160" s="55">
        <v>4726</v>
      </c>
      <c r="E160" s="53">
        <v>165</v>
      </c>
      <c r="F160" s="53">
        <v>54</v>
      </c>
      <c r="G160" s="55">
        <v>0.32727272727272699</v>
      </c>
      <c r="H160" s="55">
        <v>28.642424242424202</v>
      </c>
      <c r="I160" s="55">
        <v>480</v>
      </c>
      <c r="J160" s="53" t="s">
        <v>4227</v>
      </c>
      <c r="K160" s="53" t="s">
        <v>4228</v>
      </c>
      <c r="L160" s="53" t="s">
        <v>3907</v>
      </c>
    </row>
    <row r="161" spans="1:12" ht="15" customHeight="1" x14ac:dyDescent="0.35">
      <c r="A161" s="53" t="s">
        <v>1413</v>
      </c>
      <c r="B161" s="53" t="s">
        <v>917</v>
      </c>
      <c r="C161" s="55">
        <v>78.349999999999994</v>
      </c>
      <c r="D161" s="55">
        <v>4701</v>
      </c>
      <c r="E161" s="53">
        <v>54</v>
      </c>
      <c r="F161" s="53">
        <v>10</v>
      </c>
      <c r="G161" s="55">
        <v>0.18518518518518501</v>
      </c>
      <c r="H161" s="55">
        <v>87.0555555555556</v>
      </c>
      <c r="I161" s="55">
        <v>2000</v>
      </c>
      <c r="J161" s="53" t="s">
        <v>4229</v>
      </c>
      <c r="K161" s="53" t="s">
        <v>4230</v>
      </c>
      <c r="L161" s="53" t="s">
        <v>3907</v>
      </c>
    </row>
    <row r="162" spans="1:12" ht="15" customHeight="1" x14ac:dyDescent="0.35">
      <c r="A162" s="53" t="s">
        <v>1416</v>
      </c>
      <c r="B162" s="53" t="s">
        <v>959</v>
      </c>
      <c r="C162" s="55">
        <v>78.150000000000006</v>
      </c>
      <c r="D162" s="55">
        <v>4689</v>
      </c>
      <c r="E162" s="53">
        <v>59</v>
      </c>
      <c r="F162" s="53">
        <v>13</v>
      </c>
      <c r="G162" s="55">
        <v>0.22033898305084801</v>
      </c>
      <c r="H162" s="55">
        <v>79.474576271186393</v>
      </c>
      <c r="I162" s="55">
        <v>2400</v>
      </c>
      <c r="J162" s="53" t="s">
        <v>4231</v>
      </c>
      <c r="K162" s="53" t="s">
        <v>4232</v>
      </c>
      <c r="L162" s="53" t="s">
        <v>3941</v>
      </c>
    </row>
    <row r="163" spans="1:12" ht="15" customHeight="1" x14ac:dyDescent="0.35">
      <c r="A163" s="53" t="s">
        <v>1419</v>
      </c>
      <c r="B163" s="53" t="s">
        <v>898</v>
      </c>
      <c r="C163" s="55">
        <v>78.099999999999994</v>
      </c>
      <c r="D163" s="55">
        <v>4686</v>
      </c>
      <c r="E163" s="53">
        <v>48</v>
      </c>
      <c r="F163" s="53">
        <v>25</v>
      </c>
      <c r="G163" s="55">
        <v>0.52083333333333304</v>
      </c>
      <c r="H163" s="55">
        <v>97.625</v>
      </c>
      <c r="I163" s="55">
        <v>1500</v>
      </c>
      <c r="J163" s="53" t="s">
        <v>4233</v>
      </c>
      <c r="K163" s="53" t="s">
        <v>4234</v>
      </c>
      <c r="L163" s="53" t="s">
        <v>3907</v>
      </c>
    </row>
    <row r="164" spans="1:12" ht="15" customHeight="1" x14ac:dyDescent="0.35">
      <c r="A164" s="53" t="s">
        <v>1422</v>
      </c>
      <c r="B164" s="53" t="s">
        <v>929</v>
      </c>
      <c r="C164" s="55">
        <v>77.233333333333306</v>
      </c>
      <c r="D164" s="55">
        <v>4634</v>
      </c>
      <c r="E164" s="53">
        <v>42</v>
      </c>
      <c r="F164" s="53">
        <v>19</v>
      </c>
      <c r="G164" s="55">
        <v>0.452380952380952</v>
      </c>
      <c r="H164" s="55">
        <v>110.333333333333</v>
      </c>
      <c r="I164" s="55">
        <v>793</v>
      </c>
      <c r="J164" s="53" t="s">
        <v>4235</v>
      </c>
      <c r="K164" s="53" t="s">
        <v>4236</v>
      </c>
      <c r="L164" s="53" t="s">
        <v>3907</v>
      </c>
    </row>
    <row r="165" spans="1:12" ht="15" customHeight="1" x14ac:dyDescent="0.35">
      <c r="A165" s="53" t="s">
        <v>1425</v>
      </c>
      <c r="B165" s="53" t="s">
        <v>963</v>
      </c>
      <c r="C165" s="55">
        <v>77.1666666666667</v>
      </c>
      <c r="D165" s="55">
        <v>4630</v>
      </c>
      <c r="E165" s="53">
        <v>101</v>
      </c>
      <c r="F165" s="53">
        <v>26</v>
      </c>
      <c r="G165" s="55">
        <v>0.25742574257425699</v>
      </c>
      <c r="H165" s="55">
        <v>45.841584158415799</v>
      </c>
      <c r="I165" s="55">
        <v>600</v>
      </c>
      <c r="J165" s="53" t="s">
        <v>4237</v>
      </c>
      <c r="K165" s="53" t="s">
        <v>4238</v>
      </c>
      <c r="L165" s="53" t="s">
        <v>3907</v>
      </c>
    </row>
    <row r="166" spans="1:12" ht="15" customHeight="1" x14ac:dyDescent="0.35">
      <c r="A166" s="53" t="s">
        <v>1428</v>
      </c>
      <c r="B166" s="53" t="s">
        <v>963</v>
      </c>
      <c r="C166" s="55">
        <v>76.983333333333306</v>
      </c>
      <c r="D166" s="55">
        <v>4619</v>
      </c>
      <c r="E166" s="53">
        <v>86</v>
      </c>
      <c r="F166" s="53">
        <v>17</v>
      </c>
      <c r="G166" s="55">
        <v>0.19767441860465099</v>
      </c>
      <c r="H166" s="55">
        <v>53.709302325581397</v>
      </c>
      <c r="I166" s="55">
        <v>1826</v>
      </c>
      <c r="J166" s="53" t="s">
        <v>4239</v>
      </c>
      <c r="K166" s="53" t="s">
        <v>4240</v>
      </c>
      <c r="L166" s="53" t="s">
        <v>3907</v>
      </c>
    </row>
    <row r="167" spans="1:12" ht="15" customHeight="1" x14ac:dyDescent="0.35">
      <c r="A167" s="53" t="s">
        <v>1431</v>
      </c>
      <c r="B167" s="53" t="s">
        <v>1136</v>
      </c>
      <c r="C167" s="55">
        <v>75.816666666666706</v>
      </c>
      <c r="D167" s="55">
        <v>4549</v>
      </c>
      <c r="E167" s="53">
        <v>80</v>
      </c>
      <c r="F167" s="53">
        <v>18</v>
      </c>
      <c r="G167" s="55">
        <v>0.22500000000000001</v>
      </c>
      <c r="H167" s="55">
        <v>56.862499999999997</v>
      </c>
      <c r="I167" s="55">
        <v>1200</v>
      </c>
      <c r="J167" s="53" t="s">
        <v>4241</v>
      </c>
      <c r="K167" s="53" t="s">
        <v>4242</v>
      </c>
      <c r="L167" s="53" t="s">
        <v>3907</v>
      </c>
    </row>
    <row r="168" spans="1:12" ht="15" customHeight="1" x14ac:dyDescent="0.35">
      <c r="A168" s="53" t="s">
        <v>1434</v>
      </c>
      <c r="B168" s="53" t="s">
        <v>905</v>
      </c>
      <c r="C168" s="55">
        <v>75.366666666666703</v>
      </c>
      <c r="D168" s="55">
        <v>4522</v>
      </c>
      <c r="E168" s="53">
        <v>79</v>
      </c>
      <c r="F168" s="53">
        <v>30</v>
      </c>
      <c r="G168" s="55">
        <v>0.379746835443038</v>
      </c>
      <c r="H168" s="55">
        <v>57.240506329113899</v>
      </c>
      <c r="I168" s="55">
        <v>727</v>
      </c>
      <c r="J168" s="53" t="s">
        <v>4243</v>
      </c>
      <c r="K168" s="53" t="s">
        <v>4244</v>
      </c>
      <c r="L168" s="53" t="s">
        <v>3907</v>
      </c>
    </row>
    <row r="169" spans="1:12" ht="15" customHeight="1" x14ac:dyDescent="0.35">
      <c r="A169" s="53" t="s">
        <v>1437</v>
      </c>
      <c r="B169" s="53" t="s">
        <v>1084</v>
      </c>
      <c r="C169" s="55">
        <v>75.033333333333303</v>
      </c>
      <c r="D169" s="55">
        <v>4502</v>
      </c>
      <c r="E169" s="53">
        <v>137</v>
      </c>
      <c r="F169" s="53">
        <v>12</v>
      </c>
      <c r="G169" s="55">
        <v>8.7591240875912399E-2</v>
      </c>
      <c r="H169" s="55">
        <v>32.861313868613102</v>
      </c>
      <c r="I169" s="55">
        <v>2400</v>
      </c>
      <c r="J169" s="53" t="s">
        <v>4245</v>
      </c>
      <c r="K169" s="53" t="s">
        <v>4246</v>
      </c>
      <c r="L169" s="53" t="s">
        <v>3941</v>
      </c>
    </row>
    <row r="170" spans="1:12" ht="15" customHeight="1" x14ac:dyDescent="0.35">
      <c r="A170" s="53" t="s">
        <v>1440</v>
      </c>
      <c r="B170" s="53" t="s">
        <v>963</v>
      </c>
      <c r="C170" s="55">
        <v>74.1666666666667</v>
      </c>
      <c r="D170" s="55">
        <v>4450</v>
      </c>
      <c r="E170" s="53">
        <v>98</v>
      </c>
      <c r="F170" s="53">
        <v>19</v>
      </c>
      <c r="G170" s="55">
        <v>0.19387755102040799</v>
      </c>
      <c r="H170" s="55">
        <v>45.408163265306101</v>
      </c>
      <c r="I170" s="55">
        <v>2400</v>
      </c>
      <c r="J170" s="53" t="s">
        <v>4247</v>
      </c>
      <c r="K170" s="53" t="s">
        <v>4248</v>
      </c>
      <c r="L170" s="53" t="s">
        <v>3907</v>
      </c>
    </row>
    <row r="171" spans="1:12" ht="15" customHeight="1" x14ac:dyDescent="0.35">
      <c r="A171" s="53" t="s">
        <v>1444</v>
      </c>
      <c r="B171" s="53" t="s">
        <v>1143</v>
      </c>
      <c r="C171" s="55">
        <v>73.066666666666706</v>
      </c>
      <c r="D171" s="55">
        <v>4384</v>
      </c>
      <c r="E171" s="53">
        <v>13</v>
      </c>
      <c r="F171" s="53">
        <v>4</v>
      </c>
      <c r="G171" s="55">
        <v>0.30769230769230799</v>
      </c>
      <c r="H171" s="55">
        <v>337.230769230769</v>
      </c>
      <c r="I171" s="55">
        <v>4084</v>
      </c>
      <c r="J171" s="53" t="s">
        <v>4249</v>
      </c>
      <c r="K171" s="53" t="s">
        <v>4250</v>
      </c>
      <c r="L171" s="53" t="s">
        <v>3924</v>
      </c>
    </row>
    <row r="172" spans="1:12" ht="15" customHeight="1" x14ac:dyDescent="0.35">
      <c r="A172" s="53" t="s">
        <v>1447</v>
      </c>
      <c r="B172" s="53" t="s">
        <v>959</v>
      </c>
      <c r="C172" s="55">
        <v>72.8333333333333</v>
      </c>
      <c r="D172" s="55">
        <v>4370</v>
      </c>
      <c r="E172" s="53">
        <v>84</v>
      </c>
      <c r="F172" s="53">
        <v>14</v>
      </c>
      <c r="G172" s="55">
        <v>0.16666666666666699</v>
      </c>
      <c r="H172" s="55">
        <v>52.023809523809497</v>
      </c>
      <c r="I172" s="55">
        <v>1260</v>
      </c>
      <c r="J172" s="53" t="s">
        <v>4251</v>
      </c>
      <c r="K172" s="53" t="s">
        <v>4252</v>
      </c>
      <c r="L172" s="53" t="s">
        <v>4253</v>
      </c>
    </row>
    <row r="173" spans="1:12" ht="15" customHeight="1" x14ac:dyDescent="0.35">
      <c r="A173" s="53" t="s">
        <v>1450</v>
      </c>
      <c r="B173" s="53" t="s">
        <v>989</v>
      </c>
      <c r="C173" s="55">
        <v>72.0833333333333</v>
      </c>
      <c r="D173" s="55">
        <v>4325</v>
      </c>
      <c r="E173" s="53">
        <v>29</v>
      </c>
      <c r="F173" s="53">
        <v>11</v>
      </c>
      <c r="G173" s="55">
        <v>0.37931034482758602</v>
      </c>
      <c r="H173" s="55">
        <v>149.13793103448299</v>
      </c>
      <c r="I173" s="55">
        <v>1500</v>
      </c>
      <c r="J173" s="53" t="s">
        <v>4254</v>
      </c>
      <c r="K173" s="53" t="s">
        <v>4255</v>
      </c>
      <c r="L173" s="53" t="s">
        <v>4256</v>
      </c>
    </row>
    <row r="174" spans="1:12" ht="15" customHeight="1" x14ac:dyDescent="0.35">
      <c r="A174" s="53" t="s">
        <v>1453</v>
      </c>
      <c r="B174" s="53" t="s">
        <v>1136</v>
      </c>
      <c r="C174" s="55">
        <v>69.95</v>
      </c>
      <c r="D174" s="55">
        <v>4197</v>
      </c>
      <c r="E174" s="53">
        <v>88</v>
      </c>
      <c r="F174" s="53">
        <v>27</v>
      </c>
      <c r="G174" s="55">
        <v>0.30681818181818199</v>
      </c>
      <c r="H174" s="55">
        <v>47.693181818181799</v>
      </c>
      <c r="I174" s="55">
        <v>1920</v>
      </c>
      <c r="J174" s="53" t="s">
        <v>4257</v>
      </c>
      <c r="K174" s="53" t="s">
        <v>4258</v>
      </c>
      <c r="L174" s="53" t="s">
        <v>3907</v>
      </c>
    </row>
    <row r="175" spans="1:12" ht="15" customHeight="1" x14ac:dyDescent="0.35">
      <c r="A175" s="53" t="s">
        <v>1456</v>
      </c>
      <c r="B175" s="53" t="s">
        <v>1050</v>
      </c>
      <c r="C175" s="55">
        <v>69.066666666666706</v>
      </c>
      <c r="D175" s="55">
        <v>4144</v>
      </c>
      <c r="E175" s="53">
        <v>61</v>
      </c>
      <c r="F175" s="53">
        <v>29</v>
      </c>
      <c r="G175" s="55">
        <v>0.47540983606557402</v>
      </c>
      <c r="H175" s="55">
        <v>67.934426229508205</v>
      </c>
      <c r="I175" s="55">
        <v>900</v>
      </c>
      <c r="J175" s="53" t="s">
        <v>4259</v>
      </c>
      <c r="K175" s="53" t="s">
        <v>4260</v>
      </c>
      <c r="L175" s="53" t="s">
        <v>3907</v>
      </c>
    </row>
    <row r="176" spans="1:12" ht="15" customHeight="1" x14ac:dyDescent="0.35">
      <c r="A176" s="53" t="s">
        <v>1459</v>
      </c>
      <c r="B176" s="53" t="s">
        <v>1077</v>
      </c>
      <c r="C176" s="55">
        <v>68.900000000000006</v>
      </c>
      <c r="D176" s="55">
        <v>4134</v>
      </c>
      <c r="E176" s="53">
        <v>213</v>
      </c>
      <c r="F176" s="53">
        <v>17</v>
      </c>
      <c r="G176" s="55">
        <v>7.9812206572769995E-2</v>
      </c>
      <c r="H176" s="55">
        <v>19.408450704225402</v>
      </c>
      <c r="I176" s="55">
        <v>1920</v>
      </c>
      <c r="J176" s="53" t="s">
        <v>4261</v>
      </c>
      <c r="K176" s="53" t="s">
        <v>4262</v>
      </c>
      <c r="L176" s="53" t="s">
        <v>3941</v>
      </c>
    </row>
    <row r="177" spans="1:12" ht="15" customHeight="1" x14ac:dyDescent="0.35">
      <c r="A177" s="53" t="s">
        <v>1462</v>
      </c>
      <c r="B177" s="53" t="s">
        <v>1122</v>
      </c>
      <c r="C177" s="55">
        <v>68.283333333333303</v>
      </c>
      <c r="D177" s="55">
        <v>4097</v>
      </c>
      <c r="E177" s="53">
        <v>115</v>
      </c>
      <c r="F177" s="53">
        <v>35</v>
      </c>
      <c r="G177" s="55">
        <v>0.30434782608695699</v>
      </c>
      <c r="H177" s="55">
        <v>35.626086956521704</v>
      </c>
      <c r="I177" s="55">
        <v>480</v>
      </c>
      <c r="J177" s="53" t="s">
        <v>4263</v>
      </c>
      <c r="K177" s="53" t="s">
        <v>4264</v>
      </c>
      <c r="L177" s="53" t="s">
        <v>3907</v>
      </c>
    </row>
    <row r="178" spans="1:12" ht="15" customHeight="1" x14ac:dyDescent="0.35">
      <c r="A178" s="53" t="s">
        <v>1465</v>
      </c>
      <c r="B178" s="53" t="s">
        <v>1136</v>
      </c>
      <c r="C178" s="55">
        <v>67.8333333333333</v>
      </c>
      <c r="D178" s="55">
        <v>4070</v>
      </c>
      <c r="E178" s="53">
        <v>64</v>
      </c>
      <c r="F178" s="53">
        <v>23</v>
      </c>
      <c r="G178" s="55">
        <v>0.359375</v>
      </c>
      <c r="H178" s="55">
        <v>63.59375</v>
      </c>
      <c r="I178" s="55">
        <v>1260</v>
      </c>
      <c r="J178" s="53" t="s">
        <v>4265</v>
      </c>
      <c r="K178" s="53" t="s">
        <v>4266</v>
      </c>
      <c r="L178" s="53" t="s">
        <v>3907</v>
      </c>
    </row>
    <row r="179" spans="1:12" ht="15" customHeight="1" x14ac:dyDescent="0.35">
      <c r="A179" s="53" t="s">
        <v>1468</v>
      </c>
      <c r="B179" s="53" t="s">
        <v>1077</v>
      </c>
      <c r="C179" s="55">
        <v>67.816666666666706</v>
      </c>
      <c r="D179" s="55">
        <v>4069</v>
      </c>
      <c r="E179" s="53">
        <v>223</v>
      </c>
      <c r="F179" s="53">
        <v>24</v>
      </c>
      <c r="G179" s="55">
        <v>0.10762331838564999</v>
      </c>
      <c r="H179" s="55">
        <v>18.246636771300501</v>
      </c>
      <c r="I179" s="55">
        <v>960</v>
      </c>
      <c r="J179" s="53" t="s">
        <v>4267</v>
      </c>
      <c r="K179" s="53" t="s">
        <v>4268</v>
      </c>
      <c r="L179" s="53" t="s">
        <v>3941</v>
      </c>
    </row>
    <row r="180" spans="1:12" ht="15" customHeight="1" x14ac:dyDescent="0.35">
      <c r="A180" s="53" t="s">
        <v>1471</v>
      </c>
      <c r="B180" s="53" t="s">
        <v>921</v>
      </c>
      <c r="C180" s="55">
        <v>67.683333333333294</v>
      </c>
      <c r="D180" s="55">
        <v>4061</v>
      </c>
      <c r="E180" s="53">
        <v>68</v>
      </c>
      <c r="F180" s="53">
        <v>32</v>
      </c>
      <c r="G180" s="55">
        <v>0.47058823529411797</v>
      </c>
      <c r="H180" s="55">
        <v>59.720588235294102</v>
      </c>
      <c r="I180" s="55">
        <v>652</v>
      </c>
      <c r="J180" s="53" t="s">
        <v>4269</v>
      </c>
      <c r="K180" s="53" t="s">
        <v>4270</v>
      </c>
      <c r="L180" s="53" t="s">
        <v>3907</v>
      </c>
    </row>
    <row r="181" spans="1:12" ht="15" customHeight="1" x14ac:dyDescent="0.35">
      <c r="A181" s="53" t="s">
        <v>1474</v>
      </c>
      <c r="B181" s="53" t="s">
        <v>905</v>
      </c>
      <c r="C181" s="55">
        <v>67.3333333333333</v>
      </c>
      <c r="D181" s="55">
        <v>4040</v>
      </c>
      <c r="E181" s="53">
        <v>38</v>
      </c>
      <c r="F181" s="53">
        <v>16</v>
      </c>
      <c r="G181" s="55">
        <v>0.42105263157894701</v>
      </c>
      <c r="H181" s="55">
        <v>106.31578947368401</v>
      </c>
      <c r="I181" s="55">
        <v>1800</v>
      </c>
      <c r="J181" s="53" t="s">
        <v>4271</v>
      </c>
      <c r="K181" s="53" t="s">
        <v>4272</v>
      </c>
      <c r="L181" s="53" t="s">
        <v>3907</v>
      </c>
    </row>
    <row r="182" spans="1:12" ht="15" customHeight="1" x14ac:dyDescent="0.35">
      <c r="A182" s="53" t="s">
        <v>1477</v>
      </c>
      <c r="B182" s="53" t="s">
        <v>913</v>
      </c>
      <c r="C182" s="55">
        <v>66.966666666666697</v>
      </c>
      <c r="D182" s="55">
        <v>4018</v>
      </c>
      <c r="E182" s="53">
        <v>84</v>
      </c>
      <c r="F182" s="53">
        <v>49</v>
      </c>
      <c r="G182" s="55">
        <v>0.58333333333333304</v>
      </c>
      <c r="H182" s="55">
        <v>47.8333333333333</v>
      </c>
      <c r="I182" s="55">
        <v>520</v>
      </c>
      <c r="J182" s="53" t="s">
        <v>4273</v>
      </c>
      <c r="K182" s="53" t="s">
        <v>4274</v>
      </c>
      <c r="L182" s="53" t="s">
        <v>3907</v>
      </c>
    </row>
    <row r="183" spans="1:12" ht="15" customHeight="1" x14ac:dyDescent="0.35">
      <c r="A183" s="53" t="s">
        <v>1480</v>
      </c>
      <c r="B183" s="53" t="s">
        <v>1122</v>
      </c>
      <c r="C183" s="55">
        <v>66.6666666666667</v>
      </c>
      <c r="D183" s="55">
        <v>4000</v>
      </c>
      <c r="E183" s="53">
        <v>8</v>
      </c>
      <c r="F183" s="53">
        <v>1</v>
      </c>
      <c r="G183" s="55">
        <v>0.125</v>
      </c>
      <c r="H183" s="55">
        <v>500</v>
      </c>
      <c r="I183" s="55">
        <v>4000</v>
      </c>
      <c r="J183" s="53" t="s">
        <v>4275</v>
      </c>
      <c r="K183" s="53" t="s">
        <v>4276</v>
      </c>
      <c r="L183" s="53" t="s">
        <v>3907</v>
      </c>
    </row>
    <row r="184" spans="1:12" ht="15" customHeight="1" x14ac:dyDescent="0.35">
      <c r="A184" s="53" t="s">
        <v>1483</v>
      </c>
      <c r="B184" s="53" t="s">
        <v>1122</v>
      </c>
      <c r="C184" s="55">
        <v>65.349999999999994</v>
      </c>
      <c r="D184" s="55">
        <v>3921</v>
      </c>
      <c r="E184" s="53">
        <v>141</v>
      </c>
      <c r="F184" s="53">
        <v>31</v>
      </c>
      <c r="G184" s="55">
        <v>0.219858156028369</v>
      </c>
      <c r="H184" s="55">
        <v>27.8085106382979</v>
      </c>
      <c r="I184" s="55">
        <v>1000</v>
      </c>
      <c r="J184" s="53" t="s">
        <v>4277</v>
      </c>
      <c r="K184" s="53" t="s">
        <v>4278</v>
      </c>
      <c r="L184" s="53" t="s">
        <v>3907</v>
      </c>
    </row>
    <row r="185" spans="1:12" ht="15" customHeight="1" x14ac:dyDescent="0.35">
      <c r="A185" s="53" t="s">
        <v>1486</v>
      </c>
      <c r="B185" s="53" t="s">
        <v>905</v>
      </c>
      <c r="C185" s="55">
        <v>65.233333333333306</v>
      </c>
      <c r="D185" s="55">
        <v>3914</v>
      </c>
      <c r="E185" s="53">
        <v>69</v>
      </c>
      <c r="F185" s="53">
        <v>38</v>
      </c>
      <c r="G185" s="55">
        <v>0.55072463768115898</v>
      </c>
      <c r="H185" s="55">
        <v>56.7246376811594</v>
      </c>
      <c r="I185" s="55">
        <v>516</v>
      </c>
      <c r="J185" s="53" t="s">
        <v>4279</v>
      </c>
      <c r="K185" s="53" t="s">
        <v>4280</v>
      </c>
      <c r="L185" s="53" t="s">
        <v>3907</v>
      </c>
    </row>
    <row r="186" spans="1:12" ht="15" customHeight="1" x14ac:dyDescent="0.35">
      <c r="A186" s="53" t="s">
        <v>1489</v>
      </c>
      <c r="B186" s="53" t="s">
        <v>1490</v>
      </c>
      <c r="C186" s="55">
        <v>65.216666666666697</v>
      </c>
      <c r="D186" s="55">
        <v>3913</v>
      </c>
      <c r="E186" s="53">
        <v>7</v>
      </c>
      <c r="F186" s="53">
        <v>4</v>
      </c>
      <c r="G186" s="55">
        <v>0.57142857142857095</v>
      </c>
      <c r="H186" s="55">
        <v>559</v>
      </c>
      <c r="I186" s="55">
        <v>3253</v>
      </c>
      <c r="J186" s="53" t="s">
        <v>4281</v>
      </c>
      <c r="K186" s="53" t="s">
        <v>4282</v>
      </c>
      <c r="L186" s="53" t="s">
        <v>4052</v>
      </c>
    </row>
    <row r="187" spans="1:12" ht="15" customHeight="1" x14ac:dyDescent="0.35">
      <c r="A187" s="53" t="s">
        <v>1493</v>
      </c>
      <c r="B187" s="53" t="s">
        <v>1494</v>
      </c>
      <c r="C187" s="55">
        <v>64.7</v>
      </c>
      <c r="D187" s="55">
        <v>3882</v>
      </c>
      <c r="E187" s="53">
        <v>25</v>
      </c>
      <c r="F187" s="53">
        <v>10</v>
      </c>
      <c r="G187" s="55">
        <v>0.4</v>
      </c>
      <c r="H187" s="55">
        <v>155.28</v>
      </c>
      <c r="I187" s="55">
        <v>2520</v>
      </c>
      <c r="J187" s="53" t="s">
        <v>4283</v>
      </c>
      <c r="K187" s="53" t="s">
        <v>4284</v>
      </c>
      <c r="L187" s="53" t="s">
        <v>3924</v>
      </c>
    </row>
    <row r="188" spans="1:12" ht="15" customHeight="1" x14ac:dyDescent="0.35">
      <c r="A188" s="53" t="s">
        <v>1497</v>
      </c>
      <c r="B188" s="53" t="s">
        <v>989</v>
      </c>
      <c r="C188" s="55">
        <v>64.283333333333303</v>
      </c>
      <c r="D188" s="55">
        <v>3857</v>
      </c>
      <c r="E188" s="53">
        <v>68</v>
      </c>
      <c r="F188" s="53">
        <v>39</v>
      </c>
      <c r="G188" s="55">
        <v>0.57352941176470595</v>
      </c>
      <c r="H188" s="55">
        <v>56.720588235294102</v>
      </c>
      <c r="I188" s="55">
        <v>400</v>
      </c>
      <c r="J188" s="53" t="s">
        <v>4285</v>
      </c>
      <c r="K188" s="53" t="s">
        <v>4286</v>
      </c>
      <c r="L188" s="53" t="s">
        <v>3907</v>
      </c>
    </row>
    <row r="189" spans="1:12" ht="15" customHeight="1" x14ac:dyDescent="0.35">
      <c r="A189" s="53" t="s">
        <v>1500</v>
      </c>
      <c r="B189" s="53" t="s">
        <v>1077</v>
      </c>
      <c r="C189" s="55">
        <v>63.9</v>
      </c>
      <c r="D189" s="55">
        <v>3834</v>
      </c>
      <c r="E189" s="53">
        <v>136</v>
      </c>
      <c r="F189" s="53">
        <v>17</v>
      </c>
      <c r="G189" s="55">
        <v>0.125</v>
      </c>
      <c r="H189" s="55">
        <v>28.1911764705882</v>
      </c>
      <c r="I189" s="55">
        <v>960</v>
      </c>
      <c r="J189" s="53" t="s">
        <v>4287</v>
      </c>
      <c r="K189" s="53" t="s">
        <v>4288</v>
      </c>
      <c r="L189" s="53" t="s">
        <v>3941</v>
      </c>
    </row>
    <row r="190" spans="1:12" ht="15" customHeight="1" x14ac:dyDescent="0.35">
      <c r="A190" s="53" t="s">
        <v>1503</v>
      </c>
      <c r="B190" s="53" t="s">
        <v>1295</v>
      </c>
      <c r="C190" s="55">
        <v>63.483333333333299</v>
      </c>
      <c r="D190" s="55">
        <v>3809</v>
      </c>
      <c r="E190" s="53">
        <v>48</v>
      </c>
      <c r="F190" s="53">
        <v>29</v>
      </c>
      <c r="G190" s="55">
        <v>0.60416666666666696</v>
      </c>
      <c r="H190" s="55">
        <v>79.3541666666667</v>
      </c>
      <c r="I190" s="55">
        <v>720</v>
      </c>
      <c r="J190" s="53" t="s">
        <v>4289</v>
      </c>
      <c r="K190" s="53" t="s">
        <v>4290</v>
      </c>
      <c r="L190" s="53" t="s">
        <v>3924</v>
      </c>
    </row>
    <row r="191" spans="1:12" ht="15" customHeight="1" x14ac:dyDescent="0.35">
      <c r="A191" s="53" t="s">
        <v>1506</v>
      </c>
      <c r="B191" s="53" t="s">
        <v>1118</v>
      </c>
      <c r="C191" s="55">
        <v>63.466666666666697</v>
      </c>
      <c r="D191" s="55">
        <v>3808</v>
      </c>
      <c r="E191" s="53">
        <v>36</v>
      </c>
      <c r="F191" s="53">
        <v>13</v>
      </c>
      <c r="G191" s="55">
        <v>0.36111111111111099</v>
      </c>
      <c r="H191" s="55">
        <v>105.777777777778</v>
      </c>
      <c r="I191" s="55">
        <v>1100</v>
      </c>
      <c r="J191" s="53" t="s">
        <v>4291</v>
      </c>
      <c r="K191" s="53" t="s">
        <v>4292</v>
      </c>
      <c r="L191" s="53" t="s">
        <v>3907</v>
      </c>
    </row>
    <row r="192" spans="1:12" ht="15" customHeight="1" x14ac:dyDescent="0.35">
      <c r="A192" s="53" t="s">
        <v>1509</v>
      </c>
      <c r="B192" s="53" t="s">
        <v>963</v>
      </c>
      <c r="C192" s="55">
        <v>63.183333333333302</v>
      </c>
      <c r="D192" s="55">
        <v>3791</v>
      </c>
      <c r="E192" s="53">
        <v>78</v>
      </c>
      <c r="F192" s="53">
        <v>22</v>
      </c>
      <c r="G192" s="55">
        <v>0.28205128205128199</v>
      </c>
      <c r="H192" s="55">
        <v>48.602564102564102</v>
      </c>
      <c r="I192" s="55">
        <v>1230</v>
      </c>
      <c r="J192" s="53" t="s">
        <v>4293</v>
      </c>
      <c r="K192" s="53" t="s">
        <v>4294</v>
      </c>
      <c r="L192" s="53" t="s">
        <v>3907</v>
      </c>
    </row>
    <row r="193" spans="1:12" ht="15" customHeight="1" x14ac:dyDescent="0.35">
      <c r="A193" s="53" t="s">
        <v>1512</v>
      </c>
      <c r="B193" s="53" t="s">
        <v>1136</v>
      </c>
      <c r="C193" s="55">
        <v>63.05</v>
      </c>
      <c r="D193" s="55">
        <v>3783</v>
      </c>
      <c r="E193" s="53">
        <v>47</v>
      </c>
      <c r="F193" s="53">
        <v>17</v>
      </c>
      <c r="G193" s="55">
        <v>0.36170212765957499</v>
      </c>
      <c r="H193" s="55">
        <v>80.489361702127695</v>
      </c>
      <c r="I193" s="55">
        <v>900</v>
      </c>
      <c r="J193" s="53" t="s">
        <v>4295</v>
      </c>
      <c r="K193" s="53" t="s">
        <v>4296</v>
      </c>
      <c r="L193" s="53" t="s">
        <v>3907</v>
      </c>
    </row>
    <row r="194" spans="1:12" ht="15" customHeight="1" x14ac:dyDescent="0.35">
      <c r="A194" s="53" t="s">
        <v>1515</v>
      </c>
      <c r="B194" s="53" t="s">
        <v>1136</v>
      </c>
      <c r="C194" s="55">
        <v>62.716666666666697</v>
      </c>
      <c r="D194" s="55">
        <v>3763</v>
      </c>
      <c r="E194" s="53">
        <v>63</v>
      </c>
      <c r="F194" s="53">
        <v>34</v>
      </c>
      <c r="G194" s="55">
        <v>0.53968253968253999</v>
      </c>
      <c r="H194" s="55">
        <v>59.730158730158699</v>
      </c>
      <c r="I194" s="55">
        <v>480</v>
      </c>
      <c r="J194" s="53" t="s">
        <v>4297</v>
      </c>
      <c r="K194" s="53" t="s">
        <v>4298</v>
      </c>
      <c r="L194" s="53" t="s">
        <v>3907</v>
      </c>
    </row>
    <row r="195" spans="1:12" ht="15" customHeight="1" x14ac:dyDescent="0.35">
      <c r="A195" s="53" t="s">
        <v>1518</v>
      </c>
      <c r="B195" s="53" t="s">
        <v>905</v>
      </c>
      <c r="C195" s="55">
        <v>62.316666666666698</v>
      </c>
      <c r="D195" s="55">
        <v>3739</v>
      </c>
      <c r="E195" s="53">
        <v>48</v>
      </c>
      <c r="F195" s="53">
        <v>20</v>
      </c>
      <c r="G195" s="55">
        <v>0.41666666666666702</v>
      </c>
      <c r="H195" s="55">
        <v>77.8958333333333</v>
      </c>
      <c r="I195" s="55">
        <v>520</v>
      </c>
      <c r="J195" s="53" t="s">
        <v>4299</v>
      </c>
      <c r="K195" s="53" t="s">
        <v>4300</v>
      </c>
      <c r="L195" s="53" t="s">
        <v>3907</v>
      </c>
    </row>
    <row r="196" spans="1:12" ht="15" customHeight="1" x14ac:dyDescent="0.35">
      <c r="A196" s="53" t="s">
        <v>1521</v>
      </c>
      <c r="B196" s="53" t="s">
        <v>963</v>
      </c>
      <c r="C196" s="55">
        <v>61.733333333333299</v>
      </c>
      <c r="D196" s="55">
        <v>3704</v>
      </c>
      <c r="E196" s="53">
        <v>138</v>
      </c>
      <c r="F196" s="53">
        <v>33</v>
      </c>
      <c r="G196" s="55">
        <v>0.23913043478260901</v>
      </c>
      <c r="H196" s="55">
        <v>26.840579710144901</v>
      </c>
      <c r="I196" s="55">
        <v>540</v>
      </c>
      <c r="J196" s="53" t="s">
        <v>4301</v>
      </c>
      <c r="K196" s="53" t="s">
        <v>4302</v>
      </c>
      <c r="L196" s="53" t="s">
        <v>3907</v>
      </c>
    </row>
    <row r="197" spans="1:12" ht="15" customHeight="1" x14ac:dyDescent="0.35">
      <c r="A197" s="53" t="s">
        <v>1524</v>
      </c>
      <c r="B197" s="53" t="s">
        <v>1122</v>
      </c>
      <c r="C197" s="55">
        <v>59.8333333333333</v>
      </c>
      <c r="D197" s="55">
        <v>3590</v>
      </c>
      <c r="E197" s="53">
        <v>101</v>
      </c>
      <c r="F197" s="53">
        <v>22</v>
      </c>
      <c r="G197" s="55">
        <v>0.21782178217821799</v>
      </c>
      <c r="H197" s="55">
        <v>35.5445544554455</v>
      </c>
      <c r="I197" s="55">
        <v>600</v>
      </c>
      <c r="J197" s="53" t="s">
        <v>4303</v>
      </c>
      <c r="K197" s="53" t="s">
        <v>4304</v>
      </c>
      <c r="L197" s="53" t="s">
        <v>3907</v>
      </c>
    </row>
    <row r="198" spans="1:12" ht="15" customHeight="1" x14ac:dyDescent="0.35">
      <c r="A198" s="53" t="s">
        <v>1527</v>
      </c>
      <c r="B198" s="53" t="s">
        <v>905</v>
      </c>
      <c r="C198" s="55">
        <v>59.75</v>
      </c>
      <c r="D198" s="55">
        <v>3585</v>
      </c>
      <c r="E198" s="53">
        <v>66</v>
      </c>
      <c r="F198" s="53">
        <v>35</v>
      </c>
      <c r="G198" s="55">
        <v>0.53030303030303005</v>
      </c>
      <c r="H198" s="55">
        <v>54.318181818181799</v>
      </c>
      <c r="I198" s="55">
        <v>420</v>
      </c>
      <c r="J198" s="53" t="s">
        <v>4305</v>
      </c>
      <c r="K198" s="53" t="s">
        <v>4306</v>
      </c>
      <c r="L198" s="53" t="s">
        <v>3907</v>
      </c>
    </row>
    <row r="199" spans="1:12" ht="15" customHeight="1" x14ac:dyDescent="0.35">
      <c r="A199" s="53" t="s">
        <v>1530</v>
      </c>
      <c r="B199" s="53" t="s">
        <v>996</v>
      </c>
      <c r="C199" s="55">
        <v>59.5</v>
      </c>
      <c r="D199" s="55">
        <v>3570</v>
      </c>
      <c r="E199" s="53">
        <v>56</v>
      </c>
      <c r="F199" s="53">
        <v>22</v>
      </c>
      <c r="G199" s="55">
        <v>0.39285714285714302</v>
      </c>
      <c r="H199" s="55">
        <v>63.75</v>
      </c>
      <c r="I199" s="55">
        <v>660</v>
      </c>
      <c r="J199" s="53" t="s">
        <v>4307</v>
      </c>
      <c r="K199" s="53" t="s">
        <v>4308</v>
      </c>
      <c r="L199" s="53" t="s">
        <v>3907</v>
      </c>
    </row>
    <row r="200" spans="1:12" ht="15" customHeight="1" x14ac:dyDescent="0.35">
      <c r="A200" s="53" t="s">
        <v>1533</v>
      </c>
      <c r="B200" s="53" t="s">
        <v>1299</v>
      </c>
      <c r="C200" s="55">
        <v>59.016666666666701</v>
      </c>
      <c r="D200" s="55">
        <v>3541</v>
      </c>
      <c r="E200" s="53">
        <v>58</v>
      </c>
      <c r="F200" s="53">
        <v>13</v>
      </c>
      <c r="G200" s="55">
        <v>0.22413793103448301</v>
      </c>
      <c r="H200" s="55">
        <v>61.051724137930997</v>
      </c>
      <c r="I200" s="55">
        <v>960</v>
      </c>
      <c r="J200" s="53" t="s">
        <v>4309</v>
      </c>
      <c r="K200" s="53" t="s">
        <v>4310</v>
      </c>
      <c r="L200" s="53" t="s">
        <v>3941</v>
      </c>
    </row>
    <row r="201" spans="1:12" ht="15" customHeight="1" x14ac:dyDescent="0.35">
      <c r="A201" s="53" t="s">
        <v>1536</v>
      </c>
      <c r="B201" s="53" t="s">
        <v>1009</v>
      </c>
      <c r="C201" s="55">
        <v>58.866666666666703</v>
      </c>
      <c r="D201" s="55">
        <v>3532</v>
      </c>
      <c r="E201" s="53">
        <v>172</v>
      </c>
      <c r="F201" s="53">
        <v>44</v>
      </c>
      <c r="G201" s="55">
        <v>0.25581395348837199</v>
      </c>
      <c r="H201" s="55">
        <v>20.5348837209302</v>
      </c>
      <c r="I201" s="55">
        <v>480</v>
      </c>
      <c r="J201" s="53" t="s">
        <v>4311</v>
      </c>
      <c r="K201" s="53" t="s">
        <v>4312</v>
      </c>
      <c r="L201" s="53" t="s">
        <v>3907</v>
      </c>
    </row>
    <row r="202" spans="1:12" ht="15" customHeight="1" x14ac:dyDescent="0.35">
      <c r="A202" s="53" t="s">
        <v>1539</v>
      </c>
      <c r="B202" s="53" t="s">
        <v>973</v>
      </c>
      <c r="C202" s="55">
        <v>58.75</v>
      </c>
      <c r="D202" s="55">
        <v>3525</v>
      </c>
      <c r="E202" s="53">
        <v>44</v>
      </c>
      <c r="F202" s="53">
        <v>20</v>
      </c>
      <c r="G202" s="55">
        <v>0.45454545454545497</v>
      </c>
      <c r="H202" s="55">
        <v>80.113636363636402</v>
      </c>
      <c r="I202" s="55">
        <v>1500</v>
      </c>
      <c r="J202" s="53" t="s">
        <v>4313</v>
      </c>
      <c r="K202" s="53" t="s">
        <v>4314</v>
      </c>
      <c r="L202" s="53" t="s">
        <v>3907</v>
      </c>
    </row>
    <row r="203" spans="1:12" ht="15" customHeight="1" x14ac:dyDescent="0.35">
      <c r="A203" s="53" t="s">
        <v>1542</v>
      </c>
      <c r="B203" s="53" t="s">
        <v>1136</v>
      </c>
      <c r="C203" s="55">
        <v>57.016666666666701</v>
      </c>
      <c r="D203" s="55">
        <v>3421</v>
      </c>
      <c r="E203" s="53">
        <v>27</v>
      </c>
      <c r="F203" s="53">
        <v>15</v>
      </c>
      <c r="G203" s="55">
        <v>0.55555555555555602</v>
      </c>
      <c r="H203" s="55">
        <v>126.70370370370399</v>
      </c>
      <c r="I203" s="55">
        <v>2270</v>
      </c>
      <c r="J203" s="53" t="s">
        <v>4315</v>
      </c>
      <c r="K203" s="53" t="s">
        <v>4316</v>
      </c>
      <c r="L203" s="53" t="s">
        <v>3924</v>
      </c>
    </row>
    <row r="204" spans="1:12" ht="15" customHeight="1" x14ac:dyDescent="0.35">
      <c r="A204" s="53" t="s">
        <v>1545</v>
      </c>
      <c r="B204" s="53" t="s">
        <v>1084</v>
      </c>
      <c r="C204" s="55">
        <v>56.733333333333299</v>
      </c>
      <c r="D204" s="55">
        <v>3404</v>
      </c>
      <c r="E204" s="53">
        <v>71</v>
      </c>
      <c r="F204" s="53">
        <v>19</v>
      </c>
      <c r="G204" s="55">
        <v>0.26760563380281699</v>
      </c>
      <c r="H204" s="55">
        <v>47.943661971830998</v>
      </c>
      <c r="I204" s="55">
        <v>700</v>
      </c>
      <c r="J204" s="53" t="s">
        <v>4317</v>
      </c>
      <c r="K204" s="53" t="s">
        <v>4318</v>
      </c>
      <c r="L204" s="53" t="s">
        <v>3941</v>
      </c>
    </row>
    <row r="205" spans="1:12" ht="15" customHeight="1" x14ac:dyDescent="0.35">
      <c r="A205" s="53" t="s">
        <v>1548</v>
      </c>
      <c r="B205" s="53" t="s">
        <v>1122</v>
      </c>
      <c r="C205" s="55">
        <v>56.516666666666701</v>
      </c>
      <c r="D205" s="55">
        <v>3391</v>
      </c>
      <c r="E205" s="53">
        <v>100</v>
      </c>
      <c r="F205" s="53">
        <v>28</v>
      </c>
      <c r="G205" s="55">
        <v>0.28000000000000003</v>
      </c>
      <c r="H205" s="55">
        <v>33.909999999999997</v>
      </c>
      <c r="I205" s="55">
        <v>519</v>
      </c>
      <c r="J205" s="53" t="s">
        <v>4319</v>
      </c>
      <c r="K205" s="53" t="s">
        <v>4320</v>
      </c>
      <c r="L205" s="53" t="s">
        <v>3907</v>
      </c>
    </row>
    <row r="206" spans="1:12" ht="15" customHeight="1" x14ac:dyDescent="0.35">
      <c r="A206" s="53" t="s">
        <v>1551</v>
      </c>
      <c r="B206" s="53" t="s">
        <v>1084</v>
      </c>
      <c r="C206" s="55">
        <v>56.433333333333302</v>
      </c>
      <c r="D206" s="55">
        <v>3386</v>
      </c>
      <c r="E206" s="53">
        <v>69</v>
      </c>
      <c r="F206" s="53">
        <v>15</v>
      </c>
      <c r="G206" s="55">
        <v>0.217391304347826</v>
      </c>
      <c r="H206" s="55">
        <v>49.072463768116002</v>
      </c>
      <c r="I206" s="55">
        <v>614</v>
      </c>
      <c r="J206" s="53" t="s">
        <v>4321</v>
      </c>
      <c r="K206" s="53" t="s">
        <v>4322</v>
      </c>
      <c r="L206" s="53" t="s">
        <v>3941</v>
      </c>
    </row>
    <row r="207" spans="1:12" ht="15" customHeight="1" x14ac:dyDescent="0.35">
      <c r="A207" s="53" t="s">
        <v>1554</v>
      </c>
      <c r="B207" s="53" t="s">
        <v>1077</v>
      </c>
      <c r="C207" s="55">
        <v>55.9166666666667</v>
      </c>
      <c r="D207" s="55">
        <v>3355</v>
      </c>
      <c r="E207" s="53">
        <v>175</v>
      </c>
      <c r="F207" s="53">
        <v>19</v>
      </c>
      <c r="G207" s="55">
        <v>0.108571428571429</v>
      </c>
      <c r="H207" s="55">
        <v>19.171428571428599</v>
      </c>
      <c r="I207" s="55">
        <v>480</v>
      </c>
      <c r="J207" s="53" t="s">
        <v>4323</v>
      </c>
      <c r="K207" s="53" t="s">
        <v>4324</v>
      </c>
      <c r="L207" s="53" t="s">
        <v>3941</v>
      </c>
    </row>
    <row r="208" spans="1:12" ht="15" customHeight="1" x14ac:dyDescent="0.35">
      <c r="A208" s="53" t="s">
        <v>1557</v>
      </c>
      <c r="B208" s="53" t="s">
        <v>1240</v>
      </c>
      <c r="C208" s="55">
        <v>55.3333333333333</v>
      </c>
      <c r="D208" s="55">
        <v>3320</v>
      </c>
      <c r="E208" s="53">
        <v>118</v>
      </c>
      <c r="F208" s="53">
        <v>29</v>
      </c>
      <c r="G208" s="55">
        <v>0.24576271186440701</v>
      </c>
      <c r="H208" s="55">
        <v>28.135593220339</v>
      </c>
      <c r="I208" s="55">
        <v>400</v>
      </c>
      <c r="J208" s="53" t="s">
        <v>4325</v>
      </c>
      <c r="K208" s="53" t="s">
        <v>4326</v>
      </c>
      <c r="L208" s="53" t="s">
        <v>3907</v>
      </c>
    </row>
    <row r="209" spans="1:12" ht="15" customHeight="1" x14ac:dyDescent="0.35">
      <c r="A209" s="53" t="s">
        <v>1560</v>
      </c>
      <c r="B209" s="53" t="s">
        <v>921</v>
      </c>
      <c r="C209" s="55">
        <v>55.266666666666701</v>
      </c>
      <c r="D209" s="55">
        <v>3316</v>
      </c>
      <c r="E209" s="53">
        <v>71</v>
      </c>
      <c r="F209" s="53">
        <v>25</v>
      </c>
      <c r="G209" s="55">
        <v>0.352112676056338</v>
      </c>
      <c r="H209" s="55">
        <v>46.704225352112701</v>
      </c>
      <c r="I209" s="55">
        <v>480</v>
      </c>
      <c r="J209" s="53" t="s">
        <v>4327</v>
      </c>
      <c r="K209" s="53" t="s">
        <v>4328</v>
      </c>
      <c r="L209" s="53" t="s">
        <v>3907</v>
      </c>
    </row>
    <row r="210" spans="1:12" ht="15" customHeight="1" x14ac:dyDescent="0.35">
      <c r="A210" s="53" t="s">
        <v>1563</v>
      </c>
      <c r="B210" s="53" t="s">
        <v>921</v>
      </c>
      <c r="C210" s="55">
        <v>54.933333333333302</v>
      </c>
      <c r="D210" s="55">
        <v>3296</v>
      </c>
      <c r="E210" s="53">
        <v>77</v>
      </c>
      <c r="F210" s="53">
        <v>28</v>
      </c>
      <c r="G210" s="55">
        <v>0.36363636363636398</v>
      </c>
      <c r="H210" s="55">
        <v>42.805194805194802</v>
      </c>
      <c r="I210" s="55">
        <v>480</v>
      </c>
      <c r="J210" s="53" t="s">
        <v>4329</v>
      </c>
      <c r="K210" s="53" t="s">
        <v>4330</v>
      </c>
      <c r="L210" s="53" t="s">
        <v>3907</v>
      </c>
    </row>
    <row r="211" spans="1:12" ht="15" customHeight="1" x14ac:dyDescent="0.35">
      <c r="A211" s="53" t="s">
        <v>1566</v>
      </c>
      <c r="B211" s="53" t="s">
        <v>946</v>
      </c>
      <c r="C211" s="55">
        <v>54.35</v>
      </c>
      <c r="D211" s="55">
        <v>3261</v>
      </c>
      <c r="E211" s="53">
        <v>48</v>
      </c>
      <c r="F211" s="53">
        <v>31</v>
      </c>
      <c r="G211" s="55">
        <v>0.64583333333333304</v>
      </c>
      <c r="H211" s="55">
        <v>67.9375</v>
      </c>
      <c r="I211" s="55">
        <v>426</v>
      </c>
      <c r="J211" s="53" t="s">
        <v>4331</v>
      </c>
      <c r="K211" s="53" t="s">
        <v>4332</v>
      </c>
      <c r="L211" s="53" t="s">
        <v>3907</v>
      </c>
    </row>
    <row r="212" spans="1:12" ht="15" customHeight="1" x14ac:dyDescent="0.35">
      <c r="A212" s="53" t="s">
        <v>1569</v>
      </c>
      <c r="B212" s="53" t="s">
        <v>973</v>
      </c>
      <c r="C212" s="55">
        <v>53.283333333333303</v>
      </c>
      <c r="D212" s="55">
        <v>3197</v>
      </c>
      <c r="E212" s="53">
        <v>53</v>
      </c>
      <c r="F212" s="53">
        <v>29</v>
      </c>
      <c r="G212" s="55">
        <v>0.54716981132075504</v>
      </c>
      <c r="H212" s="55">
        <v>60.320754716981099</v>
      </c>
      <c r="I212" s="55">
        <v>420</v>
      </c>
      <c r="J212" s="53" t="s">
        <v>4333</v>
      </c>
      <c r="K212" s="53" t="s">
        <v>4334</v>
      </c>
      <c r="L212" s="53" t="s">
        <v>3907</v>
      </c>
    </row>
    <row r="213" spans="1:12" ht="15" customHeight="1" x14ac:dyDescent="0.35">
      <c r="A213" s="53" t="s">
        <v>1572</v>
      </c>
      <c r="B213" s="53" t="s">
        <v>1122</v>
      </c>
      <c r="C213" s="55">
        <v>53.016666666666701</v>
      </c>
      <c r="D213" s="55">
        <v>3181</v>
      </c>
      <c r="E213" s="53">
        <v>132</v>
      </c>
      <c r="F213" s="53">
        <v>30</v>
      </c>
      <c r="G213" s="55">
        <v>0.22727272727272699</v>
      </c>
      <c r="H213" s="55">
        <v>24.098484848484901</v>
      </c>
      <c r="I213" s="55">
        <v>420</v>
      </c>
      <c r="J213" s="53" t="s">
        <v>4335</v>
      </c>
      <c r="K213" s="53" t="s">
        <v>4336</v>
      </c>
      <c r="L213" s="53" t="s">
        <v>3907</v>
      </c>
    </row>
    <row r="214" spans="1:12" ht="15" customHeight="1" x14ac:dyDescent="0.35">
      <c r="A214" s="53" t="s">
        <v>1575</v>
      </c>
      <c r="B214" s="53" t="s">
        <v>1077</v>
      </c>
      <c r="C214" s="55">
        <v>52.0833333333333</v>
      </c>
      <c r="D214" s="55">
        <v>3125</v>
      </c>
      <c r="E214" s="53">
        <v>151</v>
      </c>
      <c r="F214" s="53">
        <v>12</v>
      </c>
      <c r="G214" s="55">
        <v>7.9470198675496706E-2</v>
      </c>
      <c r="H214" s="55">
        <v>20.695364238410601</v>
      </c>
      <c r="I214" s="55">
        <v>1000</v>
      </c>
      <c r="J214" s="53" t="s">
        <v>4337</v>
      </c>
      <c r="K214" s="53" t="s">
        <v>4338</v>
      </c>
      <c r="L214" s="53" t="s">
        <v>3941</v>
      </c>
    </row>
    <row r="215" spans="1:12" ht="15" customHeight="1" x14ac:dyDescent="0.35">
      <c r="A215" s="53" t="s">
        <v>1578</v>
      </c>
      <c r="B215" s="53" t="s">
        <v>898</v>
      </c>
      <c r="C215" s="55">
        <v>51.95</v>
      </c>
      <c r="D215" s="55">
        <v>3117</v>
      </c>
      <c r="E215" s="53">
        <v>67</v>
      </c>
      <c r="F215" s="53">
        <v>31</v>
      </c>
      <c r="G215" s="55">
        <v>0.462686567164179</v>
      </c>
      <c r="H215" s="55">
        <v>46.522388059701498</v>
      </c>
      <c r="I215" s="55">
        <v>339</v>
      </c>
      <c r="J215" s="53" t="s">
        <v>4339</v>
      </c>
      <c r="K215" s="53" t="s">
        <v>4340</v>
      </c>
      <c r="L215" s="53" t="s">
        <v>3907</v>
      </c>
    </row>
    <row r="216" spans="1:12" ht="15" customHeight="1" x14ac:dyDescent="0.35">
      <c r="A216" s="53" t="s">
        <v>1581</v>
      </c>
      <c r="B216" s="53" t="s">
        <v>1582</v>
      </c>
      <c r="C216" s="55">
        <v>51.133333333333297</v>
      </c>
      <c r="D216" s="55">
        <v>3068</v>
      </c>
      <c r="E216" s="53">
        <v>62</v>
      </c>
      <c r="F216" s="53">
        <v>22</v>
      </c>
      <c r="G216" s="55">
        <v>0.35483870967741898</v>
      </c>
      <c r="H216" s="55">
        <v>49.4838709677419</v>
      </c>
      <c r="I216" s="55">
        <v>480</v>
      </c>
      <c r="J216" s="53" t="s">
        <v>4341</v>
      </c>
      <c r="K216" s="53" t="s">
        <v>4342</v>
      </c>
      <c r="L216" s="53" t="s">
        <v>3907</v>
      </c>
    </row>
    <row r="217" spans="1:12" ht="15" customHeight="1" x14ac:dyDescent="0.35">
      <c r="A217" s="53" t="s">
        <v>1585</v>
      </c>
      <c r="B217" s="53" t="s">
        <v>1070</v>
      </c>
      <c r="C217" s="55">
        <v>50.816666666666698</v>
      </c>
      <c r="D217" s="55">
        <v>3049</v>
      </c>
      <c r="E217" s="53">
        <v>79</v>
      </c>
      <c r="F217" s="53">
        <v>33</v>
      </c>
      <c r="G217" s="55">
        <v>0.417721518987342</v>
      </c>
      <c r="H217" s="55">
        <v>38.5949367088608</v>
      </c>
      <c r="I217" s="55">
        <v>450</v>
      </c>
      <c r="J217" s="53" t="s">
        <v>4343</v>
      </c>
      <c r="K217" s="53" t="s">
        <v>4344</v>
      </c>
      <c r="L217" s="53" t="s">
        <v>3907</v>
      </c>
    </row>
    <row r="218" spans="1:12" ht="15" customHeight="1" x14ac:dyDescent="0.35">
      <c r="A218" s="53" t="s">
        <v>1588</v>
      </c>
      <c r="B218" s="53" t="s">
        <v>1136</v>
      </c>
      <c r="C218" s="55">
        <v>50.35</v>
      </c>
      <c r="D218" s="55">
        <v>3021</v>
      </c>
      <c r="E218" s="53">
        <v>64</v>
      </c>
      <c r="F218" s="53">
        <v>24</v>
      </c>
      <c r="G218" s="55">
        <v>0.375</v>
      </c>
      <c r="H218" s="55">
        <v>47.203125</v>
      </c>
      <c r="I218" s="55">
        <v>460</v>
      </c>
      <c r="J218" s="53" t="s">
        <v>4345</v>
      </c>
      <c r="K218" s="53" t="s">
        <v>4346</v>
      </c>
      <c r="L218" s="53" t="s">
        <v>3907</v>
      </c>
    </row>
    <row r="219" spans="1:12" ht="15" customHeight="1" x14ac:dyDescent="0.35">
      <c r="A219" s="53" t="s">
        <v>1591</v>
      </c>
      <c r="B219" s="53" t="s">
        <v>929</v>
      </c>
      <c r="C219" s="55">
        <v>49.5</v>
      </c>
      <c r="D219" s="55">
        <v>2970</v>
      </c>
      <c r="E219" s="53">
        <v>8</v>
      </c>
      <c r="F219" s="53">
        <v>6</v>
      </c>
      <c r="G219" s="55">
        <v>0.75</v>
      </c>
      <c r="H219" s="55">
        <v>371.25</v>
      </c>
      <c r="I219" s="55">
        <v>1740</v>
      </c>
      <c r="J219" s="53" t="s">
        <v>4347</v>
      </c>
      <c r="K219" s="53" t="s">
        <v>4348</v>
      </c>
      <c r="L219" s="53" t="s">
        <v>4349</v>
      </c>
    </row>
    <row r="220" spans="1:12" ht="15" customHeight="1" x14ac:dyDescent="0.35">
      <c r="A220" s="53" t="s">
        <v>1594</v>
      </c>
      <c r="B220" s="53" t="s">
        <v>909</v>
      </c>
      <c r="C220" s="55">
        <v>48.9166666666667</v>
      </c>
      <c r="D220" s="55">
        <v>2935</v>
      </c>
      <c r="E220" s="53">
        <v>43</v>
      </c>
      <c r="F220" s="53">
        <v>27</v>
      </c>
      <c r="G220" s="55">
        <v>0.62790697674418605</v>
      </c>
      <c r="H220" s="55">
        <v>68.255813953488399</v>
      </c>
      <c r="I220" s="55">
        <v>460</v>
      </c>
      <c r="J220" s="53" t="s">
        <v>4350</v>
      </c>
      <c r="K220" s="53" t="s">
        <v>4351</v>
      </c>
      <c r="L220" s="53" t="s">
        <v>3907</v>
      </c>
    </row>
    <row r="221" spans="1:12" ht="15" customHeight="1" x14ac:dyDescent="0.35">
      <c r="A221" s="53" t="s">
        <v>1597</v>
      </c>
      <c r="B221" s="53" t="s">
        <v>1101</v>
      </c>
      <c r="C221" s="55">
        <v>48.533333333333303</v>
      </c>
      <c r="D221" s="55">
        <v>2912</v>
      </c>
      <c r="E221" s="53">
        <v>70</v>
      </c>
      <c r="F221" s="53">
        <v>23</v>
      </c>
      <c r="G221" s="55">
        <v>0.32857142857142901</v>
      </c>
      <c r="H221" s="55">
        <v>41.6</v>
      </c>
      <c r="I221" s="55">
        <v>399</v>
      </c>
      <c r="J221" s="53" t="s">
        <v>4352</v>
      </c>
      <c r="K221" s="53" t="s">
        <v>4353</v>
      </c>
      <c r="L221" s="53" t="s">
        <v>3907</v>
      </c>
    </row>
    <row r="222" spans="1:12" ht="15" customHeight="1" x14ac:dyDescent="0.35">
      <c r="A222" s="53" t="s">
        <v>1600</v>
      </c>
      <c r="B222" s="53" t="s">
        <v>1122</v>
      </c>
      <c r="C222" s="55">
        <v>47.6666666666667</v>
      </c>
      <c r="D222" s="55">
        <v>2860</v>
      </c>
      <c r="E222" s="53">
        <v>80</v>
      </c>
      <c r="F222" s="53">
        <v>26</v>
      </c>
      <c r="G222" s="55">
        <v>0.32500000000000001</v>
      </c>
      <c r="H222" s="55">
        <v>35.75</v>
      </c>
      <c r="I222" s="55">
        <v>480</v>
      </c>
      <c r="J222" s="53" t="s">
        <v>4354</v>
      </c>
      <c r="K222" s="53" t="s">
        <v>4355</v>
      </c>
      <c r="L222" s="53" t="s">
        <v>3907</v>
      </c>
    </row>
    <row r="223" spans="1:12" ht="15" customHeight="1" x14ac:dyDescent="0.35">
      <c r="A223" s="53" t="s">
        <v>1603</v>
      </c>
      <c r="B223" s="53" t="s">
        <v>913</v>
      </c>
      <c r="C223" s="55">
        <v>47.35</v>
      </c>
      <c r="D223" s="55">
        <v>2841</v>
      </c>
      <c r="E223" s="53">
        <v>64</v>
      </c>
      <c r="F223" s="53">
        <v>34</v>
      </c>
      <c r="G223" s="55">
        <v>0.53125</v>
      </c>
      <c r="H223" s="55">
        <v>44.390625</v>
      </c>
      <c r="I223" s="55">
        <v>350</v>
      </c>
      <c r="J223" s="53" t="s">
        <v>4356</v>
      </c>
      <c r="K223" s="53" t="s">
        <v>4357</v>
      </c>
      <c r="L223" s="53" t="s">
        <v>3907</v>
      </c>
    </row>
    <row r="224" spans="1:12" ht="15" customHeight="1" x14ac:dyDescent="0.35">
      <c r="A224" s="53" t="s">
        <v>1606</v>
      </c>
      <c r="B224" s="53" t="s">
        <v>1077</v>
      </c>
      <c r="C224" s="55">
        <v>46.6666666666667</v>
      </c>
      <c r="D224" s="55">
        <v>2800</v>
      </c>
      <c r="E224" s="53">
        <v>109</v>
      </c>
      <c r="F224" s="53">
        <v>12</v>
      </c>
      <c r="G224" s="55">
        <v>0.11009174311926601</v>
      </c>
      <c r="H224" s="55">
        <v>25.688073394495401</v>
      </c>
      <c r="I224" s="55">
        <v>720</v>
      </c>
      <c r="J224" s="53" t="s">
        <v>4358</v>
      </c>
      <c r="K224" s="53" t="s">
        <v>4359</v>
      </c>
      <c r="L224" s="53" t="s">
        <v>4360</v>
      </c>
    </row>
    <row r="225" spans="1:12" ht="15" customHeight="1" x14ac:dyDescent="0.35">
      <c r="A225" s="53" t="s">
        <v>1609</v>
      </c>
      <c r="B225" s="53" t="s">
        <v>1240</v>
      </c>
      <c r="C225" s="55">
        <v>46.5</v>
      </c>
      <c r="D225" s="55">
        <v>2790</v>
      </c>
      <c r="E225" s="53">
        <v>58</v>
      </c>
      <c r="F225" s="53">
        <v>18</v>
      </c>
      <c r="G225" s="55">
        <v>0.31034482758620702</v>
      </c>
      <c r="H225" s="55">
        <v>48.1034482758621</v>
      </c>
      <c r="I225" s="55">
        <v>1200</v>
      </c>
      <c r="J225" s="53" t="s">
        <v>4361</v>
      </c>
      <c r="K225" s="53" t="s">
        <v>4362</v>
      </c>
      <c r="L225" s="53" t="s">
        <v>3907</v>
      </c>
    </row>
    <row r="226" spans="1:12" ht="15" customHeight="1" x14ac:dyDescent="0.35">
      <c r="A226" s="53" t="s">
        <v>1612</v>
      </c>
      <c r="B226" s="53" t="s">
        <v>1240</v>
      </c>
      <c r="C226" s="55">
        <v>46.45</v>
      </c>
      <c r="D226" s="55">
        <v>2787</v>
      </c>
      <c r="E226" s="53">
        <v>62</v>
      </c>
      <c r="F226" s="53">
        <v>19</v>
      </c>
      <c r="G226" s="55">
        <v>0.30645161290322598</v>
      </c>
      <c r="H226" s="55">
        <v>44.951612903225801</v>
      </c>
      <c r="I226" s="55">
        <v>960</v>
      </c>
      <c r="J226" s="53" t="s">
        <v>4363</v>
      </c>
      <c r="K226" s="53" t="s">
        <v>4364</v>
      </c>
      <c r="L226" s="53" t="s">
        <v>3907</v>
      </c>
    </row>
    <row r="227" spans="1:12" ht="15" customHeight="1" x14ac:dyDescent="0.35">
      <c r="A227" s="53" t="s">
        <v>1615</v>
      </c>
      <c r="B227" s="53" t="s">
        <v>1157</v>
      </c>
      <c r="C227" s="55">
        <v>46.3333333333333</v>
      </c>
      <c r="D227" s="55">
        <v>2780</v>
      </c>
      <c r="E227" s="53">
        <v>53</v>
      </c>
      <c r="F227" s="53">
        <v>23</v>
      </c>
      <c r="G227" s="55">
        <v>0.43396226415094302</v>
      </c>
      <c r="H227" s="55">
        <v>52.452830188679201</v>
      </c>
      <c r="I227" s="55">
        <v>600</v>
      </c>
      <c r="J227" s="53" t="s">
        <v>4365</v>
      </c>
      <c r="K227" s="53" t="s">
        <v>4366</v>
      </c>
      <c r="L227" s="53" t="s">
        <v>4165</v>
      </c>
    </row>
    <row r="228" spans="1:12" ht="15" customHeight="1" x14ac:dyDescent="0.35">
      <c r="A228" s="53" t="s">
        <v>1618</v>
      </c>
      <c r="B228" s="53" t="s">
        <v>1299</v>
      </c>
      <c r="C228" s="55">
        <v>46.116666666666703</v>
      </c>
      <c r="D228" s="55">
        <v>2767</v>
      </c>
      <c r="E228" s="53">
        <v>46</v>
      </c>
      <c r="F228" s="53">
        <v>16</v>
      </c>
      <c r="G228" s="55">
        <v>0.34782608695652201</v>
      </c>
      <c r="H228" s="55">
        <v>60.152173913043498</v>
      </c>
      <c r="I228" s="55">
        <v>1109</v>
      </c>
      <c r="J228" s="53" t="s">
        <v>4367</v>
      </c>
      <c r="K228" s="53" t="s">
        <v>4368</v>
      </c>
      <c r="L228" s="53" t="s">
        <v>3941</v>
      </c>
    </row>
    <row r="229" spans="1:12" ht="15" customHeight="1" x14ac:dyDescent="0.35">
      <c r="A229" s="53" t="s">
        <v>1621</v>
      </c>
      <c r="B229" s="53" t="s">
        <v>946</v>
      </c>
      <c r="C229" s="55">
        <v>45.933333333333302</v>
      </c>
      <c r="D229" s="55">
        <v>2756</v>
      </c>
      <c r="E229" s="53">
        <v>29</v>
      </c>
      <c r="F229" s="53">
        <v>16</v>
      </c>
      <c r="G229" s="55">
        <v>0.55172413793103503</v>
      </c>
      <c r="H229" s="55">
        <v>95.034482758620697</v>
      </c>
      <c r="I229" s="55">
        <v>1258</v>
      </c>
      <c r="J229" s="53" t="s">
        <v>4369</v>
      </c>
      <c r="K229" s="53" t="s">
        <v>4370</v>
      </c>
      <c r="L229" s="53" t="s">
        <v>3907</v>
      </c>
    </row>
    <row r="230" spans="1:12" ht="15" customHeight="1" x14ac:dyDescent="0.35">
      <c r="A230" s="53" t="s">
        <v>1624</v>
      </c>
      <c r="B230" s="53" t="s">
        <v>905</v>
      </c>
      <c r="C230" s="55">
        <v>45.233333333333299</v>
      </c>
      <c r="D230" s="55">
        <v>2714</v>
      </c>
      <c r="E230" s="53">
        <v>65</v>
      </c>
      <c r="F230" s="53">
        <v>33</v>
      </c>
      <c r="G230" s="55">
        <v>0.507692307692308</v>
      </c>
      <c r="H230" s="55">
        <v>41.753846153846197</v>
      </c>
      <c r="I230" s="55">
        <v>480</v>
      </c>
      <c r="J230" s="53" t="s">
        <v>4371</v>
      </c>
      <c r="K230" s="53" t="s">
        <v>4372</v>
      </c>
      <c r="L230" s="53" t="s">
        <v>3907</v>
      </c>
    </row>
    <row r="231" spans="1:12" ht="15" customHeight="1" x14ac:dyDescent="0.35">
      <c r="A231" s="53" t="s">
        <v>1627</v>
      </c>
      <c r="B231" s="53" t="s">
        <v>946</v>
      </c>
      <c r="C231" s="55">
        <v>45.066666666666698</v>
      </c>
      <c r="D231" s="55">
        <v>2704</v>
      </c>
      <c r="E231" s="53">
        <v>47</v>
      </c>
      <c r="F231" s="53">
        <v>32</v>
      </c>
      <c r="G231" s="55">
        <v>0.680851063829787</v>
      </c>
      <c r="H231" s="55">
        <v>57.531914893617</v>
      </c>
      <c r="I231" s="55">
        <v>240</v>
      </c>
      <c r="J231" s="53" t="s">
        <v>4373</v>
      </c>
      <c r="K231" s="53" t="s">
        <v>4374</v>
      </c>
      <c r="L231" s="53" t="s">
        <v>3907</v>
      </c>
    </row>
    <row r="232" spans="1:12" ht="15" customHeight="1" x14ac:dyDescent="0.35">
      <c r="A232" s="53" t="s">
        <v>1630</v>
      </c>
      <c r="B232" s="53" t="s">
        <v>1077</v>
      </c>
      <c r="C232" s="55">
        <v>44.9166666666667</v>
      </c>
      <c r="D232" s="55">
        <v>2695</v>
      </c>
      <c r="E232" s="53">
        <v>83</v>
      </c>
      <c r="F232" s="53">
        <v>9</v>
      </c>
      <c r="G232" s="55">
        <v>0.108433734939759</v>
      </c>
      <c r="H232" s="55">
        <v>32.469879518072297</v>
      </c>
      <c r="I232" s="55">
        <v>1920</v>
      </c>
      <c r="J232" s="53" t="s">
        <v>4375</v>
      </c>
      <c r="K232" s="53" t="s">
        <v>4376</v>
      </c>
      <c r="L232" s="53" t="s">
        <v>4360</v>
      </c>
    </row>
    <row r="233" spans="1:12" ht="15" customHeight="1" x14ac:dyDescent="0.35">
      <c r="A233" s="53" t="s">
        <v>1633</v>
      </c>
      <c r="B233" s="53" t="s">
        <v>1240</v>
      </c>
      <c r="C233" s="55">
        <v>44.866666666666703</v>
      </c>
      <c r="D233" s="55">
        <v>2692</v>
      </c>
      <c r="E233" s="53">
        <v>84</v>
      </c>
      <c r="F233" s="53">
        <v>31</v>
      </c>
      <c r="G233" s="55">
        <v>0.36904761904761901</v>
      </c>
      <c r="H233" s="55">
        <v>32.047619047619101</v>
      </c>
      <c r="I233" s="55">
        <v>360</v>
      </c>
      <c r="J233" s="53" t="s">
        <v>4377</v>
      </c>
      <c r="K233" s="53" t="s">
        <v>4378</v>
      </c>
      <c r="L233" s="53" t="s">
        <v>3907</v>
      </c>
    </row>
    <row r="234" spans="1:12" ht="15" customHeight="1" x14ac:dyDescent="0.35">
      <c r="A234" s="53" t="s">
        <v>1636</v>
      </c>
      <c r="B234" s="53" t="s">
        <v>1136</v>
      </c>
      <c r="C234" s="55">
        <v>44.566666666666698</v>
      </c>
      <c r="D234" s="55">
        <v>2674</v>
      </c>
      <c r="E234" s="53">
        <v>47</v>
      </c>
      <c r="F234" s="53">
        <v>25</v>
      </c>
      <c r="G234" s="55">
        <v>0.53191489361702105</v>
      </c>
      <c r="H234" s="55">
        <v>56.893617021276597</v>
      </c>
      <c r="I234" s="55">
        <v>550</v>
      </c>
      <c r="J234" s="53" t="s">
        <v>4379</v>
      </c>
      <c r="K234" s="53" t="s">
        <v>4380</v>
      </c>
      <c r="L234" s="53" t="s">
        <v>3907</v>
      </c>
    </row>
    <row r="235" spans="1:12" ht="15" customHeight="1" x14ac:dyDescent="0.35">
      <c r="A235" s="53" t="s">
        <v>1639</v>
      </c>
      <c r="B235" s="53" t="s">
        <v>921</v>
      </c>
      <c r="C235" s="55">
        <v>44.4</v>
      </c>
      <c r="D235" s="55">
        <v>2664</v>
      </c>
      <c r="E235" s="53">
        <v>23</v>
      </c>
      <c r="F235" s="53">
        <v>12</v>
      </c>
      <c r="G235" s="55">
        <v>0.52173913043478304</v>
      </c>
      <c r="H235" s="55">
        <v>115.826086956522</v>
      </c>
      <c r="I235" s="55">
        <v>960</v>
      </c>
      <c r="J235" s="53" t="s">
        <v>4381</v>
      </c>
      <c r="K235" s="53" t="s">
        <v>4382</v>
      </c>
      <c r="L235" s="53" t="s">
        <v>4256</v>
      </c>
    </row>
    <row r="236" spans="1:12" ht="15" customHeight="1" x14ac:dyDescent="0.35">
      <c r="A236" s="53" t="s">
        <v>1642</v>
      </c>
      <c r="B236" s="53" t="s">
        <v>1240</v>
      </c>
      <c r="C236" s="55">
        <v>44.15</v>
      </c>
      <c r="D236" s="55">
        <v>2649</v>
      </c>
      <c r="E236" s="53">
        <v>63</v>
      </c>
      <c r="F236" s="53">
        <v>16</v>
      </c>
      <c r="G236" s="55">
        <v>0.25396825396825401</v>
      </c>
      <c r="H236" s="55">
        <v>42.047619047619101</v>
      </c>
      <c r="I236" s="55">
        <v>720</v>
      </c>
      <c r="J236" s="53" t="s">
        <v>4383</v>
      </c>
      <c r="K236" s="53" t="s">
        <v>4384</v>
      </c>
      <c r="L236" s="53" t="s">
        <v>3907</v>
      </c>
    </row>
    <row r="237" spans="1:12" ht="15" customHeight="1" x14ac:dyDescent="0.35">
      <c r="A237" s="53" t="s">
        <v>1645</v>
      </c>
      <c r="B237" s="53" t="s">
        <v>1646</v>
      </c>
      <c r="C237" s="55">
        <v>43.966666666666697</v>
      </c>
      <c r="D237" s="55">
        <v>2638</v>
      </c>
      <c r="E237" s="53">
        <v>24</v>
      </c>
      <c r="F237" s="53">
        <v>12</v>
      </c>
      <c r="G237" s="55">
        <v>0.5</v>
      </c>
      <c r="H237" s="55">
        <v>109.916666666667</v>
      </c>
      <c r="I237" s="55">
        <v>512</v>
      </c>
      <c r="J237" s="53" t="s">
        <v>4385</v>
      </c>
      <c r="K237" s="53" t="s">
        <v>4386</v>
      </c>
      <c r="L237" s="53" t="s">
        <v>4253</v>
      </c>
    </row>
    <row r="238" spans="1:12" ht="15" customHeight="1" x14ac:dyDescent="0.35">
      <c r="A238" s="53" t="s">
        <v>1649</v>
      </c>
      <c r="B238" s="53" t="s">
        <v>1070</v>
      </c>
      <c r="C238" s="55">
        <v>43.65</v>
      </c>
      <c r="D238" s="55">
        <v>2619</v>
      </c>
      <c r="E238" s="53">
        <v>64</v>
      </c>
      <c r="F238" s="53">
        <v>25</v>
      </c>
      <c r="G238" s="55">
        <v>0.390625</v>
      </c>
      <c r="H238" s="55">
        <v>40.921875</v>
      </c>
      <c r="I238" s="55">
        <v>402</v>
      </c>
      <c r="J238" s="53" t="s">
        <v>4387</v>
      </c>
      <c r="K238" s="53" t="s">
        <v>4388</v>
      </c>
      <c r="L238" s="53" t="s">
        <v>3907</v>
      </c>
    </row>
    <row r="239" spans="1:12" ht="15" customHeight="1" x14ac:dyDescent="0.35">
      <c r="A239" s="53" t="s">
        <v>1652</v>
      </c>
      <c r="B239" s="53" t="s">
        <v>946</v>
      </c>
      <c r="C239" s="55">
        <v>43.5833333333333</v>
      </c>
      <c r="D239" s="55">
        <v>2615</v>
      </c>
      <c r="E239" s="53">
        <v>43</v>
      </c>
      <c r="F239" s="53">
        <v>28</v>
      </c>
      <c r="G239" s="55">
        <v>0.65116279069767502</v>
      </c>
      <c r="H239" s="55">
        <v>60.8139534883721</v>
      </c>
      <c r="I239" s="55">
        <v>600</v>
      </c>
      <c r="J239" s="53" t="s">
        <v>4389</v>
      </c>
      <c r="K239" s="53" t="s">
        <v>4390</v>
      </c>
      <c r="L239" s="53" t="s">
        <v>3907</v>
      </c>
    </row>
    <row r="240" spans="1:12" ht="15" customHeight="1" x14ac:dyDescent="0.35">
      <c r="A240" s="53" t="s">
        <v>1655</v>
      </c>
      <c r="B240" s="53" t="s">
        <v>1077</v>
      </c>
      <c r="C240" s="55">
        <v>43.5</v>
      </c>
      <c r="D240" s="55">
        <v>2610</v>
      </c>
      <c r="E240" s="53">
        <v>110</v>
      </c>
      <c r="F240" s="53">
        <v>11</v>
      </c>
      <c r="G240" s="55">
        <v>0.1</v>
      </c>
      <c r="H240" s="55">
        <v>23.727272727272702</v>
      </c>
      <c r="I240" s="55">
        <v>600</v>
      </c>
      <c r="J240" s="53" t="s">
        <v>4391</v>
      </c>
      <c r="K240" s="53" t="s">
        <v>4392</v>
      </c>
      <c r="L240" s="53" t="s">
        <v>3941</v>
      </c>
    </row>
    <row r="241" spans="1:12" ht="15" customHeight="1" x14ac:dyDescent="0.35">
      <c r="A241" s="53" t="s">
        <v>1658</v>
      </c>
      <c r="B241" s="53" t="s">
        <v>1659</v>
      </c>
      <c r="C241" s="55">
        <v>43.483333333333299</v>
      </c>
      <c r="D241" s="55">
        <v>2609</v>
      </c>
      <c r="E241" s="53">
        <v>22</v>
      </c>
      <c r="F241" s="53">
        <v>13</v>
      </c>
      <c r="G241" s="55">
        <v>0.59090909090909105</v>
      </c>
      <c r="H241" s="55">
        <v>118.59090909090899</v>
      </c>
      <c r="I241" s="55">
        <v>1121</v>
      </c>
      <c r="J241" s="53" t="s">
        <v>4393</v>
      </c>
      <c r="K241" s="53" t="s">
        <v>4394</v>
      </c>
      <c r="L241" s="53" t="s">
        <v>4253</v>
      </c>
    </row>
    <row r="242" spans="1:12" ht="15" customHeight="1" x14ac:dyDescent="0.35">
      <c r="A242" s="53" t="s">
        <v>1662</v>
      </c>
      <c r="B242" s="53" t="s">
        <v>1157</v>
      </c>
      <c r="C242" s="55">
        <v>43.3333333333333</v>
      </c>
      <c r="D242" s="55">
        <v>2600</v>
      </c>
      <c r="E242" s="53">
        <v>56</v>
      </c>
      <c r="F242" s="53">
        <v>23</v>
      </c>
      <c r="G242" s="55">
        <v>0.41071428571428598</v>
      </c>
      <c r="H242" s="55">
        <v>46.428571428571402</v>
      </c>
      <c r="I242" s="55">
        <v>550</v>
      </c>
      <c r="J242" s="53" t="s">
        <v>4395</v>
      </c>
      <c r="K242" s="53" t="s">
        <v>4396</v>
      </c>
      <c r="L242" s="53" t="s">
        <v>4165</v>
      </c>
    </row>
    <row r="243" spans="1:12" ht="15" customHeight="1" x14ac:dyDescent="0.35">
      <c r="A243" s="53" t="s">
        <v>1665</v>
      </c>
      <c r="B243" s="53" t="s">
        <v>1240</v>
      </c>
      <c r="C243" s="55">
        <v>43.233333333333299</v>
      </c>
      <c r="D243" s="55">
        <v>2594</v>
      </c>
      <c r="E243" s="53">
        <v>115</v>
      </c>
      <c r="F243" s="53">
        <v>35</v>
      </c>
      <c r="G243" s="55">
        <v>0.30434782608695699</v>
      </c>
      <c r="H243" s="55">
        <v>22.5565217391304</v>
      </c>
      <c r="I243" s="55">
        <v>480</v>
      </c>
      <c r="J243" s="53" t="s">
        <v>4397</v>
      </c>
      <c r="K243" s="53" t="s">
        <v>4398</v>
      </c>
      <c r="L243" s="53" t="s">
        <v>3907</v>
      </c>
    </row>
    <row r="244" spans="1:12" ht="15" customHeight="1" x14ac:dyDescent="0.35">
      <c r="A244" s="53" t="s">
        <v>1668</v>
      </c>
      <c r="B244" s="53" t="s">
        <v>959</v>
      </c>
      <c r="C244" s="55">
        <v>42.716666666666697</v>
      </c>
      <c r="D244" s="55">
        <v>2563</v>
      </c>
      <c r="E244" s="53">
        <v>61</v>
      </c>
      <c r="F244" s="53">
        <v>17</v>
      </c>
      <c r="G244" s="55">
        <v>0.27868852459016402</v>
      </c>
      <c r="H244" s="55">
        <v>42.016393442622999</v>
      </c>
      <c r="I244" s="55">
        <v>400</v>
      </c>
      <c r="J244" s="53" t="s">
        <v>4399</v>
      </c>
      <c r="K244" s="53" t="s">
        <v>4400</v>
      </c>
      <c r="L244" s="53" t="s">
        <v>4052</v>
      </c>
    </row>
    <row r="245" spans="1:12" ht="15" customHeight="1" x14ac:dyDescent="0.35">
      <c r="A245" s="53" t="s">
        <v>1671</v>
      </c>
      <c r="B245" s="53" t="s">
        <v>1136</v>
      </c>
      <c r="C245" s="55">
        <v>42.533333333333303</v>
      </c>
      <c r="D245" s="55">
        <v>2552</v>
      </c>
      <c r="E245" s="53">
        <v>36</v>
      </c>
      <c r="F245" s="53">
        <v>12</v>
      </c>
      <c r="G245" s="55">
        <v>0.33333333333333298</v>
      </c>
      <c r="H245" s="55">
        <v>70.8888888888889</v>
      </c>
      <c r="I245" s="55">
        <v>540</v>
      </c>
      <c r="J245" s="53" t="s">
        <v>4401</v>
      </c>
      <c r="K245" s="53" t="s">
        <v>4402</v>
      </c>
      <c r="L245" s="53" t="s">
        <v>3907</v>
      </c>
    </row>
    <row r="246" spans="1:12" ht="15" customHeight="1" x14ac:dyDescent="0.35">
      <c r="A246" s="53" t="s">
        <v>1674</v>
      </c>
      <c r="B246" s="53" t="s">
        <v>1009</v>
      </c>
      <c r="C246" s="55">
        <v>42.5</v>
      </c>
      <c r="D246" s="55">
        <v>2550</v>
      </c>
      <c r="E246" s="53">
        <v>120</v>
      </c>
      <c r="F246" s="53">
        <v>38</v>
      </c>
      <c r="G246" s="55">
        <v>0.31666666666666698</v>
      </c>
      <c r="H246" s="55">
        <v>21.25</v>
      </c>
      <c r="I246" s="55">
        <v>360</v>
      </c>
      <c r="J246" s="53" t="s">
        <v>4403</v>
      </c>
      <c r="K246" s="53" t="s">
        <v>4404</v>
      </c>
      <c r="L246" s="53" t="s">
        <v>3907</v>
      </c>
    </row>
    <row r="247" spans="1:12" ht="15" customHeight="1" x14ac:dyDescent="0.35">
      <c r="A247" s="53" t="s">
        <v>1677</v>
      </c>
      <c r="B247" s="53" t="s">
        <v>1077</v>
      </c>
      <c r="C247" s="55">
        <v>42.3333333333333</v>
      </c>
      <c r="D247" s="55">
        <v>2540</v>
      </c>
      <c r="E247" s="53">
        <v>66</v>
      </c>
      <c r="F247" s="53">
        <v>9</v>
      </c>
      <c r="G247" s="55">
        <v>0.13636363636363599</v>
      </c>
      <c r="H247" s="55">
        <v>38.484848484848499</v>
      </c>
      <c r="I247" s="55">
        <v>860</v>
      </c>
      <c r="J247" s="53" t="s">
        <v>4405</v>
      </c>
      <c r="K247" s="53" t="s">
        <v>4406</v>
      </c>
      <c r="L247" s="53" t="s">
        <v>4360</v>
      </c>
    </row>
    <row r="248" spans="1:12" ht="15" customHeight="1" x14ac:dyDescent="0.35">
      <c r="A248" s="53" t="s">
        <v>1680</v>
      </c>
      <c r="B248" s="53" t="s">
        <v>1122</v>
      </c>
      <c r="C248" s="55">
        <v>42.0833333333333</v>
      </c>
      <c r="D248" s="55">
        <v>2525</v>
      </c>
      <c r="E248" s="53">
        <v>21</v>
      </c>
      <c r="F248" s="53">
        <v>10</v>
      </c>
      <c r="G248" s="55">
        <v>0.476190476190476</v>
      </c>
      <c r="H248" s="55">
        <v>120.238095238095</v>
      </c>
      <c r="I248" s="55">
        <v>1290</v>
      </c>
      <c r="J248" s="53" t="s">
        <v>4407</v>
      </c>
      <c r="K248" s="53" t="s">
        <v>4408</v>
      </c>
      <c r="L248" s="53" t="s">
        <v>3941</v>
      </c>
    </row>
    <row r="249" spans="1:12" ht="15" customHeight="1" x14ac:dyDescent="0.35">
      <c r="A249" s="53" t="s">
        <v>1683</v>
      </c>
      <c r="B249" s="53" t="s">
        <v>1009</v>
      </c>
      <c r="C249" s="55">
        <v>41.9166666666667</v>
      </c>
      <c r="D249" s="55">
        <v>2515</v>
      </c>
      <c r="E249" s="53">
        <v>67</v>
      </c>
      <c r="F249" s="53">
        <v>26</v>
      </c>
      <c r="G249" s="55">
        <v>0.38805970149253699</v>
      </c>
      <c r="H249" s="55">
        <v>37.537313432835802</v>
      </c>
      <c r="I249" s="55">
        <v>360</v>
      </c>
      <c r="J249" s="53" t="s">
        <v>4409</v>
      </c>
      <c r="K249" s="53" t="s">
        <v>4410</v>
      </c>
      <c r="L249" s="53" t="s">
        <v>3907</v>
      </c>
    </row>
    <row r="250" spans="1:12" ht="15" customHeight="1" x14ac:dyDescent="0.35">
      <c r="A250" s="53" t="s">
        <v>1686</v>
      </c>
      <c r="B250" s="53" t="s">
        <v>905</v>
      </c>
      <c r="C250" s="55">
        <v>41.6666666666667</v>
      </c>
      <c r="D250" s="55">
        <v>2500</v>
      </c>
      <c r="E250" s="53">
        <v>50</v>
      </c>
      <c r="F250" s="53">
        <v>21</v>
      </c>
      <c r="G250" s="55">
        <v>0.42</v>
      </c>
      <c r="H250" s="55">
        <v>50</v>
      </c>
      <c r="I250" s="55">
        <v>300</v>
      </c>
      <c r="J250" s="53" t="s">
        <v>4411</v>
      </c>
      <c r="K250" s="53" t="s">
        <v>4412</v>
      </c>
      <c r="L250" s="53" t="s">
        <v>3907</v>
      </c>
    </row>
    <row r="251" spans="1:12" ht="15" customHeight="1" x14ac:dyDescent="0.35">
      <c r="A251" s="53" t="s">
        <v>1689</v>
      </c>
      <c r="B251" s="53" t="s">
        <v>1690</v>
      </c>
      <c r="C251" s="55">
        <v>41.6666666666667</v>
      </c>
      <c r="D251" s="55">
        <v>2500</v>
      </c>
      <c r="E251" s="53">
        <v>4</v>
      </c>
      <c r="F251" s="53">
        <v>2</v>
      </c>
      <c r="G251" s="55">
        <v>0.5</v>
      </c>
      <c r="H251" s="55">
        <v>625</v>
      </c>
      <c r="I251" s="55">
        <v>2260</v>
      </c>
      <c r="J251" s="53" t="s">
        <v>4413</v>
      </c>
      <c r="K251" s="53" t="s">
        <v>4414</v>
      </c>
      <c r="L251" s="53" t="s">
        <v>4214</v>
      </c>
    </row>
    <row r="252" spans="1:12" ht="15" customHeight="1" x14ac:dyDescent="0.35">
      <c r="A252" s="53" t="s">
        <v>1693</v>
      </c>
      <c r="B252" s="53" t="s">
        <v>1084</v>
      </c>
      <c r="C252" s="55">
        <v>41.483333333333299</v>
      </c>
      <c r="D252" s="55">
        <v>2489</v>
      </c>
      <c r="E252" s="53">
        <v>74</v>
      </c>
      <c r="F252" s="53">
        <v>12</v>
      </c>
      <c r="G252" s="55">
        <v>0.162162162162162</v>
      </c>
      <c r="H252" s="55">
        <v>33.635135135135101</v>
      </c>
      <c r="I252" s="55">
        <v>480</v>
      </c>
      <c r="J252" s="53" t="s">
        <v>4415</v>
      </c>
      <c r="K252" s="53" t="s">
        <v>4416</v>
      </c>
      <c r="L252" s="53" t="s">
        <v>3941</v>
      </c>
    </row>
    <row r="253" spans="1:12" ht="15" customHeight="1" x14ac:dyDescent="0.35">
      <c r="A253" s="53" t="s">
        <v>1696</v>
      </c>
      <c r="B253" s="53" t="s">
        <v>1697</v>
      </c>
      <c r="C253" s="55">
        <v>40.4166666666667</v>
      </c>
      <c r="D253" s="55">
        <v>2425</v>
      </c>
      <c r="E253" s="53">
        <v>19</v>
      </c>
      <c r="F253" s="53">
        <v>9</v>
      </c>
      <c r="G253" s="55">
        <v>0.47368421052631599</v>
      </c>
      <c r="H253" s="55">
        <v>127.631578947368</v>
      </c>
      <c r="I253" s="55">
        <v>747</v>
      </c>
      <c r="J253" s="53" t="s">
        <v>4417</v>
      </c>
      <c r="K253" s="53" t="s">
        <v>4418</v>
      </c>
      <c r="L253" s="53" t="s">
        <v>4253</v>
      </c>
    </row>
    <row r="254" spans="1:12" ht="15" customHeight="1" x14ac:dyDescent="0.35">
      <c r="A254" s="53" t="s">
        <v>1700</v>
      </c>
      <c r="B254" s="53" t="s">
        <v>1299</v>
      </c>
      <c r="C254" s="55">
        <v>40.299999999999997</v>
      </c>
      <c r="D254" s="55">
        <v>2418</v>
      </c>
      <c r="E254" s="53">
        <v>35</v>
      </c>
      <c r="F254" s="53">
        <v>11</v>
      </c>
      <c r="G254" s="55">
        <v>0.314285714285714</v>
      </c>
      <c r="H254" s="55">
        <v>69.085714285714303</v>
      </c>
      <c r="I254" s="55">
        <v>720</v>
      </c>
      <c r="J254" s="53" t="s">
        <v>4419</v>
      </c>
      <c r="K254" s="53" t="s">
        <v>4420</v>
      </c>
      <c r="L254" s="53" t="s">
        <v>3941</v>
      </c>
    </row>
    <row r="255" spans="1:12" ht="15" customHeight="1" x14ac:dyDescent="0.35">
      <c r="A255" s="53" t="s">
        <v>1703</v>
      </c>
      <c r="B255" s="53" t="s">
        <v>1122</v>
      </c>
      <c r="C255" s="55">
        <v>39.466666666666697</v>
      </c>
      <c r="D255" s="55">
        <v>2368</v>
      </c>
      <c r="E255" s="53">
        <v>141</v>
      </c>
      <c r="F255" s="53">
        <v>26</v>
      </c>
      <c r="G255" s="55">
        <v>0.184397163120567</v>
      </c>
      <c r="H255" s="55">
        <v>16.794326241134801</v>
      </c>
      <c r="I255" s="55">
        <v>480</v>
      </c>
      <c r="J255" s="53" t="s">
        <v>4421</v>
      </c>
      <c r="K255" s="53" t="s">
        <v>4422</v>
      </c>
      <c r="L255" s="53" t="s">
        <v>3907</v>
      </c>
    </row>
    <row r="256" spans="1:12" ht="15" customHeight="1" x14ac:dyDescent="0.35">
      <c r="A256" s="53" t="s">
        <v>1706</v>
      </c>
      <c r="B256" s="53" t="s">
        <v>1136</v>
      </c>
      <c r="C256" s="55">
        <v>39.233333333333299</v>
      </c>
      <c r="D256" s="55">
        <v>2354</v>
      </c>
      <c r="E256" s="53">
        <v>53</v>
      </c>
      <c r="F256" s="53">
        <v>19</v>
      </c>
      <c r="G256" s="55">
        <v>0.35849056603773599</v>
      </c>
      <c r="H256" s="55">
        <v>44.415094339622598</v>
      </c>
      <c r="I256" s="55">
        <v>560</v>
      </c>
      <c r="J256" s="53" t="s">
        <v>4423</v>
      </c>
      <c r="K256" s="53" t="s">
        <v>4424</v>
      </c>
      <c r="L256" s="53" t="s">
        <v>3907</v>
      </c>
    </row>
    <row r="257" spans="1:12" ht="15" customHeight="1" x14ac:dyDescent="0.35">
      <c r="A257" s="53" t="s">
        <v>1709</v>
      </c>
      <c r="B257" s="53" t="s">
        <v>1122</v>
      </c>
      <c r="C257" s="55">
        <v>38.933333333333302</v>
      </c>
      <c r="D257" s="55">
        <v>2336</v>
      </c>
      <c r="E257" s="53">
        <v>22</v>
      </c>
      <c r="F257" s="53">
        <v>8</v>
      </c>
      <c r="G257" s="55">
        <v>0.36363636363636398</v>
      </c>
      <c r="H257" s="55">
        <v>106.181818181818</v>
      </c>
      <c r="I257" s="55">
        <v>1110</v>
      </c>
      <c r="J257" s="53" t="s">
        <v>4425</v>
      </c>
      <c r="K257" s="53" t="s">
        <v>4426</v>
      </c>
      <c r="L257" s="53" t="s">
        <v>3907</v>
      </c>
    </row>
    <row r="258" spans="1:12" ht="15" customHeight="1" x14ac:dyDescent="0.35">
      <c r="A258" s="53" t="s">
        <v>1712</v>
      </c>
      <c r="B258" s="53" t="s">
        <v>1659</v>
      </c>
      <c r="C258" s="55">
        <v>38.799999999999997</v>
      </c>
      <c r="D258" s="55">
        <v>2328</v>
      </c>
      <c r="E258" s="53">
        <v>26</v>
      </c>
      <c r="F258" s="53">
        <v>9</v>
      </c>
      <c r="G258" s="55">
        <v>0.34615384615384598</v>
      </c>
      <c r="H258" s="55">
        <v>89.538461538461505</v>
      </c>
      <c r="I258" s="55">
        <v>1292</v>
      </c>
      <c r="J258" s="53" t="s">
        <v>4427</v>
      </c>
      <c r="K258" s="53" t="s">
        <v>4428</v>
      </c>
      <c r="L258" s="53" t="s">
        <v>4253</v>
      </c>
    </row>
    <row r="259" spans="1:12" ht="15" customHeight="1" x14ac:dyDescent="0.35">
      <c r="A259" s="53" t="s">
        <v>1715</v>
      </c>
      <c r="B259" s="53" t="s">
        <v>959</v>
      </c>
      <c r="C259" s="55">
        <v>38.4166666666667</v>
      </c>
      <c r="D259" s="55">
        <v>2305</v>
      </c>
      <c r="E259" s="53">
        <v>68</v>
      </c>
      <c r="F259" s="53">
        <v>17</v>
      </c>
      <c r="G259" s="55">
        <v>0.25</v>
      </c>
      <c r="H259" s="55">
        <v>33.897058823529399</v>
      </c>
      <c r="I259" s="55">
        <v>650</v>
      </c>
      <c r="J259" s="53" t="s">
        <v>4429</v>
      </c>
      <c r="K259" s="53" t="s">
        <v>4430</v>
      </c>
      <c r="L259" s="53" t="s">
        <v>3941</v>
      </c>
    </row>
    <row r="260" spans="1:12" ht="15" customHeight="1" x14ac:dyDescent="0.35">
      <c r="A260" s="53" t="s">
        <v>1718</v>
      </c>
      <c r="B260" s="53" t="s">
        <v>1122</v>
      </c>
      <c r="C260" s="55">
        <v>37.933333333333302</v>
      </c>
      <c r="D260" s="55">
        <v>2276</v>
      </c>
      <c r="E260" s="53">
        <v>45</v>
      </c>
      <c r="F260" s="53">
        <v>10</v>
      </c>
      <c r="G260" s="55">
        <v>0.22222222222222199</v>
      </c>
      <c r="H260" s="55">
        <v>50.577777777777797</v>
      </c>
      <c r="I260" s="55">
        <v>480</v>
      </c>
      <c r="J260" s="53" t="s">
        <v>4431</v>
      </c>
      <c r="K260" s="53" t="s">
        <v>4432</v>
      </c>
      <c r="L260" s="53" t="s">
        <v>3907</v>
      </c>
    </row>
    <row r="261" spans="1:12" ht="15" customHeight="1" x14ac:dyDescent="0.35">
      <c r="A261" s="53" t="s">
        <v>1721</v>
      </c>
      <c r="B261" s="53" t="s">
        <v>963</v>
      </c>
      <c r="C261" s="55">
        <v>37.766666666666701</v>
      </c>
      <c r="D261" s="55">
        <v>2266</v>
      </c>
      <c r="E261" s="53">
        <v>93</v>
      </c>
      <c r="F261" s="53">
        <v>20</v>
      </c>
      <c r="G261" s="55">
        <v>0.21505376344086</v>
      </c>
      <c r="H261" s="55">
        <v>24.365591397849499</v>
      </c>
      <c r="I261" s="55">
        <v>400</v>
      </c>
      <c r="J261" s="53" t="s">
        <v>4433</v>
      </c>
      <c r="K261" s="53" t="s">
        <v>4434</v>
      </c>
      <c r="L261" s="53" t="s">
        <v>3907</v>
      </c>
    </row>
    <row r="262" spans="1:12" ht="15" customHeight="1" x14ac:dyDescent="0.35">
      <c r="A262" s="53" t="s">
        <v>1724</v>
      </c>
      <c r="B262" s="53" t="s">
        <v>1077</v>
      </c>
      <c r="C262" s="55">
        <v>37</v>
      </c>
      <c r="D262" s="55">
        <v>2220</v>
      </c>
      <c r="E262" s="53">
        <v>100</v>
      </c>
      <c r="F262" s="53">
        <v>4</v>
      </c>
      <c r="G262" s="55">
        <v>0.04</v>
      </c>
      <c r="H262" s="55">
        <v>22.2</v>
      </c>
      <c r="I262" s="55">
        <v>960</v>
      </c>
      <c r="J262" s="53" t="s">
        <v>4435</v>
      </c>
      <c r="K262" s="53" t="s">
        <v>4436</v>
      </c>
      <c r="L262" s="53" t="s">
        <v>3941</v>
      </c>
    </row>
    <row r="263" spans="1:12" ht="15" customHeight="1" x14ac:dyDescent="0.35">
      <c r="A263" s="53" t="s">
        <v>1727</v>
      </c>
      <c r="B263" s="53" t="s">
        <v>946</v>
      </c>
      <c r="C263" s="55">
        <v>36.200000000000003</v>
      </c>
      <c r="D263" s="55">
        <v>2172</v>
      </c>
      <c r="E263" s="53">
        <v>45</v>
      </c>
      <c r="F263" s="53">
        <v>23</v>
      </c>
      <c r="G263" s="55">
        <v>0.51111111111111096</v>
      </c>
      <c r="H263" s="55">
        <v>48.266666666666701</v>
      </c>
      <c r="I263" s="55">
        <v>240</v>
      </c>
      <c r="J263" s="53" t="s">
        <v>4437</v>
      </c>
      <c r="K263" s="53" t="s">
        <v>4438</v>
      </c>
      <c r="L263" s="53" t="s">
        <v>3907</v>
      </c>
    </row>
    <row r="264" spans="1:12" ht="15" customHeight="1" x14ac:dyDescent="0.35">
      <c r="A264" s="53" t="s">
        <v>1730</v>
      </c>
      <c r="B264" s="53" t="s">
        <v>1731</v>
      </c>
      <c r="C264" s="55">
        <v>35.4166666666667</v>
      </c>
      <c r="D264" s="55">
        <v>2125</v>
      </c>
      <c r="E264" s="53">
        <v>105</v>
      </c>
      <c r="F264" s="53">
        <v>19</v>
      </c>
      <c r="G264" s="55">
        <v>0.180952380952381</v>
      </c>
      <c r="H264" s="55">
        <v>20.238095238095202</v>
      </c>
      <c r="I264" s="55">
        <v>480</v>
      </c>
      <c r="J264" s="53" t="s">
        <v>4439</v>
      </c>
      <c r="K264" s="53" t="s">
        <v>4440</v>
      </c>
      <c r="L264" s="53" t="s">
        <v>3907</v>
      </c>
    </row>
    <row r="265" spans="1:12" ht="15" customHeight="1" x14ac:dyDescent="0.35">
      <c r="A265" s="53" t="s">
        <v>1734</v>
      </c>
      <c r="B265" s="53" t="s">
        <v>946</v>
      </c>
      <c r="C265" s="55">
        <v>35</v>
      </c>
      <c r="D265" s="55">
        <v>2100</v>
      </c>
      <c r="E265" s="53">
        <v>27</v>
      </c>
      <c r="F265" s="53">
        <v>16</v>
      </c>
      <c r="G265" s="55">
        <v>0.592592592592593</v>
      </c>
      <c r="H265" s="55">
        <v>77.7777777777778</v>
      </c>
      <c r="I265" s="55">
        <v>600</v>
      </c>
      <c r="J265" s="53" t="s">
        <v>4441</v>
      </c>
      <c r="K265" s="53" t="s">
        <v>4442</v>
      </c>
      <c r="L265" s="53" t="s">
        <v>3907</v>
      </c>
    </row>
    <row r="266" spans="1:12" ht="15" customHeight="1" x14ac:dyDescent="0.35">
      <c r="A266" s="53" t="s">
        <v>1737</v>
      </c>
      <c r="B266" s="53" t="s">
        <v>1122</v>
      </c>
      <c r="C266" s="55">
        <v>34.733333333333299</v>
      </c>
      <c r="D266" s="55">
        <v>2084</v>
      </c>
      <c r="E266" s="53">
        <v>116</v>
      </c>
      <c r="F266" s="53">
        <v>25</v>
      </c>
      <c r="G266" s="55">
        <v>0.21551724137931</v>
      </c>
      <c r="H266" s="55">
        <v>17.965517241379299</v>
      </c>
      <c r="I266" s="55">
        <v>160</v>
      </c>
      <c r="J266" s="53" t="s">
        <v>4443</v>
      </c>
      <c r="K266" s="53" t="s">
        <v>4444</v>
      </c>
      <c r="L266" s="53" t="s">
        <v>3907</v>
      </c>
    </row>
    <row r="267" spans="1:12" ht="15" customHeight="1" x14ac:dyDescent="0.35">
      <c r="A267" s="53" t="s">
        <v>1740</v>
      </c>
      <c r="B267" s="53" t="s">
        <v>1009</v>
      </c>
      <c r="C267" s="55">
        <v>34.25</v>
      </c>
      <c r="D267" s="55">
        <v>2055</v>
      </c>
      <c r="E267" s="53">
        <v>71</v>
      </c>
      <c r="F267" s="53">
        <v>25</v>
      </c>
      <c r="G267" s="55">
        <v>0.352112676056338</v>
      </c>
      <c r="H267" s="55">
        <v>28.943661971830998</v>
      </c>
      <c r="I267" s="55">
        <v>240</v>
      </c>
      <c r="J267" s="53" t="s">
        <v>4445</v>
      </c>
      <c r="K267" s="53" t="s">
        <v>4446</v>
      </c>
      <c r="L267" s="53" t="s">
        <v>3907</v>
      </c>
    </row>
    <row r="268" spans="1:12" ht="15" customHeight="1" x14ac:dyDescent="0.35">
      <c r="A268" s="53" t="s">
        <v>1743</v>
      </c>
      <c r="B268" s="53" t="s">
        <v>1697</v>
      </c>
      <c r="C268" s="55">
        <v>34.049999999999997</v>
      </c>
      <c r="D268" s="55">
        <v>2043</v>
      </c>
      <c r="E268" s="53">
        <v>17</v>
      </c>
      <c r="F268" s="53">
        <v>8</v>
      </c>
      <c r="G268" s="55">
        <v>0.47058823529411797</v>
      </c>
      <c r="H268" s="55">
        <v>120.17647058823501</v>
      </c>
      <c r="I268" s="55">
        <v>676</v>
      </c>
      <c r="J268" s="53" t="s">
        <v>4447</v>
      </c>
      <c r="K268" s="53" t="s">
        <v>4448</v>
      </c>
      <c r="L268" s="53" t="s">
        <v>4253</v>
      </c>
    </row>
    <row r="269" spans="1:12" ht="15" customHeight="1" x14ac:dyDescent="0.35">
      <c r="A269" s="53" t="s">
        <v>1746</v>
      </c>
      <c r="B269" s="53" t="s">
        <v>1122</v>
      </c>
      <c r="C269" s="55">
        <v>34</v>
      </c>
      <c r="D269" s="55">
        <v>2040</v>
      </c>
      <c r="E269" s="53">
        <v>79</v>
      </c>
      <c r="F269" s="53">
        <v>22</v>
      </c>
      <c r="G269" s="55">
        <v>0.278481012658228</v>
      </c>
      <c r="H269" s="55">
        <v>25.822784810126599</v>
      </c>
      <c r="I269" s="55">
        <v>802</v>
      </c>
      <c r="J269" s="53" t="s">
        <v>4449</v>
      </c>
      <c r="K269" s="53" t="s">
        <v>4450</v>
      </c>
      <c r="L269" s="53" t="s">
        <v>3907</v>
      </c>
    </row>
    <row r="270" spans="1:12" ht="15" customHeight="1" x14ac:dyDescent="0.35">
      <c r="A270" s="53" t="s">
        <v>1749</v>
      </c>
      <c r="B270" s="53" t="s">
        <v>946</v>
      </c>
      <c r="C270" s="55">
        <v>33.866666666666703</v>
      </c>
      <c r="D270" s="55">
        <v>2032</v>
      </c>
      <c r="E270" s="53">
        <v>42</v>
      </c>
      <c r="F270" s="53">
        <v>32</v>
      </c>
      <c r="G270" s="55">
        <v>0.76190476190476197</v>
      </c>
      <c r="H270" s="55">
        <v>48.380952380952401</v>
      </c>
      <c r="I270" s="55">
        <v>300</v>
      </c>
      <c r="J270" s="53" t="s">
        <v>4451</v>
      </c>
      <c r="K270" s="53" t="s">
        <v>4452</v>
      </c>
      <c r="L270" s="53" t="s">
        <v>3907</v>
      </c>
    </row>
    <row r="271" spans="1:12" ht="15" customHeight="1" x14ac:dyDescent="0.35">
      <c r="A271" s="53" t="s">
        <v>1752</v>
      </c>
      <c r="B271" s="53" t="s">
        <v>1129</v>
      </c>
      <c r="C271" s="55">
        <v>33.6666666666667</v>
      </c>
      <c r="D271" s="55">
        <v>2020</v>
      </c>
      <c r="E271" s="53">
        <v>27</v>
      </c>
      <c r="F271" s="53">
        <v>18</v>
      </c>
      <c r="G271" s="55">
        <v>0.66666666666666696</v>
      </c>
      <c r="H271" s="55">
        <v>74.814814814814795</v>
      </c>
      <c r="I271" s="55">
        <v>240</v>
      </c>
      <c r="J271" s="53" t="s">
        <v>4453</v>
      </c>
      <c r="K271" s="53" t="s">
        <v>4454</v>
      </c>
      <c r="L271" s="53" t="s">
        <v>3907</v>
      </c>
    </row>
    <row r="272" spans="1:12" ht="15" customHeight="1" x14ac:dyDescent="0.35">
      <c r="A272" s="53" t="s">
        <v>1755</v>
      </c>
      <c r="B272" s="53" t="s">
        <v>1136</v>
      </c>
      <c r="C272" s="55">
        <v>33.616666666666703</v>
      </c>
      <c r="D272" s="55">
        <v>2017</v>
      </c>
      <c r="E272" s="53">
        <v>55</v>
      </c>
      <c r="F272" s="53">
        <v>23</v>
      </c>
      <c r="G272" s="55">
        <v>0.41818181818181799</v>
      </c>
      <c r="H272" s="55">
        <v>36.6727272727273</v>
      </c>
      <c r="I272" s="55">
        <v>360</v>
      </c>
      <c r="J272" s="53" t="s">
        <v>4455</v>
      </c>
      <c r="K272" s="53" t="s">
        <v>4456</v>
      </c>
      <c r="L272" s="53" t="s">
        <v>3907</v>
      </c>
    </row>
    <row r="273" spans="1:12" ht="15" customHeight="1" x14ac:dyDescent="0.35">
      <c r="A273" s="53" t="s">
        <v>1758</v>
      </c>
      <c r="B273" s="53" t="s">
        <v>1101</v>
      </c>
      <c r="C273" s="55">
        <v>33.516666666666701</v>
      </c>
      <c r="D273" s="55">
        <v>2011</v>
      </c>
      <c r="E273" s="53">
        <v>95</v>
      </c>
      <c r="F273" s="53">
        <v>28</v>
      </c>
      <c r="G273" s="55">
        <v>0.29473684210526302</v>
      </c>
      <c r="H273" s="55">
        <v>21.168421052631601</v>
      </c>
      <c r="I273" s="55">
        <v>210</v>
      </c>
      <c r="J273" s="53" t="s">
        <v>4457</v>
      </c>
      <c r="K273" s="53" t="s">
        <v>4458</v>
      </c>
      <c r="L273" s="53" t="s">
        <v>3907</v>
      </c>
    </row>
    <row r="274" spans="1:12" ht="15" customHeight="1" x14ac:dyDescent="0.35">
      <c r="A274" s="53" t="s">
        <v>1761</v>
      </c>
      <c r="B274" s="53" t="s">
        <v>898</v>
      </c>
      <c r="C274" s="55">
        <v>33.3333333333333</v>
      </c>
      <c r="D274" s="55">
        <v>2000</v>
      </c>
      <c r="E274" s="53">
        <v>14</v>
      </c>
      <c r="F274" s="53">
        <v>2</v>
      </c>
      <c r="G274" s="55">
        <v>0.14285714285714299</v>
      </c>
      <c r="H274" s="55">
        <v>142.857142857143</v>
      </c>
      <c r="I274" s="55">
        <v>2000</v>
      </c>
      <c r="J274" s="53" t="s">
        <v>4459</v>
      </c>
      <c r="K274" s="53" t="s">
        <v>4460</v>
      </c>
      <c r="L274" s="53" t="s">
        <v>3924</v>
      </c>
    </row>
    <row r="275" spans="1:12" ht="15" customHeight="1" x14ac:dyDescent="0.35">
      <c r="A275" s="53" t="s">
        <v>1764</v>
      </c>
      <c r="B275" s="53" t="s">
        <v>905</v>
      </c>
      <c r="C275" s="55">
        <v>33.0833333333333</v>
      </c>
      <c r="D275" s="55">
        <v>1985</v>
      </c>
      <c r="E275" s="53">
        <v>37</v>
      </c>
      <c r="F275" s="53">
        <v>14</v>
      </c>
      <c r="G275" s="55">
        <v>0.37837837837837801</v>
      </c>
      <c r="H275" s="55">
        <v>53.648648648648702</v>
      </c>
      <c r="I275" s="55">
        <v>540</v>
      </c>
      <c r="J275" s="53" t="s">
        <v>4461</v>
      </c>
      <c r="K275" s="53" t="s">
        <v>4462</v>
      </c>
      <c r="L275" s="53" t="s">
        <v>3907</v>
      </c>
    </row>
    <row r="276" spans="1:12" ht="15" customHeight="1" x14ac:dyDescent="0.35">
      <c r="A276" s="53" t="s">
        <v>1767</v>
      </c>
      <c r="B276" s="53" t="s">
        <v>1768</v>
      </c>
      <c r="C276" s="55">
        <v>33</v>
      </c>
      <c r="D276" s="55">
        <v>1980</v>
      </c>
      <c r="E276" s="53">
        <v>86</v>
      </c>
      <c r="F276" s="53">
        <v>16</v>
      </c>
      <c r="G276" s="55">
        <v>0.186046511627907</v>
      </c>
      <c r="H276" s="55">
        <v>23.023255813953501</v>
      </c>
      <c r="I276" s="55">
        <v>240</v>
      </c>
      <c r="J276" s="53" t="s">
        <v>4463</v>
      </c>
      <c r="K276" s="53" t="s">
        <v>4464</v>
      </c>
      <c r="L276" s="53" t="s">
        <v>3907</v>
      </c>
    </row>
    <row r="277" spans="1:12" ht="15" customHeight="1" x14ac:dyDescent="0.35">
      <c r="A277" s="53" t="s">
        <v>1771</v>
      </c>
      <c r="B277" s="53" t="s">
        <v>905</v>
      </c>
      <c r="C277" s="55">
        <v>32.9166666666667</v>
      </c>
      <c r="D277" s="55">
        <v>1975</v>
      </c>
      <c r="E277" s="53">
        <v>46</v>
      </c>
      <c r="F277" s="53">
        <v>20</v>
      </c>
      <c r="G277" s="55">
        <v>0.434782608695652</v>
      </c>
      <c r="H277" s="55">
        <v>42.934782608695699</v>
      </c>
      <c r="I277" s="55">
        <v>240</v>
      </c>
      <c r="J277" s="53" t="s">
        <v>4465</v>
      </c>
      <c r="K277" s="53" t="s">
        <v>4466</v>
      </c>
      <c r="L277" s="53" t="s">
        <v>3907</v>
      </c>
    </row>
    <row r="278" spans="1:12" ht="15" customHeight="1" x14ac:dyDescent="0.35">
      <c r="A278" s="53" t="s">
        <v>1774</v>
      </c>
      <c r="B278" s="53" t="s">
        <v>1646</v>
      </c>
      <c r="C278" s="55">
        <v>32.9166666666667</v>
      </c>
      <c r="D278" s="55">
        <v>1975</v>
      </c>
      <c r="E278" s="53">
        <v>29</v>
      </c>
      <c r="F278" s="53">
        <v>12</v>
      </c>
      <c r="G278" s="55">
        <v>0.41379310344827602</v>
      </c>
      <c r="H278" s="55">
        <v>68.103448275862107</v>
      </c>
      <c r="I278" s="55">
        <v>300</v>
      </c>
      <c r="J278" s="53" t="s">
        <v>4467</v>
      </c>
      <c r="K278" s="53" t="s">
        <v>4468</v>
      </c>
      <c r="L278" s="53" t="s">
        <v>3941</v>
      </c>
    </row>
    <row r="279" spans="1:12" ht="15" customHeight="1" x14ac:dyDescent="0.35">
      <c r="A279" s="53" t="s">
        <v>1777</v>
      </c>
      <c r="B279" s="53" t="s">
        <v>1136</v>
      </c>
      <c r="C279" s="55">
        <v>32.4166666666667</v>
      </c>
      <c r="D279" s="55">
        <v>1945</v>
      </c>
      <c r="E279" s="53">
        <v>37</v>
      </c>
      <c r="F279" s="53">
        <v>15</v>
      </c>
      <c r="G279" s="55">
        <v>0.40540540540540498</v>
      </c>
      <c r="H279" s="55">
        <v>52.5675675675676</v>
      </c>
      <c r="I279" s="55">
        <v>770</v>
      </c>
      <c r="J279" s="53" t="s">
        <v>4469</v>
      </c>
      <c r="K279" s="53" t="s">
        <v>4470</v>
      </c>
      <c r="L279" s="53" t="s">
        <v>3907</v>
      </c>
    </row>
    <row r="280" spans="1:12" ht="15" customHeight="1" x14ac:dyDescent="0.35">
      <c r="A280" s="53" t="s">
        <v>1780</v>
      </c>
      <c r="B280" s="53" t="s">
        <v>963</v>
      </c>
      <c r="C280" s="55">
        <v>32.15</v>
      </c>
      <c r="D280" s="55">
        <v>1929</v>
      </c>
      <c r="E280" s="53">
        <v>70</v>
      </c>
      <c r="F280" s="53">
        <v>9</v>
      </c>
      <c r="G280" s="55">
        <v>0.128571428571429</v>
      </c>
      <c r="H280" s="55">
        <v>27.5571428571429</v>
      </c>
      <c r="I280" s="55">
        <v>450</v>
      </c>
      <c r="J280" s="53" t="s">
        <v>4471</v>
      </c>
      <c r="K280" s="53" t="s">
        <v>4472</v>
      </c>
      <c r="L280" s="53" t="s">
        <v>3907</v>
      </c>
    </row>
    <row r="281" spans="1:12" ht="15" customHeight="1" x14ac:dyDescent="0.35">
      <c r="A281" s="53" t="s">
        <v>1783</v>
      </c>
      <c r="B281" s="53" t="s">
        <v>1490</v>
      </c>
      <c r="C281" s="55">
        <v>32.0833333333333</v>
      </c>
      <c r="D281" s="55">
        <v>1925</v>
      </c>
      <c r="E281" s="53">
        <v>107</v>
      </c>
      <c r="F281" s="53">
        <v>15</v>
      </c>
      <c r="G281" s="55">
        <v>0.14018691588785101</v>
      </c>
      <c r="H281" s="55">
        <v>17.990654205607498</v>
      </c>
      <c r="I281" s="55">
        <v>240</v>
      </c>
      <c r="J281" s="53" t="s">
        <v>4473</v>
      </c>
      <c r="K281" s="53" t="s">
        <v>4474</v>
      </c>
      <c r="L281" s="53" t="s">
        <v>3907</v>
      </c>
    </row>
    <row r="282" spans="1:12" ht="15" customHeight="1" x14ac:dyDescent="0.35">
      <c r="A282" s="53" t="s">
        <v>1786</v>
      </c>
      <c r="B282" s="53" t="s">
        <v>1077</v>
      </c>
      <c r="C282" s="55">
        <v>31.95</v>
      </c>
      <c r="D282" s="55">
        <v>1917</v>
      </c>
      <c r="E282" s="53">
        <v>160</v>
      </c>
      <c r="F282" s="53">
        <v>13</v>
      </c>
      <c r="G282" s="55">
        <v>8.1250000000000003E-2</v>
      </c>
      <c r="H282" s="55">
        <v>11.981249999999999</v>
      </c>
      <c r="I282" s="55">
        <v>480</v>
      </c>
      <c r="J282" s="53" t="s">
        <v>4475</v>
      </c>
      <c r="K282" s="53" t="s">
        <v>4476</v>
      </c>
      <c r="L282" s="53" t="s">
        <v>3941</v>
      </c>
    </row>
    <row r="283" spans="1:12" ht="15" customHeight="1" x14ac:dyDescent="0.35">
      <c r="A283" s="53" t="s">
        <v>1789</v>
      </c>
      <c r="B283" s="53" t="s">
        <v>909</v>
      </c>
      <c r="C283" s="55">
        <v>31.866666666666699</v>
      </c>
      <c r="D283" s="55">
        <v>1912</v>
      </c>
      <c r="E283" s="53">
        <v>32</v>
      </c>
      <c r="F283" s="53">
        <v>22</v>
      </c>
      <c r="G283" s="55">
        <v>0.6875</v>
      </c>
      <c r="H283" s="55">
        <v>59.75</v>
      </c>
      <c r="I283" s="55">
        <v>240</v>
      </c>
      <c r="J283" s="53" t="s">
        <v>4477</v>
      </c>
      <c r="K283" s="53" t="s">
        <v>4478</v>
      </c>
      <c r="L283" s="53" t="s">
        <v>3924</v>
      </c>
    </row>
    <row r="284" spans="1:12" ht="15" customHeight="1" x14ac:dyDescent="0.35">
      <c r="A284" s="53" t="s">
        <v>1792</v>
      </c>
      <c r="B284" s="53" t="s">
        <v>1101</v>
      </c>
      <c r="C284" s="55">
        <v>31.733333333333299</v>
      </c>
      <c r="D284" s="55">
        <v>1904</v>
      </c>
      <c r="E284" s="53">
        <v>51</v>
      </c>
      <c r="F284" s="53">
        <v>20</v>
      </c>
      <c r="G284" s="55">
        <v>0.39215686274509798</v>
      </c>
      <c r="H284" s="55">
        <v>37.3333333333333</v>
      </c>
      <c r="I284" s="55">
        <v>360</v>
      </c>
      <c r="J284" s="53" t="s">
        <v>4479</v>
      </c>
      <c r="K284" s="53" t="s">
        <v>4480</v>
      </c>
      <c r="L284" s="53" t="s">
        <v>3907</v>
      </c>
    </row>
    <row r="285" spans="1:12" ht="15" customHeight="1" x14ac:dyDescent="0.35">
      <c r="A285" s="53" t="s">
        <v>1795</v>
      </c>
      <c r="B285" s="53" t="s">
        <v>925</v>
      </c>
      <c r="C285" s="55">
        <v>31.15</v>
      </c>
      <c r="D285" s="55">
        <v>1869</v>
      </c>
      <c r="E285" s="53">
        <v>45</v>
      </c>
      <c r="F285" s="53">
        <v>24</v>
      </c>
      <c r="G285" s="55">
        <v>0.53333333333333299</v>
      </c>
      <c r="H285" s="55">
        <v>41.533333333333303</v>
      </c>
      <c r="I285" s="55">
        <v>210</v>
      </c>
      <c r="J285" s="53" t="s">
        <v>4481</v>
      </c>
      <c r="K285" s="53" t="s">
        <v>4482</v>
      </c>
      <c r="L285" s="53" t="s">
        <v>3907</v>
      </c>
    </row>
    <row r="286" spans="1:12" ht="15" customHeight="1" x14ac:dyDescent="0.35">
      <c r="A286" s="53" t="s">
        <v>1798</v>
      </c>
      <c r="B286" s="53" t="s">
        <v>905</v>
      </c>
      <c r="C286" s="55">
        <v>30.9166666666667</v>
      </c>
      <c r="D286" s="55">
        <v>1855</v>
      </c>
      <c r="E286" s="53">
        <v>29</v>
      </c>
      <c r="F286" s="53">
        <v>12</v>
      </c>
      <c r="G286" s="55">
        <v>0.41379310344827602</v>
      </c>
      <c r="H286" s="55">
        <v>63.965517241379303</v>
      </c>
      <c r="I286" s="55">
        <v>657</v>
      </c>
      <c r="J286" s="53" t="s">
        <v>4483</v>
      </c>
      <c r="K286" s="53" t="s">
        <v>4484</v>
      </c>
      <c r="L286" s="53" t="s">
        <v>3907</v>
      </c>
    </row>
    <row r="287" spans="1:12" ht="15" customHeight="1" x14ac:dyDescent="0.35">
      <c r="A287" s="53" t="s">
        <v>1801</v>
      </c>
      <c r="B287" s="53" t="s">
        <v>1009</v>
      </c>
      <c r="C287" s="55">
        <v>30.5833333333333</v>
      </c>
      <c r="D287" s="55">
        <v>1835</v>
      </c>
      <c r="E287" s="53">
        <v>91</v>
      </c>
      <c r="F287" s="53">
        <v>28</v>
      </c>
      <c r="G287" s="55">
        <v>0.30769230769230799</v>
      </c>
      <c r="H287" s="55">
        <v>20.1648351648352</v>
      </c>
      <c r="I287" s="55">
        <v>180</v>
      </c>
      <c r="J287" s="53" t="s">
        <v>4485</v>
      </c>
      <c r="K287" s="53" t="s">
        <v>4486</v>
      </c>
      <c r="L287" s="53" t="s">
        <v>3907</v>
      </c>
    </row>
    <row r="288" spans="1:12" ht="15" customHeight="1" x14ac:dyDescent="0.35">
      <c r="A288" s="53" t="s">
        <v>1804</v>
      </c>
      <c r="B288" s="53" t="s">
        <v>925</v>
      </c>
      <c r="C288" s="55">
        <v>30.55</v>
      </c>
      <c r="D288" s="55">
        <v>1833</v>
      </c>
      <c r="E288" s="53">
        <v>25</v>
      </c>
      <c r="F288" s="53">
        <v>13</v>
      </c>
      <c r="G288" s="55">
        <v>0.52</v>
      </c>
      <c r="H288" s="55">
        <v>73.319999999999993</v>
      </c>
      <c r="I288" s="55">
        <v>362</v>
      </c>
      <c r="J288" s="53" t="s">
        <v>4487</v>
      </c>
      <c r="K288" s="53" t="s">
        <v>4488</v>
      </c>
      <c r="L288" s="53" t="s">
        <v>3924</v>
      </c>
    </row>
    <row r="289" spans="1:12" ht="15" customHeight="1" x14ac:dyDescent="0.35">
      <c r="A289" s="53" t="s">
        <v>1807</v>
      </c>
      <c r="B289" s="53" t="s">
        <v>1212</v>
      </c>
      <c r="C289" s="55">
        <v>30.45</v>
      </c>
      <c r="D289" s="55">
        <v>1827</v>
      </c>
      <c r="E289" s="53">
        <v>44</v>
      </c>
      <c r="F289" s="53">
        <v>22</v>
      </c>
      <c r="G289" s="55">
        <v>0.5</v>
      </c>
      <c r="H289" s="55">
        <v>41.522727272727302</v>
      </c>
      <c r="I289" s="55">
        <v>300</v>
      </c>
      <c r="J289" s="53" t="s">
        <v>4489</v>
      </c>
      <c r="K289" s="53" t="s">
        <v>4490</v>
      </c>
      <c r="L289" s="53" t="s">
        <v>4491</v>
      </c>
    </row>
    <row r="290" spans="1:12" ht="15" customHeight="1" x14ac:dyDescent="0.35">
      <c r="A290" s="53" t="s">
        <v>1810</v>
      </c>
      <c r="B290" s="53" t="s">
        <v>1084</v>
      </c>
      <c r="C290" s="55">
        <v>30.4166666666667</v>
      </c>
      <c r="D290" s="55">
        <v>1825</v>
      </c>
      <c r="E290" s="53">
        <v>46</v>
      </c>
      <c r="F290" s="53">
        <v>10</v>
      </c>
      <c r="G290" s="55">
        <v>0.217391304347826</v>
      </c>
      <c r="H290" s="55">
        <v>39.673913043478301</v>
      </c>
      <c r="I290" s="55">
        <v>380</v>
      </c>
      <c r="J290" s="53" t="s">
        <v>4492</v>
      </c>
      <c r="K290" s="53" t="s">
        <v>4493</v>
      </c>
      <c r="L290" s="53" t="s">
        <v>3941</v>
      </c>
    </row>
    <row r="291" spans="1:12" ht="15" customHeight="1" x14ac:dyDescent="0.35">
      <c r="A291" s="53" t="s">
        <v>1813</v>
      </c>
      <c r="B291" s="53" t="s">
        <v>898</v>
      </c>
      <c r="C291" s="55">
        <v>30</v>
      </c>
      <c r="D291" s="55">
        <v>1800</v>
      </c>
      <c r="E291" s="53">
        <v>25</v>
      </c>
      <c r="F291" s="53">
        <v>12</v>
      </c>
      <c r="G291" s="55">
        <v>0.48</v>
      </c>
      <c r="H291" s="55">
        <v>72</v>
      </c>
      <c r="I291" s="55">
        <v>920</v>
      </c>
      <c r="J291" s="53" t="s">
        <v>4494</v>
      </c>
      <c r="K291" s="53" t="s">
        <v>4495</v>
      </c>
      <c r="L291" s="53" t="s">
        <v>3907</v>
      </c>
    </row>
    <row r="292" spans="1:12" ht="15" customHeight="1" x14ac:dyDescent="0.35">
      <c r="A292" s="53" t="s">
        <v>1816</v>
      </c>
      <c r="B292" s="53" t="s">
        <v>1817</v>
      </c>
      <c r="C292" s="55">
        <v>29.866666666666699</v>
      </c>
      <c r="D292" s="55">
        <v>1792</v>
      </c>
      <c r="E292" s="53">
        <v>9</v>
      </c>
      <c r="F292" s="53">
        <v>2</v>
      </c>
      <c r="G292" s="55">
        <v>0.22222222222222199</v>
      </c>
      <c r="H292" s="55">
        <v>199.111111111111</v>
      </c>
      <c r="I292" s="55">
        <v>1312</v>
      </c>
      <c r="J292" s="53" t="s">
        <v>4496</v>
      </c>
      <c r="K292" s="53" t="s">
        <v>4497</v>
      </c>
      <c r="L292" s="53" t="s">
        <v>3941</v>
      </c>
    </row>
    <row r="293" spans="1:12" ht="15" customHeight="1" x14ac:dyDescent="0.35">
      <c r="A293" s="53" t="s">
        <v>1820</v>
      </c>
      <c r="B293" s="53" t="s">
        <v>959</v>
      </c>
      <c r="C293" s="55">
        <v>29.8333333333333</v>
      </c>
      <c r="D293" s="55">
        <v>1790</v>
      </c>
      <c r="E293" s="53">
        <v>18</v>
      </c>
      <c r="F293" s="53">
        <v>4</v>
      </c>
      <c r="G293" s="55">
        <v>0.22222222222222199</v>
      </c>
      <c r="H293" s="55">
        <v>99.4444444444444</v>
      </c>
      <c r="I293" s="55">
        <v>1260</v>
      </c>
      <c r="J293" s="53" t="s">
        <v>4498</v>
      </c>
      <c r="K293" s="53" t="s">
        <v>4499</v>
      </c>
      <c r="L293" s="53" t="s">
        <v>4253</v>
      </c>
    </row>
    <row r="294" spans="1:12" ht="15" customHeight="1" x14ac:dyDescent="0.35">
      <c r="A294" s="53" t="s">
        <v>1823</v>
      </c>
      <c r="B294" s="53" t="s">
        <v>905</v>
      </c>
      <c r="C294" s="55">
        <v>29.7</v>
      </c>
      <c r="D294" s="55">
        <v>1782</v>
      </c>
      <c r="E294" s="53">
        <v>21</v>
      </c>
      <c r="F294" s="53">
        <v>10</v>
      </c>
      <c r="G294" s="55">
        <v>0.476190476190476</v>
      </c>
      <c r="H294" s="55">
        <v>84.857142857142904</v>
      </c>
      <c r="I294" s="55">
        <v>600</v>
      </c>
      <c r="J294" s="53" t="s">
        <v>4500</v>
      </c>
      <c r="K294" s="53" t="s">
        <v>4501</v>
      </c>
      <c r="L294" s="53" t="s">
        <v>3907</v>
      </c>
    </row>
    <row r="295" spans="1:12" ht="15" customHeight="1" x14ac:dyDescent="0.35">
      <c r="A295" s="53" t="s">
        <v>1826</v>
      </c>
      <c r="B295" s="53" t="s">
        <v>913</v>
      </c>
      <c r="C295" s="55">
        <v>29.6666666666667</v>
      </c>
      <c r="D295" s="55">
        <v>1780</v>
      </c>
      <c r="E295" s="53">
        <v>12</v>
      </c>
      <c r="F295" s="53">
        <v>4</v>
      </c>
      <c r="G295" s="55">
        <v>0.33333333333333298</v>
      </c>
      <c r="H295" s="55">
        <v>148.333333333333</v>
      </c>
      <c r="I295" s="55">
        <v>930</v>
      </c>
      <c r="J295" s="53" t="s">
        <v>4502</v>
      </c>
      <c r="K295" s="53" t="s">
        <v>4503</v>
      </c>
      <c r="L295" s="53" t="s">
        <v>4256</v>
      </c>
    </row>
    <row r="296" spans="1:12" ht="15" customHeight="1" x14ac:dyDescent="0.35">
      <c r="A296" s="53" t="s">
        <v>1829</v>
      </c>
      <c r="B296" s="53" t="s">
        <v>996</v>
      </c>
      <c r="C296" s="55">
        <v>29.5833333333333</v>
      </c>
      <c r="D296" s="55">
        <v>1775</v>
      </c>
      <c r="E296" s="53">
        <v>31</v>
      </c>
      <c r="F296" s="53">
        <v>14</v>
      </c>
      <c r="G296" s="55">
        <v>0.45161290322580599</v>
      </c>
      <c r="H296" s="55">
        <v>57.258064516128997</v>
      </c>
      <c r="I296" s="55">
        <v>320</v>
      </c>
      <c r="J296" s="53" t="s">
        <v>4504</v>
      </c>
      <c r="K296" s="53" t="s">
        <v>4505</v>
      </c>
      <c r="L296" s="53" t="s">
        <v>3907</v>
      </c>
    </row>
    <row r="297" spans="1:12" ht="15" customHeight="1" x14ac:dyDescent="0.35">
      <c r="A297" s="53" t="s">
        <v>1832</v>
      </c>
      <c r="B297" s="53" t="s">
        <v>963</v>
      </c>
      <c r="C297" s="55">
        <v>29.5</v>
      </c>
      <c r="D297" s="55">
        <v>1770</v>
      </c>
      <c r="E297" s="53">
        <v>23</v>
      </c>
      <c r="F297" s="53">
        <v>6</v>
      </c>
      <c r="G297" s="55">
        <v>0.26086956521739102</v>
      </c>
      <c r="H297" s="55">
        <v>76.956521739130395</v>
      </c>
      <c r="I297" s="55">
        <v>1425</v>
      </c>
      <c r="J297" s="53" t="s">
        <v>4506</v>
      </c>
      <c r="K297" s="53" t="s">
        <v>4507</v>
      </c>
      <c r="L297" s="53" t="s">
        <v>3924</v>
      </c>
    </row>
    <row r="298" spans="1:12" ht="15" customHeight="1" x14ac:dyDescent="0.35">
      <c r="A298" s="53" t="s">
        <v>1835</v>
      </c>
      <c r="B298" s="53" t="s">
        <v>1101</v>
      </c>
      <c r="C298" s="55">
        <v>29.1666666666667</v>
      </c>
      <c r="D298" s="55">
        <v>1750</v>
      </c>
      <c r="E298" s="53">
        <v>42</v>
      </c>
      <c r="F298" s="53">
        <v>19</v>
      </c>
      <c r="G298" s="55">
        <v>0.452380952380952</v>
      </c>
      <c r="H298" s="55">
        <v>41.6666666666667</v>
      </c>
      <c r="I298" s="55">
        <v>240</v>
      </c>
      <c r="J298" s="53" t="s">
        <v>4508</v>
      </c>
      <c r="K298" s="53" t="s">
        <v>4509</v>
      </c>
      <c r="L298" s="53" t="s">
        <v>3907</v>
      </c>
    </row>
    <row r="299" spans="1:12" ht="15" customHeight="1" x14ac:dyDescent="0.35">
      <c r="A299" s="53" t="s">
        <v>1838</v>
      </c>
      <c r="B299" s="53" t="s">
        <v>963</v>
      </c>
      <c r="C299" s="55">
        <v>27.8333333333333</v>
      </c>
      <c r="D299" s="55">
        <v>1670</v>
      </c>
      <c r="E299" s="53">
        <v>46</v>
      </c>
      <c r="F299" s="53">
        <v>14</v>
      </c>
      <c r="G299" s="55">
        <v>0.30434782608695699</v>
      </c>
      <c r="H299" s="55">
        <v>36.304347826087003</v>
      </c>
      <c r="I299" s="55">
        <v>240</v>
      </c>
      <c r="J299" s="53" t="s">
        <v>4510</v>
      </c>
      <c r="K299" s="53" t="s">
        <v>4511</v>
      </c>
      <c r="L299" s="53" t="s">
        <v>3907</v>
      </c>
    </row>
    <row r="300" spans="1:12" ht="15" customHeight="1" x14ac:dyDescent="0.35">
      <c r="A300" s="53" t="s">
        <v>1841</v>
      </c>
      <c r="B300" s="53" t="s">
        <v>1118</v>
      </c>
      <c r="C300" s="55">
        <v>27.6666666666667</v>
      </c>
      <c r="D300" s="55">
        <v>1660</v>
      </c>
      <c r="E300" s="53">
        <v>8</v>
      </c>
      <c r="F300" s="53">
        <v>5</v>
      </c>
      <c r="G300" s="55">
        <v>0.625</v>
      </c>
      <c r="H300" s="55">
        <v>207.5</v>
      </c>
      <c r="I300" s="55">
        <v>980</v>
      </c>
      <c r="J300" s="53" t="s">
        <v>4512</v>
      </c>
      <c r="K300" s="53" t="s">
        <v>4513</v>
      </c>
      <c r="L300" s="53" t="s">
        <v>4165</v>
      </c>
    </row>
    <row r="301" spans="1:12" ht="15" customHeight="1" x14ac:dyDescent="0.35">
      <c r="A301" s="53" t="s">
        <v>1844</v>
      </c>
      <c r="B301" s="53" t="s">
        <v>1136</v>
      </c>
      <c r="C301" s="55">
        <v>27.5833333333333</v>
      </c>
      <c r="D301" s="55">
        <v>1655</v>
      </c>
      <c r="E301" s="53">
        <v>26</v>
      </c>
      <c r="F301" s="53">
        <v>11</v>
      </c>
      <c r="G301" s="55">
        <v>0.42307692307692302</v>
      </c>
      <c r="H301" s="55">
        <v>63.653846153846203</v>
      </c>
      <c r="I301" s="55">
        <v>460</v>
      </c>
      <c r="J301" s="53" t="s">
        <v>4514</v>
      </c>
      <c r="K301" s="53" t="s">
        <v>4515</v>
      </c>
      <c r="L301" s="53" t="s">
        <v>3907</v>
      </c>
    </row>
    <row r="302" spans="1:12" ht="15" customHeight="1" x14ac:dyDescent="0.35">
      <c r="A302" s="53" t="s">
        <v>1847</v>
      </c>
      <c r="B302" s="53" t="s">
        <v>1143</v>
      </c>
      <c r="C302" s="55">
        <v>27.5833333333333</v>
      </c>
      <c r="D302" s="55">
        <v>1655</v>
      </c>
      <c r="E302" s="53">
        <v>24</v>
      </c>
      <c r="F302" s="53">
        <v>5</v>
      </c>
      <c r="G302" s="55">
        <v>0.20833333333333301</v>
      </c>
      <c r="H302" s="55">
        <v>68.9583333333333</v>
      </c>
      <c r="I302" s="55">
        <v>1600</v>
      </c>
      <c r="J302" s="53" t="s">
        <v>4516</v>
      </c>
      <c r="K302" s="53" t="s">
        <v>4517</v>
      </c>
      <c r="L302" s="53" t="s">
        <v>3907</v>
      </c>
    </row>
    <row r="303" spans="1:12" ht="15" customHeight="1" x14ac:dyDescent="0.35">
      <c r="A303" s="53" t="s">
        <v>1850</v>
      </c>
      <c r="B303" s="53" t="s">
        <v>1490</v>
      </c>
      <c r="C303" s="55">
        <v>27.216666666666701</v>
      </c>
      <c r="D303" s="55">
        <v>1633</v>
      </c>
      <c r="E303" s="53">
        <v>74</v>
      </c>
      <c r="F303" s="53">
        <v>13</v>
      </c>
      <c r="G303" s="55">
        <v>0.17567567567567599</v>
      </c>
      <c r="H303" s="55">
        <v>22.0675675675676</v>
      </c>
      <c r="I303" s="55">
        <v>240</v>
      </c>
      <c r="J303" s="53" t="s">
        <v>4518</v>
      </c>
      <c r="K303" s="53" t="s">
        <v>4519</v>
      </c>
      <c r="L303" s="53" t="s">
        <v>3907</v>
      </c>
    </row>
    <row r="304" spans="1:12" ht="15" customHeight="1" x14ac:dyDescent="0.35">
      <c r="A304" s="53" t="s">
        <v>1853</v>
      </c>
      <c r="B304" s="53" t="s">
        <v>1136</v>
      </c>
      <c r="C304" s="55">
        <v>26.85</v>
      </c>
      <c r="D304" s="55">
        <v>1611</v>
      </c>
      <c r="E304" s="53">
        <v>38</v>
      </c>
      <c r="F304" s="53">
        <v>16</v>
      </c>
      <c r="G304" s="55">
        <v>0.42105263157894701</v>
      </c>
      <c r="H304" s="55">
        <v>42.394736842105303</v>
      </c>
      <c r="I304" s="55">
        <v>400</v>
      </c>
      <c r="J304" s="53" t="s">
        <v>4520</v>
      </c>
      <c r="K304" s="53" t="s">
        <v>4521</v>
      </c>
      <c r="L304" s="53" t="s">
        <v>3907</v>
      </c>
    </row>
    <row r="305" spans="1:12" ht="15" customHeight="1" x14ac:dyDescent="0.35">
      <c r="A305" s="53" t="s">
        <v>1856</v>
      </c>
      <c r="B305" s="53" t="s">
        <v>929</v>
      </c>
      <c r="C305" s="55">
        <v>26.783333333333299</v>
      </c>
      <c r="D305" s="55">
        <v>1607</v>
      </c>
      <c r="E305" s="53">
        <v>35</v>
      </c>
      <c r="F305" s="53">
        <v>12</v>
      </c>
      <c r="G305" s="55">
        <v>0.34285714285714303</v>
      </c>
      <c r="H305" s="55">
        <v>45.914285714285697</v>
      </c>
      <c r="I305" s="55">
        <v>360</v>
      </c>
      <c r="J305" s="53" t="s">
        <v>4522</v>
      </c>
      <c r="K305" s="53" t="s">
        <v>4523</v>
      </c>
      <c r="L305" s="53" t="s">
        <v>3907</v>
      </c>
    </row>
    <row r="306" spans="1:12" ht="15" customHeight="1" x14ac:dyDescent="0.35">
      <c r="A306" s="53" t="s">
        <v>1859</v>
      </c>
      <c r="B306" s="53" t="s">
        <v>1077</v>
      </c>
      <c r="C306" s="55">
        <v>26.5</v>
      </c>
      <c r="D306" s="55">
        <v>1590</v>
      </c>
      <c r="E306" s="53">
        <v>75</v>
      </c>
      <c r="F306" s="53">
        <v>6</v>
      </c>
      <c r="G306" s="55">
        <v>0.08</v>
      </c>
      <c r="H306" s="55">
        <v>21.2</v>
      </c>
      <c r="I306" s="55">
        <v>960</v>
      </c>
      <c r="J306" s="53" t="s">
        <v>4524</v>
      </c>
      <c r="K306" s="53" t="s">
        <v>4525</v>
      </c>
      <c r="L306" s="53" t="s">
        <v>4360</v>
      </c>
    </row>
    <row r="307" spans="1:12" ht="15" customHeight="1" x14ac:dyDescent="0.35">
      <c r="A307" s="53" t="s">
        <v>1862</v>
      </c>
      <c r="B307" s="53" t="s">
        <v>946</v>
      </c>
      <c r="C307" s="55">
        <v>26.383333333333301</v>
      </c>
      <c r="D307" s="55">
        <v>1583</v>
      </c>
      <c r="E307" s="53">
        <v>60</v>
      </c>
      <c r="F307" s="53">
        <v>35</v>
      </c>
      <c r="G307" s="55">
        <v>0.58333333333333304</v>
      </c>
      <c r="H307" s="55">
        <v>26.383333333333301</v>
      </c>
      <c r="I307" s="55">
        <v>240</v>
      </c>
      <c r="J307" s="53" t="s">
        <v>4526</v>
      </c>
      <c r="K307" s="53" t="s">
        <v>4527</v>
      </c>
      <c r="L307" s="53" t="s">
        <v>3907</v>
      </c>
    </row>
    <row r="308" spans="1:12" ht="15" customHeight="1" x14ac:dyDescent="0.35">
      <c r="A308" s="53" t="s">
        <v>1865</v>
      </c>
      <c r="B308" s="53" t="s">
        <v>921</v>
      </c>
      <c r="C308" s="55">
        <v>26.283333333333299</v>
      </c>
      <c r="D308" s="55">
        <v>1577</v>
      </c>
      <c r="E308" s="53">
        <v>24</v>
      </c>
      <c r="F308" s="53">
        <v>11</v>
      </c>
      <c r="G308" s="55">
        <v>0.45833333333333298</v>
      </c>
      <c r="H308" s="55">
        <v>65.7083333333333</v>
      </c>
      <c r="I308" s="55">
        <v>480</v>
      </c>
      <c r="J308" s="53" t="s">
        <v>4528</v>
      </c>
      <c r="K308" s="53" t="s">
        <v>4529</v>
      </c>
      <c r="L308" s="53" t="s">
        <v>3907</v>
      </c>
    </row>
    <row r="309" spans="1:12" ht="15" customHeight="1" x14ac:dyDescent="0.35">
      <c r="A309" s="53" t="s">
        <v>1868</v>
      </c>
      <c r="B309" s="53" t="s">
        <v>1136</v>
      </c>
      <c r="C309" s="55">
        <v>26.1666666666667</v>
      </c>
      <c r="D309" s="55">
        <v>1570</v>
      </c>
      <c r="E309" s="53">
        <v>46</v>
      </c>
      <c r="F309" s="53">
        <v>23</v>
      </c>
      <c r="G309" s="55">
        <v>0.5</v>
      </c>
      <c r="H309" s="55">
        <v>34.130434782608702</v>
      </c>
      <c r="I309" s="55">
        <v>270</v>
      </c>
      <c r="J309" s="53" t="s">
        <v>4530</v>
      </c>
      <c r="K309" s="53" t="s">
        <v>4531</v>
      </c>
      <c r="L309" s="53" t="s">
        <v>3907</v>
      </c>
    </row>
    <row r="310" spans="1:12" ht="15" customHeight="1" x14ac:dyDescent="0.35">
      <c r="A310" s="53" t="s">
        <v>1871</v>
      </c>
      <c r="B310" s="53" t="s">
        <v>1697</v>
      </c>
      <c r="C310" s="55">
        <v>25.5</v>
      </c>
      <c r="D310" s="55">
        <v>1530</v>
      </c>
      <c r="E310" s="53">
        <v>20</v>
      </c>
      <c r="F310" s="53">
        <v>4</v>
      </c>
      <c r="G310" s="55">
        <v>0.2</v>
      </c>
      <c r="H310" s="55">
        <v>76.5</v>
      </c>
      <c r="I310" s="55">
        <v>700</v>
      </c>
      <c r="J310" s="53" t="s">
        <v>4532</v>
      </c>
      <c r="K310" s="53" t="s">
        <v>4533</v>
      </c>
      <c r="L310" s="53" t="s">
        <v>4534</v>
      </c>
    </row>
    <row r="311" spans="1:12" ht="15" customHeight="1" x14ac:dyDescent="0.35">
      <c r="A311" s="53" t="s">
        <v>1874</v>
      </c>
      <c r="B311" s="53" t="s">
        <v>1697</v>
      </c>
      <c r="C311" s="55">
        <v>25.4166666666667</v>
      </c>
      <c r="D311" s="55">
        <v>1525</v>
      </c>
      <c r="E311" s="53">
        <v>23</v>
      </c>
      <c r="F311" s="53">
        <v>8</v>
      </c>
      <c r="G311" s="55">
        <v>0.34782608695652201</v>
      </c>
      <c r="H311" s="55">
        <v>66.304347826086996</v>
      </c>
      <c r="I311" s="55">
        <v>475</v>
      </c>
      <c r="J311" s="53" t="s">
        <v>4535</v>
      </c>
      <c r="K311" s="53" t="s">
        <v>4536</v>
      </c>
      <c r="L311" s="53" t="s">
        <v>3924</v>
      </c>
    </row>
    <row r="312" spans="1:12" ht="15" customHeight="1" x14ac:dyDescent="0.35">
      <c r="A312" s="53" t="s">
        <v>1877</v>
      </c>
      <c r="B312" s="53" t="s">
        <v>1009</v>
      </c>
      <c r="C312" s="55">
        <v>25.3333333333333</v>
      </c>
      <c r="D312" s="55">
        <v>1520</v>
      </c>
      <c r="E312" s="53">
        <v>46</v>
      </c>
      <c r="F312" s="53">
        <v>14</v>
      </c>
      <c r="G312" s="55">
        <v>0.30434782608695699</v>
      </c>
      <c r="H312" s="55">
        <v>33.043478260869598</v>
      </c>
      <c r="I312" s="55">
        <v>480</v>
      </c>
      <c r="J312" s="53" t="s">
        <v>4537</v>
      </c>
      <c r="K312" s="53" t="s">
        <v>4538</v>
      </c>
      <c r="L312" s="53" t="s">
        <v>3907</v>
      </c>
    </row>
    <row r="313" spans="1:12" ht="15" customHeight="1" x14ac:dyDescent="0.35">
      <c r="A313" s="53" t="s">
        <v>1880</v>
      </c>
      <c r="B313" s="53" t="s">
        <v>898</v>
      </c>
      <c r="C313" s="55">
        <v>24.783333333333299</v>
      </c>
      <c r="D313" s="55">
        <v>1487</v>
      </c>
      <c r="E313" s="53">
        <v>62</v>
      </c>
      <c r="F313" s="53">
        <v>15</v>
      </c>
      <c r="G313" s="55">
        <v>0.241935483870968</v>
      </c>
      <c r="H313" s="55">
        <v>23.9838709677419</v>
      </c>
      <c r="I313" s="55">
        <v>180</v>
      </c>
      <c r="J313" s="53" t="s">
        <v>4539</v>
      </c>
      <c r="K313" s="53" t="s">
        <v>4540</v>
      </c>
      <c r="L313" s="53" t="s">
        <v>3907</v>
      </c>
    </row>
    <row r="314" spans="1:12" ht="15" customHeight="1" x14ac:dyDescent="0.35">
      <c r="A314" s="53" t="s">
        <v>1883</v>
      </c>
      <c r="B314" s="53" t="s">
        <v>909</v>
      </c>
      <c r="C314" s="55">
        <v>24.6666666666667</v>
      </c>
      <c r="D314" s="55">
        <v>1480</v>
      </c>
      <c r="E314" s="53">
        <v>24</v>
      </c>
      <c r="F314" s="53">
        <v>13</v>
      </c>
      <c r="G314" s="55">
        <v>0.54166666666666696</v>
      </c>
      <c r="H314" s="55">
        <v>61.6666666666667</v>
      </c>
      <c r="I314" s="55">
        <v>297</v>
      </c>
      <c r="J314" s="53" t="s">
        <v>4541</v>
      </c>
      <c r="K314" s="53" t="s">
        <v>4542</v>
      </c>
      <c r="L314" s="53" t="s">
        <v>3907</v>
      </c>
    </row>
    <row r="315" spans="1:12" ht="15" customHeight="1" x14ac:dyDescent="0.35">
      <c r="A315" s="53" t="s">
        <v>1887</v>
      </c>
      <c r="B315" s="53" t="s">
        <v>1077</v>
      </c>
      <c r="C315" s="55">
        <v>24.5</v>
      </c>
      <c r="D315" s="55">
        <v>1470</v>
      </c>
      <c r="E315" s="53">
        <v>74</v>
      </c>
      <c r="F315" s="53">
        <v>4</v>
      </c>
      <c r="G315" s="55">
        <v>5.4054054054054099E-2</v>
      </c>
      <c r="H315" s="55">
        <v>19.864864864864899</v>
      </c>
      <c r="I315" s="55">
        <v>960</v>
      </c>
      <c r="J315" s="53" t="s">
        <v>4543</v>
      </c>
      <c r="K315" s="53" t="s">
        <v>4544</v>
      </c>
      <c r="L315" s="53" t="s">
        <v>4360</v>
      </c>
    </row>
    <row r="316" spans="1:12" ht="15" customHeight="1" x14ac:dyDescent="0.35">
      <c r="A316" s="53" t="s">
        <v>1890</v>
      </c>
      <c r="B316" s="53" t="s">
        <v>1118</v>
      </c>
      <c r="C316" s="55">
        <v>24.283333333333299</v>
      </c>
      <c r="D316" s="55">
        <v>1457</v>
      </c>
      <c r="E316" s="53">
        <v>10</v>
      </c>
      <c r="F316" s="53">
        <v>5</v>
      </c>
      <c r="G316" s="55">
        <v>0.5</v>
      </c>
      <c r="H316" s="55">
        <v>145.69999999999999</v>
      </c>
      <c r="I316" s="55">
        <v>640</v>
      </c>
      <c r="J316" s="53" t="s">
        <v>4545</v>
      </c>
      <c r="K316" s="53" t="s">
        <v>4546</v>
      </c>
      <c r="L316" s="53" t="s">
        <v>4165</v>
      </c>
    </row>
    <row r="317" spans="1:12" ht="15" customHeight="1" x14ac:dyDescent="0.35">
      <c r="A317" s="53" t="s">
        <v>1893</v>
      </c>
      <c r="B317" s="53" t="s">
        <v>1009</v>
      </c>
      <c r="C317" s="55">
        <v>24.1666666666667</v>
      </c>
      <c r="D317" s="55">
        <v>1450</v>
      </c>
      <c r="E317" s="53">
        <v>48</v>
      </c>
      <c r="F317" s="53">
        <v>17</v>
      </c>
      <c r="G317" s="55">
        <v>0.35416666666666702</v>
      </c>
      <c r="H317" s="55">
        <v>30.2083333333333</v>
      </c>
      <c r="I317" s="55">
        <v>240</v>
      </c>
      <c r="J317" s="53" t="s">
        <v>4547</v>
      </c>
      <c r="K317" s="53" t="s">
        <v>4548</v>
      </c>
      <c r="L317" s="53" t="s">
        <v>3907</v>
      </c>
    </row>
    <row r="318" spans="1:12" ht="15" customHeight="1" x14ac:dyDescent="0.35">
      <c r="A318" s="53" t="s">
        <v>1896</v>
      </c>
      <c r="B318" s="53" t="s">
        <v>917</v>
      </c>
      <c r="C318" s="55">
        <v>24</v>
      </c>
      <c r="D318" s="55">
        <v>1440</v>
      </c>
      <c r="E318" s="53">
        <v>7</v>
      </c>
      <c r="F318" s="53">
        <v>3</v>
      </c>
      <c r="G318" s="55">
        <v>0.42857142857142899</v>
      </c>
      <c r="H318" s="55">
        <v>205.71428571428601</v>
      </c>
      <c r="I318" s="55">
        <v>1200</v>
      </c>
      <c r="J318" s="53" t="s">
        <v>4549</v>
      </c>
      <c r="K318" s="53" t="s">
        <v>4550</v>
      </c>
      <c r="L318" s="53" t="s">
        <v>3924</v>
      </c>
    </row>
    <row r="319" spans="1:12" ht="15" customHeight="1" x14ac:dyDescent="0.35">
      <c r="A319" s="53" t="s">
        <v>1899</v>
      </c>
      <c r="B319" s="53" t="s">
        <v>921</v>
      </c>
      <c r="C319" s="55">
        <v>23.983333333333299</v>
      </c>
      <c r="D319" s="55">
        <v>1439</v>
      </c>
      <c r="E319" s="53">
        <v>43</v>
      </c>
      <c r="F319" s="53">
        <v>16</v>
      </c>
      <c r="G319" s="55">
        <v>0.372093023255814</v>
      </c>
      <c r="H319" s="55">
        <v>33.465116279069797</v>
      </c>
      <c r="I319" s="55">
        <v>200</v>
      </c>
      <c r="J319" s="53" t="s">
        <v>4551</v>
      </c>
      <c r="K319" s="53" t="s">
        <v>4552</v>
      </c>
      <c r="L319" s="53" t="s">
        <v>3907</v>
      </c>
    </row>
    <row r="320" spans="1:12" ht="15" customHeight="1" x14ac:dyDescent="0.35">
      <c r="A320" s="53" t="s">
        <v>1902</v>
      </c>
      <c r="B320" s="53" t="s">
        <v>1817</v>
      </c>
      <c r="C320" s="55">
        <v>23.9</v>
      </c>
      <c r="D320" s="55">
        <v>1434</v>
      </c>
      <c r="E320" s="53">
        <v>2</v>
      </c>
      <c r="F320" s="53">
        <v>1</v>
      </c>
      <c r="G320" s="55">
        <v>0.5</v>
      </c>
      <c r="H320" s="55">
        <v>717</v>
      </c>
      <c r="I320" s="55">
        <v>1434</v>
      </c>
      <c r="J320" s="53" t="s">
        <v>4553</v>
      </c>
      <c r="K320" s="53" t="s">
        <v>4554</v>
      </c>
      <c r="L320" s="53" t="s">
        <v>4214</v>
      </c>
    </row>
    <row r="321" spans="1:12" ht="15" customHeight="1" x14ac:dyDescent="0.35">
      <c r="A321" s="53" t="s">
        <v>1905</v>
      </c>
      <c r="B321" s="53" t="s">
        <v>1240</v>
      </c>
      <c r="C321" s="55">
        <v>23.55</v>
      </c>
      <c r="D321" s="55">
        <v>1413</v>
      </c>
      <c r="E321" s="53">
        <v>46</v>
      </c>
      <c r="F321" s="53">
        <v>16</v>
      </c>
      <c r="G321" s="55">
        <v>0.34782608695652201</v>
      </c>
      <c r="H321" s="55">
        <v>30.7173913043478</v>
      </c>
      <c r="I321" s="55">
        <v>360</v>
      </c>
      <c r="J321" s="53" t="s">
        <v>4555</v>
      </c>
      <c r="K321" s="53" t="s">
        <v>4556</v>
      </c>
      <c r="L321" s="53" t="s">
        <v>3907</v>
      </c>
    </row>
    <row r="322" spans="1:12" ht="15" customHeight="1" x14ac:dyDescent="0.35">
      <c r="A322" s="53" t="s">
        <v>1908</v>
      </c>
      <c r="B322" s="53" t="s">
        <v>1077</v>
      </c>
      <c r="C322" s="55">
        <v>23.5</v>
      </c>
      <c r="D322" s="55">
        <v>1410</v>
      </c>
      <c r="E322" s="53">
        <v>42</v>
      </c>
      <c r="F322" s="53">
        <v>10</v>
      </c>
      <c r="G322" s="55">
        <v>0.238095238095238</v>
      </c>
      <c r="H322" s="55">
        <v>33.571428571428598</v>
      </c>
      <c r="I322" s="55">
        <v>240</v>
      </c>
      <c r="J322" s="53" t="s">
        <v>4557</v>
      </c>
      <c r="K322" s="53" t="s">
        <v>4558</v>
      </c>
      <c r="L322" s="53" t="s">
        <v>3941</v>
      </c>
    </row>
    <row r="323" spans="1:12" ht="15" customHeight="1" x14ac:dyDescent="0.35">
      <c r="A323" s="53" t="s">
        <v>1911</v>
      </c>
      <c r="B323" s="53" t="s">
        <v>1240</v>
      </c>
      <c r="C323" s="55">
        <v>23.4166666666667</v>
      </c>
      <c r="D323" s="55">
        <v>1405</v>
      </c>
      <c r="E323" s="53">
        <v>54</v>
      </c>
      <c r="F323" s="53">
        <v>21</v>
      </c>
      <c r="G323" s="55">
        <v>0.38888888888888901</v>
      </c>
      <c r="H323" s="55">
        <v>26.018518518518501</v>
      </c>
      <c r="I323" s="55">
        <v>200</v>
      </c>
      <c r="J323" s="53" t="s">
        <v>4559</v>
      </c>
      <c r="K323" s="53" t="s">
        <v>4560</v>
      </c>
      <c r="L323" s="53" t="s">
        <v>3907</v>
      </c>
    </row>
    <row r="324" spans="1:12" ht="15" customHeight="1" x14ac:dyDescent="0.35">
      <c r="A324" s="53" t="s">
        <v>1914</v>
      </c>
      <c r="B324" s="53" t="s">
        <v>1659</v>
      </c>
      <c r="C324" s="55">
        <v>23.3</v>
      </c>
      <c r="D324" s="55">
        <v>1398</v>
      </c>
      <c r="E324" s="53">
        <v>20</v>
      </c>
      <c r="F324" s="53">
        <v>9</v>
      </c>
      <c r="G324" s="55">
        <v>0.45</v>
      </c>
      <c r="H324" s="55">
        <v>69.900000000000006</v>
      </c>
      <c r="I324" s="55">
        <v>1000</v>
      </c>
      <c r="J324" s="53" t="s">
        <v>4561</v>
      </c>
      <c r="K324" s="53" t="s">
        <v>4562</v>
      </c>
      <c r="L324" s="53" t="s">
        <v>4253</v>
      </c>
    </row>
    <row r="325" spans="1:12" ht="15" customHeight="1" x14ac:dyDescent="0.35">
      <c r="A325" s="53" t="s">
        <v>1917</v>
      </c>
      <c r="B325" s="53" t="s">
        <v>905</v>
      </c>
      <c r="C325" s="55">
        <v>23.0833333333333</v>
      </c>
      <c r="D325" s="55">
        <v>1385</v>
      </c>
      <c r="E325" s="53">
        <v>28</v>
      </c>
      <c r="F325" s="53">
        <v>13</v>
      </c>
      <c r="G325" s="55">
        <v>0.46428571428571402</v>
      </c>
      <c r="H325" s="55">
        <v>49.464285714285701</v>
      </c>
      <c r="I325" s="55">
        <v>240</v>
      </c>
      <c r="J325" s="53" t="s">
        <v>4563</v>
      </c>
      <c r="K325" s="53" t="s">
        <v>4564</v>
      </c>
      <c r="L325" s="53" t="s">
        <v>4256</v>
      </c>
    </row>
    <row r="326" spans="1:12" ht="15" customHeight="1" x14ac:dyDescent="0.35">
      <c r="A326" s="53" t="s">
        <v>1920</v>
      </c>
      <c r="B326" s="53" t="s">
        <v>1084</v>
      </c>
      <c r="C326" s="55">
        <v>22.883333333333301</v>
      </c>
      <c r="D326" s="55">
        <v>1373</v>
      </c>
      <c r="E326" s="53">
        <v>10</v>
      </c>
      <c r="F326" s="53">
        <v>2</v>
      </c>
      <c r="G326" s="55">
        <v>0.2</v>
      </c>
      <c r="H326" s="55">
        <v>137.30000000000001</v>
      </c>
      <c r="I326" s="55">
        <v>1372</v>
      </c>
      <c r="J326" s="53" t="s">
        <v>4565</v>
      </c>
      <c r="K326" s="53" t="s">
        <v>4566</v>
      </c>
      <c r="L326" s="53" t="s">
        <v>3941</v>
      </c>
    </row>
    <row r="327" spans="1:12" ht="15" customHeight="1" x14ac:dyDescent="0.35">
      <c r="A327" s="53" t="s">
        <v>1923</v>
      </c>
      <c r="B327" s="53" t="s">
        <v>1122</v>
      </c>
      <c r="C327" s="55">
        <v>22.316666666666698</v>
      </c>
      <c r="D327" s="55">
        <v>1339</v>
      </c>
      <c r="E327" s="53">
        <v>80</v>
      </c>
      <c r="F327" s="53">
        <v>9</v>
      </c>
      <c r="G327" s="55">
        <v>0.1125</v>
      </c>
      <c r="H327" s="55">
        <v>16.737500000000001</v>
      </c>
      <c r="I327" s="55">
        <v>700</v>
      </c>
      <c r="J327" s="53" t="s">
        <v>4567</v>
      </c>
      <c r="K327" s="53" t="s">
        <v>4568</v>
      </c>
      <c r="L327" s="53" t="s">
        <v>3907</v>
      </c>
    </row>
    <row r="328" spans="1:12" ht="15" customHeight="1" x14ac:dyDescent="0.35">
      <c r="A328" s="53" t="s">
        <v>1926</v>
      </c>
      <c r="B328" s="53" t="s">
        <v>942</v>
      </c>
      <c r="C328" s="55">
        <v>22.25</v>
      </c>
      <c r="D328" s="55">
        <v>1335</v>
      </c>
      <c r="E328" s="53">
        <v>8</v>
      </c>
      <c r="F328" s="53">
        <v>6</v>
      </c>
      <c r="G328" s="55">
        <v>0.75</v>
      </c>
      <c r="H328" s="55">
        <v>166.875</v>
      </c>
      <c r="I328" s="55">
        <v>920</v>
      </c>
      <c r="J328" s="53" t="s">
        <v>4569</v>
      </c>
      <c r="K328" s="53" t="s">
        <v>4570</v>
      </c>
      <c r="L328" s="53" t="s">
        <v>4571</v>
      </c>
    </row>
    <row r="329" spans="1:12" ht="15" customHeight="1" x14ac:dyDescent="0.35">
      <c r="A329" s="53" t="s">
        <v>1929</v>
      </c>
      <c r="B329" s="53" t="s">
        <v>1136</v>
      </c>
      <c r="C329" s="55">
        <v>22.15</v>
      </c>
      <c r="D329" s="55">
        <v>1329</v>
      </c>
      <c r="E329" s="53">
        <v>18</v>
      </c>
      <c r="F329" s="53">
        <v>9</v>
      </c>
      <c r="G329" s="55">
        <v>0.5</v>
      </c>
      <c r="H329" s="55">
        <v>73.8333333333333</v>
      </c>
      <c r="I329" s="55">
        <v>300</v>
      </c>
      <c r="J329" s="53" t="s">
        <v>4572</v>
      </c>
      <c r="K329" s="53" t="s">
        <v>4573</v>
      </c>
      <c r="L329" s="53" t="s">
        <v>3907</v>
      </c>
    </row>
    <row r="330" spans="1:12" ht="15" customHeight="1" x14ac:dyDescent="0.35">
      <c r="A330" s="53" t="s">
        <v>1932</v>
      </c>
      <c r="B330" s="53" t="s">
        <v>913</v>
      </c>
      <c r="C330" s="55">
        <v>21.8333333333333</v>
      </c>
      <c r="D330" s="55">
        <v>1310</v>
      </c>
      <c r="E330" s="53">
        <v>13</v>
      </c>
      <c r="F330" s="53">
        <v>7</v>
      </c>
      <c r="G330" s="55">
        <v>0.53846153846153799</v>
      </c>
      <c r="H330" s="55">
        <v>100.769230769231</v>
      </c>
      <c r="I330" s="55">
        <v>640</v>
      </c>
      <c r="J330" s="53" t="s">
        <v>4574</v>
      </c>
      <c r="K330" s="53" t="s">
        <v>4575</v>
      </c>
      <c r="L330" s="53" t="s">
        <v>4256</v>
      </c>
    </row>
    <row r="331" spans="1:12" ht="15" customHeight="1" x14ac:dyDescent="0.35">
      <c r="A331" s="53" t="s">
        <v>1935</v>
      </c>
      <c r="B331" s="53" t="s">
        <v>1646</v>
      </c>
      <c r="C331" s="55">
        <v>21.733333333333299</v>
      </c>
      <c r="D331" s="55">
        <v>1304</v>
      </c>
      <c r="E331" s="53">
        <v>24</v>
      </c>
      <c r="F331" s="53">
        <v>4</v>
      </c>
      <c r="G331" s="55">
        <v>0.16666666666666699</v>
      </c>
      <c r="H331" s="55">
        <v>54.3333333333333</v>
      </c>
      <c r="I331" s="55">
        <v>704</v>
      </c>
      <c r="J331" s="53" t="s">
        <v>4576</v>
      </c>
      <c r="K331" s="53" t="s">
        <v>4577</v>
      </c>
      <c r="L331" s="53" t="s">
        <v>4253</v>
      </c>
    </row>
    <row r="332" spans="1:12" ht="15" customHeight="1" x14ac:dyDescent="0.35">
      <c r="A332" s="53" t="s">
        <v>1938</v>
      </c>
      <c r="B332" s="53" t="s">
        <v>973</v>
      </c>
      <c r="C332" s="55">
        <v>21.5</v>
      </c>
      <c r="D332" s="55">
        <v>1290</v>
      </c>
      <c r="E332" s="53">
        <v>39</v>
      </c>
      <c r="F332" s="53">
        <v>14</v>
      </c>
      <c r="G332" s="55">
        <v>0.35897435897435898</v>
      </c>
      <c r="H332" s="55">
        <v>33.076923076923102</v>
      </c>
      <c r="I332" s="55">
        <v>280</v>
      </c>
      <c r="J332" s="53" t="s">
        <v>4578</v>
      </c>
      <c r="K332" s="53" t="s">
        <v>4579</v>
      </c>
      <c r="L332" s="53" t="s">
        <v>3907</v>
      </c>
    </row>
    <row r="333" spans="1:12" ht="15" customHeight="1" x14ac:dyDescent="0.35">
      <c r="A333" s="53" t="s">
        <v>1941</v>
      </c>
      <c r="B333" s="53" t="s">
        <v>1009</v>
      </c>
      <c r="C333" s="55">
        <v>21.183333333333302</v>
      </c>
      <c r="D333" s="55">
        <v>1271</v>
      </c>
      <c r="E333" s="53">
        <v>41</v>
      </c>
      <c r="F333" s="53">
        <v>16</v>
      </c>
      <c r="G333" s="55">
        <v>0.39024390243902402</v>
      </c>
      <c r="H333" s="55">
        <v>31</v>
      </c>
      <c r="I333" s="55">
        <v>400</v>
      </c>
      <c r="J333" s="53" t="s">
        <v>4580</v>
      </c>
      <c r="K333" s="53" t="s">
        <v>4581</v>
      </c>
      <c r="L333" s="53" t="s">
        <v>3907</v>
      </c>
    </row>
    <row r="334" spans="1:12" ht="15" customHeight="1" x14ac:dyDescent="0.35">
      <c r="A334" s="53" t="s">
        <v>1944</v>
      </c>
      <c r="B334" s="53" t="s">
        <v>1494</v>
      </c>
      <c r="C334" s="55">
        <v>21.1666666666667</v>
      </c>
      <c r="D334" s="55">
        <v>1270</v>
      </c>
      <c r="E334" s="53">
        <v>9</v>
      </c>
      <c r="F334" s="53">
        <v>4</v>
      </c>
      <c r="G334" s="55">
        <v>0.44444444444444398</v>
      </c>
      <c r="H334" s="55">
        <v>141.111111111111</v>
      </c>
      <c r="I334" s="55">
        <v>1000</v>
      </c>
      <c r="J334" s="53" t="s">
        <v>4582</v>
      </c>
      <c r="K334" s="53" t="s">
        <v>4583</v>
      </c>
      <c r="L334" s="53" t="s">
        <v>3924</v>
      </c>
    </row>
    <row r="335" spans="1:12" ht="15" customHeight="1" x14ac:dyDescent="0.35">
      <c r="A335" s="53" t="s">
        <v>1947</v>
      </c>
      <c r="B335" s="53" t="s">
        <v>1111</v>
      </c>
      <c r="C335" s="55">
        <v>21.0833333333333</v>
      </c>
      <c r="D335" s="55">
        <v>1265</v>
      </c>
      <c r="E335" s="53">
        <v>34</v>
      </c>
      <c r="F335" s="53">
        <v>13</v>
      </c>
      <c r="G335" s="55">
        <v>0.38235294117647101</v>
      </c>
      <c r="H335" s="55">
        <v>37.205882352941202</v>
      </c>
      <c r="I335" s="55">
        <v>400</v>
      </c>
      <c r="J335" s="53" t="s">
        <v>4584</v>
      </c>
      <c r="K335" s="53" t="s">
        <v>4585</v>
      </c>
      <c r="L335" s="53" t="s">
        <v>3907</v>
      </c>
    </row>
    <row r="336" spans="1:12" ht="15" customHeight="1" x14ac:dyDescent="0.35">
      <c r="A336" s="53" t="s">
        <v>1950</v>
      </c>
      <c r="B336" s="53" t="s">
        <v>1240</v>
      </c>
      <c r="C336" s="55">
        <v>21.0833333333333</v>
      </c>
      <c r="D336" s="55">
        <v>1265</v>
      </c>
      <c r="E336" s="53">
        <v>30</v>
      </c>
      <c r="F336" s="53">
        <v>14</v>
      </c>
      <c r="G336" s="55">
        <v>0.46666666666666701</v>
      </c>
      <c r="H336" s="55">
        <v>42.1666666666667</v>
      </c>
      <c r="I336" s="55">
        <v>240</v>
      </c>
      <c r="J336" s="53" t="s">
        <v>4586</v>
      </c>
      <c r="K336" s="53" t="s">
        <v>4587</v>
      </c>
      <c r="L336" s="53" t="s">
        <v>3907</v>
      </c>
    </row>
    <row r="337" spans="1:12" ht="15" customHeight="1" x14ac:dyDescent="0.35">
      <c r="A337" s="53" t="s">
        <v>1953</v>
      </c>
      <c r="B337" s="53" t="s">
        <v>921</v>
      </c>
      <c r="C337" s="55">
        <v>21.05</v>
      </c>
      <c r="D337" s="55">
        <v>1263</v>
      </c>
      <c r="E337" s="53">
        <v>10</v>
      </c>
      <c r="F337" s="53">
        <v>6</v>
      </c>
      <c r="G337" s="55">
        <v>0.6</v>
      </c>
      <c r="H337" s="55">
        <v>126.3</v>
      </c>
      <c r="I337" s="55">
        <v>300</v>
      </c>
      <c r="J337" s="53" t="s">
        <v>4588</v>
      </c>
      <c r="K337" s="53" t="s">
        <v>4589</v>
      </c>
      <c r="L337" s="53" t="s">
        <v>3907</v>
      </c>
    </row>
    <row r="338" spans="1:12" ht="15" customHeight="1" x14ac:dyDescent="0.35">
      <c r="A338" s="53" t="s">
        <v>1956</v>
      </c>
      <c r="B338" s="53" t="s">
        <v>1122</v>
      </c>
      <c r="C338" s="55">
        <v>20.866666666666699</v>
      </c>
      <c r="D338" s="55">
        <v>1252</v>
      </c>
      <c r="E338" s="53">
        <v>74</v>
      </c>
      <c r="F338" s="53">
        <v>14</v>
      </c>
      <c r="G338" s="55">
        <v>0.18918918918918901</v>
      </c>
      <c r="H338" s="55">
        <v>16.918918918918902</v>
      </c>
      <c r="I338" s="55">
        <v>240</v>
      </c>
      <c r="J338" s="53" t="s">
        <v>4590</v>
      </c>
      <c r="K338" s="53" t="s">
        <v>4591</v>
      </c>
      <c r="L338" s="53" t="s">
        <v>3907</v>
      </c>
    </row>
    <row r="339" spans="1:12" ht="15" customHeight="1" x14ac:dyDescent="0.35">
      <c r="A339" s="53" t="s">
        <v>1959</v>
      </c>
      <c r="B339" s="53" t="s">
        <v>989</v>
      </c>
      <c r="C339" s="55">
        <v>20.6666666666667</v>
      </c>
      <c r="D339" s="55">
        <v>1240</v>
      </c>
      <c r="E339" s="53">
        <v>41</v>
      </c>
      <c r="F339" s="53">
        <v>11</v>
      </c>
      <c r="G339" s="55">
        <v>0.26829268292682901</v>
      </c>
      <c r="H339" s="55">
        <v>30.243902439024399</v>
      </c>
      <c r="I339" s="55">
        <v>400</v>
      </c>
      <c r="J339" s="53" t="s">
        <v>4592</v>
      </c>
      <c r="K339" s="53" t="s">
        <v>4593</v>
      </c>
      <c r="L339" s="53" t="s">
        <v>3907</v>
      </c>
    </row>
    <row r="340" spans="1:12" ht="15" customHeight="1" x14ac:dyDescent="0.35">
      <c r="A340" s="53" t="s">
        <v>1962</v>
      </c>
      <c r="B340" s="53" t="s">
        <v>929</v>
      </c>
      <c r="C340" s="55">
        <v>20.6666666666667</v>
      </c>
      <c r="D340" s="55">
        <v>1240</v>
      </c>
      <c r="E340" s="53">
        <v>27</v>
      </c>
      <c r="F340" s="53">
        <v>8</v>
      </c>
      <c r="G340" s="55">
        <v>0.296296296296296</v>
      </c>
      <c r="H340" s="55">
        <v>45.925925925925903</v>
      </c>
      <c r="I340" s="55">
        <v>500</v>
      </c>
      <c r="J340" s="53" t="s">
        <v>4594</v>
      </c>
      <c r="K340" s="53" t="s">
        <v>4595</v>
      </c>
      <c r="L340" s="53" t="s">
        <v>3907</v>
      </c>
    </row>
    <row r="341" spans="1:12" ht="15" customHeight="1" x14ac:dyDescent="0.35">
      <c r="A341" s="53" t="s">
        <v>1965</v>
      </c>
      <c r="B341" s="53" t="s">
        <v>1768</v>
      </c>
      <c r="C341" s="55">
        <v>20.5833333333333</v>
      </c>
      <c r="D341" s="55">
        <v>1235</v>
      </c>
      <c r="E341" s="53">
        <v>84</v>
      </c>
      <c r="F341" s="53">
        <v>7</v>
      </c>
      <c r="G341" s="55">
        <v>8.3333333333333301E-2</v>
      </c>
      <c r="H341" s="55">
        <v>14.702380952381001</v>
      </c>
      <c r="I341" s="55">
        <v>330</v>
      </c>
      <c r="J341" s="53" t="s">
        <v>4596</v>
      </c>
      <c r="K341" s="53" t="s">
        <v>4597</v>
      </c>
      <c r="L341" s="53" t="s">
        <v>3907</v>
      </c>
    </row>
    <row r="342" spans="1:12" ht="15" customHeight="1" x14ac:dyDescent="0.35">
      <c r="A342" s="53" t="s">
        <v>1968</v>
      </c>
      <c r="B342" s="53" t="s">
        <v>1136</v>
      </c>
      <c r="C342" s="55">
        <v>20.5</v>
      </c>
      <c r="D342" s="55">
        <v>1230</v>
      </c>
      <c r="E342" s="53">
        <v>26</v>
      </c>
      <c r="F342" s="53">
        <v>9</v>
      </c>
      <c r="G342" s="55">
        <v>0.34615384615384598</v>
      </c>
      <c r="H342" s="55">
        <v>47.307692307692299</v>
      </c>
      <c r="I342" s="55">
        <v>450</v>
      </c>
      <c r="J342" s="53" t="s">
        <v>4598</v>
      </c>
      <c r="K342" s="53" t="s">
        <v>4599</v>
      </c>
      <c r="L342" s="53" t="s">
        <v>3907</v>
      </c>
    </row>
    <row r="343" spans="1:12" ht="15" customHeight="1" x14ac:dyDescent="0.35">
      <c r="A343" s="53" t="s">
        <v>1971</v>
      </c>
      <c r="B343" s="53" t="s">
        <v>1077</v>
      </c>
      <c r="C343" s="55">
        <v>20.3333333333333</v>
      </c>
      <c r="D343" s="55">
        <v>1220</v>
      </c>
      <c r="E343" s="53">
        <v>21</v>
      </c>
      <c r="F343" s="53">
        <v>1</v>
      </c>
      <c r="G343" s="55">
        <v>4.7619047619047603E-2</v>
      </c>
      <c r="H343" s="55">
        <v>58.095238095238102</v>
      </c>
      <c r="I343" s="55">
        <v>1220</v>
      </c>
      <c r="J343" s="53" t="s">
        <v>4600</v>
      </c>
      <c r="K343" s="53" t="s">
        <v>4601</v>
      </c>
      <c r="L343" s="53" t="s">
        <v>3941</v>
      </c>
    </row>
    <row r="344" spans="1:12" ht="15" customHeight="1" x14ac:dyDescent="0.35">
      <c r="A344" s="53" t="s">
        <v>1974</v>
      </c>
      <c r="B344" s="53" t="s">
        <v>929</v>
      </c>
      <c r="C344" s="55">
        <v>20.3333333333333</v>
      </c>
      <c r="D344" s="55">
        <v>1220</v>
      </c>
      <c r="E344" s="53">
        <v>6</v>
      </c>
      <c r="F344" s="53">
        <v>3</v>
      </c>
      <c r="G344" s="55">
        <v>0.5</v>
      </c>
      <c r="H344" s="55">
        <v>203.333333333333</v>
      </c>
      <c r="I344" s="55">
        <v>1205</v>
      </c>
      <c r="J344" s="53" t="s">
        <v>4602</v>
      </c>
      <c r="K344" s="53" t="s">
        <v>4603</v>
      </c>
      <c r="L344" s="53" t="s">
        <v>4604</v>
      </c>
    </row>
    <row r="345" spans="1:12" ht="15" customHeight="1" x14ac:dyDescent="0.35">
      <c r="A345" s="53" t="s">
        <v>1977</v>
      </c>
      <c r="B345" s="53" t="s">
        <v>1136</v>
      </c>
      <c r="C345" s="55">
        <v>20.1666666666667</v>
      </c>
      <c r="D345" s="55">
        <v>1210</v>
      </c>
      <c r="E345" s="53">
        <v>39</v>
      </c>
      <c r="F345" s="53">
        <v>17</v>
      </c>
      <c r="G345" s="55">
        <v>0.43589743589743601</v>
      </c>
      <c r="H345" s="55">
        <v>31.025641025641001</v>
      </c>
      <c r="I345" s="55">
        <v>240</v>
      </c>
      <c r="J345" s="53" t="s">
        <v>4605</v>
      </c>
      <c r="K345" s="53" t="s">
        <v>4606</v>
      </c>
      <c r="L345" s="53" t="s">
        <v>3907</v>
      </c>
    </row>
    <row r="346" spans="1:12" ht="15" customHeight="1" x14ac:dyDescent="0.35">
      <c r="A346" s="53" t="s">
        <v>1980</v>
      </c>
      <c r="B346" s="53" t="s">
        <v>959</v>
      </c>
      <c r="C346" s="55">
        <v>20.066666666666698</v>
      </c>
      <c r="D346" s="55">
        <v>1204</v>
      </c>
      <c r="E346" s="53">
        <v>48</v>
      </c>
      <c r="F346" s="53">
        <v>8</v>
      </c>
      <c r="G346" s="55">
        <v>0.16666666666666699</v>
      </c>
      <c r="H346" s="55">
        <v>25.0833333333333</v>
      </c>
      <c r="I346" s="55">
        <v>420</v>
      </c>
      <c r="J346" s="53" t="s">
        <v>4607</v>
      </c>
      <c r="K346" s="53" t="s">
        <v>4608</v>
      </c>
      <c r="L346" s="53" t="s">
        <v>3941</v>
      </c>
    </row>
    <row r="347" spans="1:12" ht="15" customHeight="1" x14ac:dyDescent="0.35">
      <c r="A347" s="53" t="s">
        <v>1983</v>
      </c>
      <c r="B347" s="53" t="s">
        <v>959</v>
      </c>
      <c r="C347" s="55">
        <v>20.016666666666701</v>
      </c>
      <c r="D347" s="55">
        <v>1201</v>
      </c>
      <c r="E347" s="53">
        <v>48</v>
      </c>
      <c r="F347" s="53">
        <v>6</v>
      </c>
      <c r="G347" s="55">
        <v>0.125</v>
      </c>
      <c r="H347" s="55">
        <v>25.0208333333333</v>
      </c>
      <c r="I347" s="55">
        <v>649</v>
      </c>
      <c r="J347" s="53" t="s">
        <v>4609</v>
      </c>
      <c r="K347" s="53" t="s">
        <v>4610</v>
      </c>
      <c r="L347" s="53" t="s">
        <v>3941</v>
      </c>
    </row>
    <row r="348" spans="1:12" ht="15" customHeight="1" x14ac:dyDescent="0.35">
      <c r="A348" s="53" t="s">
        <v>1986</v>
      </c>
      <c r="B348" s="53" t="s">
        <v>1690</v>
      </c>
      <c r="C348" s="55">
        <v>19.95</v>
      </c>
      <c r="D348" s="55">
        <v>1197</v>
      </c>
      <c r="E348" s="53">
        <v>9</v>
      </c>
      <c r="F348" s="53">
        <v>4</v>
      </c>
      <c r="G348" s="55">
        <v>0.44444444444444398</v>
      </c>
      <c r="H348" s="55">
        <v>133</v>
      </c>
      <c r="I348" s="55">
        <v>822</v>
      </c>
      <c r="J348" s="53" t="s">
        <v>4611</v>
      </c>
      <c r="K348" s="53" t="s">
        <v>4612</v>
      </c>
      <c r="L348" s="53" t="s">
        <v>3907</v>
      </c>
    </row>
    <row r="349" spans="1:12" ht="15" customHeight="1" x14ac:dyDescent="0.35">
      <c r="A349" s="53" t="s">
        <v>1989</v>
      </c>
      <c r="B349" s="53" t="s">
        <v>1582</v>
      </c>
      <c r="C349" s="55">
        <v>19.899999999999999</v>
      </c>
      <c r="D349" s="55">
        <v>1194</v>
      </c>
      <c r="E349" s="53">
        <v>47</v>
      </c>
      <c r="F349" s="53">
        <v>18</v>
      </c>
      <c r="G349" s="55">
        <v>0.38297872340425498</v>
      </c>
      <c r="H349" s="55">
        <v>25.404255319148898</v>
      </c>
      <c r="I349" s="55">
        <v>180</v>
      </c>
      <c r="J349" s="53" t="s">
        <v>4613</v>
      </c>
      <c r="K349" s="53" t="s">
        <v>4614</v>
      </c>
      <c r="L349" s="53" t="s">
        <v>4491</v>
      </c>
    </row>
    <row r="350" spans="1:12" ht="15" customHeight="1" x14ac:dyDescent="0.35">
      <c r="A350" s="53" t="s">
        <v>1992</v>
      </c>
      <c r="B350" s="53" t="s">
        <v>905</v>
      </c>
      <c r="C350" s="55">
        <v>19.5833333333333</v>
      </c>
      <c r="D350" s="55">
        <v>1175</v>
      </c>
      <c r="E350" s="53">
        <v>17</v>
      </c>
      <c r="F350" s="53">
        <v>7</v>
      </c>
      <c r="G350" s="55">
        <v>0.41176470588235298</v>
      </c>
      <c r="H350" s="55">
        <v>69.117647058823493</v>
      </c>
      <c r="I350" s="55">
        <v>365</v>
      </c>
      <c r="J350" s="53" t="s">
        <v>4615</v>
      </c>
      <c r="K350" s="53" t="s">
        <v>4616</v>
      </c>
      <c r="L350" s="53" t="s">
        <v>3924</v>
      </c>
    </row>
    <row r="351" spans="1:12" ht="15" customHeight="1" x14ac:dyDescent="0.35">
      <c r="A351" s="53" t="s">
        <v>1995</v>
      </c>
      <c r="B351" s="53" t="s">
        <v>946</v>
      </c>
      <c r="C351" s="55">
        <v>19.516666666666701</v>
      </c>
      <c r="D351" s="55">
        <v>1171</v>
      </c>
      <c r="E351" s="53">
        <v>38</v>
      </c>
      <c r="F351" s="53">
        <v>23</v>
      </c>
      <c r="G351" s="55">
        <v>0.60526315789473695</v>
      </c>
      <c r="H351" s="55">
        <v>30.815789473684202</v>
      </c>
      <c r="I351" s="55">
        <v>240</v>
      </c>
      <c r="J351" s="53" t="s">
        <v>4617</v>
      </c>
      <c r="K351" s="53" t="s">
        <v>4618</v>
      </c>
      <c r="L351" s="53" t="s">
        <v>3924</v>
      </c>
    </row>
    <row r="352" spans="1:12" ht="15" customHeight="1" x14ac:dyDescent="0.35">
      <c r="A352" s="53" t="s">
        <v>1998</v>
      </c>
      <c r="B352" s="53" t="s">
        <v>963</v>
      </c>
      <c r="C352" s="55">
        <v>19.45</v>
      </c>
      <c r="D352" s="55">
        <v>1167</v>
      </c>
      <c r="E352" s="53">
        <v>8</v>
      </c>
      <c r="F352" s="53">
        <v>3</v>
      </c>
      <c r="G352" s="55">
        <v>0.375</v>
      </c>
      <c r="H352" s="55">
        <v>145.875</v>
      </c>
      <c r="I352" s="55">
        <v>887</v>
      </c>
      <c r="J352" s="53" t="s">
        <v>4619</v>
      </c>
      <c r="K352" s="53" t="s">
        <v>4620</v>
      </c>
      <c r="L352" s="53" t="s">
        <v>4165</v>
      </c>
    </row>
    <row r="353" spans="1:12" ht="15" customHeight="1" x14ac:dyDescent="0.35">
      <c r="A353" s="53" t="s">
        <v>2001</v>
      </c>
      <c r="B353" s="53" t="s">
        <v>1077</v>
      </c>
      <c r="C353" s="55">
        <v>19.3333333333333</v>
      </c>
      <c r="D353" s="55">
        <v>1160</v>
      </c>
      <c r="E353" s="53">
        <v>35</v>
      </c>
      <c r="F353" s="53">
        <v>7</v>
      </c>
      <c r="G353" s="55">
        <v>0.2</v>
      </c>
      <c r="H353" s="55">
        <v>33.142857142857203</v>
      </c>
      <c r="I353" s="55">
        <v>480</v>
      </c>
      <c r="J353" s="53" t="s">
        <v>4621</v>
      </c>
      <c r="K353" s="53" t="s">
        <v>4622</v>
      </c>
      <c r="L353" s="53" t="s">
        <v>3941</v>
      </c>
    </row>
    <row r="354" spans="1:12" ht="15" customHeight="1" x14ac:dyDescent="0.35">
      <c r="A354" s="53" t="s">
        <v>2004</v>
      </c>
      <c r="B354" s="53" t="s">
        <v>1122</v>
      </c>
      <c r="C354" s="55">
        <v>19.1666666666667</v>
      </c>
      <c r="D354" s="55">
        <v>1150</v>
      </c>
      <c r="E354" s="53">
        <v>39</v>
      </c>
      <c r="F354" s="53">
        <v>8</v>
      </c>
      <c r="G354" s="55">
        <v>0.20512820512820501</v>
      </c>
      <c r="H354" s="55">
        <v>29.4871794871795</v>
      </c>
      <c r="I354" s="55">
        <v>330</v>
      </c>
      <c r="J354" s="53" t="s">
        <v>4623</v>
      </c>
      <c r="K354" s="53" t="s">
        <v>4624</v>
      </c>
      <c r="L354" s="53" t="s">
        <v>3924</v>
      </c>
    </row>
    <row r="355" spans="1:12" ht="15" customHeight="1" x14ac:dyDescent="0.35">
      <c r="A355" s="53" t="s">
        <v>2007</v>
      </c>
      <c r="B355" s="53" t="s">
        <v>1136</v>
      </c>
      <c r="C355" s="55">
        <v>19.116666666666699</v>
      </c>
      <c r="D355" s="55">
        <v>1147</v>
      </c>
      <c r="E355" s="53">
        <v>32</v>
      </c>
      <c r="F355" s="53">
        <v>12</v>
      </c>
      <c r="G355" s="55">
        <v>0.375</v>
      </c>
      <c r="H355" s="55">
        <v>35.84375</v>
      </c>
      <c r="I355" s="55">
        <v>240</v>
      </c>
      <c r="J355" s="53" t="s">
        <v>4625</v>
      </c>
      <c r="K355" s="53" t="s">
        <v>4626</v>
      </c>
      <c r="L355" s="53" t="s">
        <v>3907</v>
      </c>
    </row>
    <row r="356" spans="1:12" ht="15" customHeight="1" x14ac:dyDescent="0.35">
      <c r="A356" s="53" t="s">
        <v>2010</v>
      </c>
      <c r="B356" s="53" t="s">
        <v>1077</v>
      </c>
      <c r="C356" s="55">
        <v>19.016666666666701</v>
      </c>
      <c r="D356" s="55">
        <v>1141</v>
      </c>
      <c r="E356" s="53">
        <v>65</v>
      </c>
      <c r="F356" s="53">
        <v>6</v>
      </c>
      <c r="G356" s="55">
        <v>9.2307692307692299E-2</v>
      </c>
      <c r="H356" s="55">
        <v>17.553846153846202</v>
      </c>
      <c r="I356" s="55">
        <v>480</v>
      </c>
      <c r="J356" s="53" t="s">
        <v>4627</v>
      </c>
      <c r="K356" s="53" t="s">
        <v>4628</v>
      </c>
      <c r="L356" s="53" t="s">
        <v>4360</v>
      </c>
    </row>
    <row r="357" spans="1:12" ht="15" customHeight="1" x14ac:dyDescent="0.35">
      <c r="A357" s="53" t="s">
        <v>2013</v>
      </c>
      <c r="B357" s="53" t="s">
        <v>1009</v>
      </c>
      <c r="C357" s="55">
        <v>18.850000000000001</v>
      </c>
      <c r="D357" s="55">
        <v>1131</v>
      </c>
      <c r="E357" s="53">
        <v>45</v>
      </c>
      <c r="F357" s="53">
        <v>16</v>
      </c>
      <c r="G357" s="55">
        <v>0.35555555555555601</v>
      </c>
      <c r="H357" s="55">
        <v>25.133333333333301</v>
      </c>
      <c r="I357" s="55">
        <v>261</v>
      </c>
      <c r="J357" s="53" t="s">
        <v>4629</v>
      </c>
      <c r="K357" s="53" t="s">
        <v>4630</v>
      </c>
      <c r="L357" s="53" t="s">
        <v>3907</v>
      </c>
    </row>
    <row r="358" spans="1:12" ht="15" customHeight="1" x14ac:dyDescent="0.35">
      <c r="A358" s="53" t="s">
        <v>2016</v>
      </c>
      <c r="B358" s="53" t="s">
        <v>959</v>
      </c>
      <c r="C358" s="55">
        <v>18.716666666666701</v>
      </c>
      <c r="D358" s="55">
        <v>1123</v>
      </c>
      <c r="E358" s="53">
        <v>63</v>
      </c>
      <c r="F358" s="53">
        <v>9</v>
      </c>
      <c r="G358" s="55">
        <v>0.14285714285714299</v>
      </c>
      <c r="H358" s="55">
        <v>17.825396825396801</v>
      </c>
      <c r="I358" s="55">
        <v>480</v>
      </c>
      <c r="J358" s="53" t="s">
        <v>4631</v>
      </c>
      <c r="K358" s="53" t="s">
        <v>4632</v>
      </c>
      <c r="L358" s="53" t="s">
        <v>3941</v>
      </c>
    </row>
    <row r="359" spans="1:12" ht="15" customHeight="1" x14ac:dyDescent="0.35">
      <c r="A359" s="53" t="s">
        <v>2019</v>
      </c>
      <c r="B359" s="53" t="s">
        <v>1070</v>
      </c>
      <c r="C359" s="55">
        <v>18.7</v>
      </c>
      <c r="D359" s="55">
        <v>1122</v>
      </c>
      <c r="E359" s="53">
        <v>30</v>
      </c>
      <c r="F359" s="53">
        <v>16</v>
      </c>
      <c r="G359" s="55">
        <v>0.53333333333333299</v>
      </c>
      <c r="H359" s="55">
        <v>37.4</v>
      </c>
      <c r="I359" s="55">
        <v>360</v>
      </c>
      <c r="J359" s="53" t="s">
        <v>4633</v>
      </c>
      <c r="K359" s="53" t="s">
        <v>4634</v>
      </c>
      <c r="L359" s="53" t="s">
        <v>3907</v>
      </c>
    </row>
    <row r="360" spans="1:12" ht="15" customHeight="1" x14ac:dyDescent="0.35">
      <c r="A360" s="53" t="s">
        <v>2022</v>
      </c>
      <c r="B360" s="53" t="s">
        <v>913</v>
      </c>
      <c r="C360" s="55">
        <v>18.7</v>
      </c>
      <c r="D360" s="55">
        <v>1122</v>
      </c>
      <c r="E360" s="53">
        <v>20</v>
      </c>
      <c r="F360" s="53">
        <v>15</v>
      </c>
      <c r="G360" s="55">
        <v>0.75</v>
      </c>
      <c r="H360" s="55">
        <v>56.1</v>
      </c>
      <c r="I360" s="55">
        <v>180</v>
      </c>
      <c r="J360" s="53" t="s">
        <v>4635</v>
      </c>
      <c r="K360" s="53" t="s">
        <v>4636</v>
      </c>
      <c r="L360" s="53" t="s">
        <v>3924</v>
      </c>
    </row>
    <row r="361" spans="1:12" ht="15" customHeight="1" x14ac:dyDescent="0.35">
      <c r="A361" s="53" t="s">
        <v>2025</v>
      </c>
      <c r="B361" s="53" t="s">
        <v>1582</v>
      </c>
      <c r="C361" s="55">
        <v>18.4166666666667</v>
      </c>
      <c r="D361" s="55">
        <v>1105</v>
      </c>
      <c r="E361" s="53">
        <v>44</v>
      </c>
      <c r="F361" s="53">
        <v>17</v>
      </c>
      <c r="G361" s="55">
        <v>0.38636363636363602</v>
      </c>
      <c r="H361" s="55">
        <v>25.113636363636399</v>
      </c>
      <c r="I361" s="55">
        <v>360</v>
      </c>
      <c r="J361" s="53" t="s">
        <v>4637</v>
      </c>
      <c r="K361" s="53" t="s">
        <v>4638</v>
      </c>
      <c r="L361" s="53" t="s">
        <v>4491</v>
      </c>
    </row>
    <row r="362" spans="1:12" ht="15" customHeight="1" x14ac:dyDescent="0.35">
      <c r="A362" s="53" t="s">
        <v>2028</v>
      </c>
      <c r="B362" s="53" t="s">
        <v>913</v>
      </c>
      <c r="C362" s="55">
        <v>18.4166666666667</v>
      </c>
      <c r="D362" s="55">
        <v>1105</v>
      </c>
      <c r="E362" s="53">
        <v>21</v>
      </c>
      <c r="F362" s="53">
        <v>14</v>
      </c>
      <c r="G362" s="55">
        <v>0.66666666666666696</v>
      </c>
      <c r="H362" s="55">
        <v>52.619047619047599</v>
      </c>
      <c r="I362" s="55">
        <v>240</v>
      </c>
      <c r="J362" s="53" t="s">
        <v>4639</v>
      </c>
      <c r="K362" s="53" t="s">
        <v>4640</v>
      </c>
      <c r="L362" s="53" t="s">
        <v>3907</v>
      </c>
    </row>
    <row r="363" spans="1:12" ht="15" customHeight="1" x14ac:dyDescent="0.35">
      <c r="A363" s="53" t="s">
        <v>2031</v>
      </c>
      <c r="B363" s="53" t="s">
        <v>989</v>
      </c>
      <c r="C363" s="55">
        <v>18.233333333333299</v>
      </c>
      <c r="D363" s="55">
        <v>1094</v>
      </c>
      <c r="E363" s="53">
        <v>17</v>
      </c>
      <c r="F363" s="53">
        <v>4</v>
      </c>
      <c r="G363" s="55">
        <v>0.23529411764705899</v>
      </c>
      <c r="H363" s="55">
        <v>64.352941176470594</v>
      </c>
      <c r="I363" s="55">
        <v>866</v>
      </c>
      <c r="J363" s="53" t="s">
        <v>4641</v>
      </c>
      <c r="K363" s="53" t="s">
        <v>4642</v>
      </c>
      <c r="L363" s="53" t="s">
        <v>4165</v>
      </c>
    </row>
    <row r="364" spans="1:12" ht="15" customHeight="1" x14ac:dyDescent="0.35">
      <c r="A364" s="53" t="s">
        <v>2034</v>
      </c>
      <c r="B364" s="53" t="s">
        <v>1697</v>
      </c>
      <c r="C364" s="55">
        <v>18.1666666666667</v>
      </c>
      <c r="D364" s="55">
        <v>1090</v>
      </c>
      <c r="E364" s="53">
        <v>9</v>
      </c>
      <c r="F364" s="53">
        <v>4</v>
      </c>
      <c r="G364" s="55">
        <v>0.44444444444444398</v>
      </c>
      <c r="H364" s="55">
        <v>121.111111111111</v>
      </c>
      <c r="I364" s="55">
        <v>460</v>
      </c>
      <c r="J364" s="53" t="s">
        <v>4582</v>
      </c>
      <c r="K364" s="53" t="s">
        <v>4643</v>
      </c>
      <c r="L364" s="53" t="s">
        <v>4644</v>
      </c>
    </row>
    <row r="365" spans="1:12" ht="15" customHeight="1" x14ac:dyDescent="0.35">
      <c r="A365" s="53" t="s">
        <v>2036</v>
      </c>
      <c r="B365" s="53" t="s">
        <v>1054</v>
      </c>
      <c r="C365" s="55">
        <v>18</v>
      </c>
      <c r="D365" s="55">
        <v>1080</v>
      </c>
      <c r="E365" s="53">
        <v>14</v>
      </c>
      <c r="F365" s="53">
        <v>8</v>
      </c>
      <c r="G365" s="55">
        <v>0.57142857142857095</v>
      </c>
      <c r="H365" s="55">
        <v>77.142857142857096</v>
      </c>
      <c r="I365" s="55">
        <v>480</v>
      </c>
      <c r="J365" s="53" t="s">
        <v>4645</v>
      </c>
      <c r="K365" s="53" t="s">
        <v>4646</v>
      </c>
      <c r="L365" s="53" t="s">
        <v>4349</v>
      </c>
    </row>
    <row r="366" spans="1:12" ht="15" customHeight="1" x14ac:dyDescent="0.35">
      <c r="A366" s="53" t="s">
        <v>2039</v>
      </c>
      <c r="B366" s="53" t="s">
        <v>1009</v>
      </c>
      <c r="C366" s="55">
        <v>17.766666666666701</v>
      </c>
      <c r="D366" s="55">
        <v>1066</v>
      </c>
      <c r="E366" s="53">
        <v>29</v>
      </c>
      <c r="F366" s="53">
        <v>11</v>
      </c>
      <c r="G366" s="55">
        <v>0.37931034482758602</v>
      </c>
      <c r="H366" s="55">
        <v>36.758620689655203</v>
      </c>
      <c r="I366" s="55">
        <v>240</v>
      </c>
      <c r="J366" s="53" t="s">
        <v>4647</v>
      </c>
      <c r="K366" s="53" t="s">
        <v>4648</v>
      </c>
      <c r="L366" s="53" t="s">
        <v>3924</v>
      </c>
    </row>
    <row r="367" spans="1:12" ht="15" customHeight="1" x14ac:dyDescent="0.35">
      <c r="A367" s="53" t="s">
        <v>2042</v>
      </c>
      <c r="B367" s="53" t="s">
        <v>913</v>
      </c>
      <c r="C367" s="55">
        <v>17.733333333333299</v>
      </c>
      <c r="D367" s="55">
        <v>1064</v>
      </c>
      <c r="E367" s="53">
        <v>8</v>
      </c>
      <c r="F367" s="53">
        <v>4</v>
      </c>
      <c r="G367" s="55">
        <v>0.5</v>
      </c>
      <c r="H367" s="55">
        <v>133</v>
      </c>
      <c r="I367" s="55">
        <v>400</v>
      </c>
      <c r="J367" s="53" t="s">
        <v>4649</v>
      </c>
      <c r="K367" s="53" t="s">
        <v>4650</v>
      </c>
      <c r="L367" s="53" t="s">
        <v>3941</v>
      </c>
    </row>
    <row r="368" spans="1:12" ht="15" customHeight="1" x14ac:dyDescent="0.35">
      <c r="A368" s="53" t="s">
        <v>2045</v>
      </c>
      <c r="B368" s="53" t="s">
        <v>905</v>
      </c>
      <c r="C368" s="55">
        <v>17.616666666666699</v>
      </c>
      <c r="D368" s="55">
        <v>1057</v>
      </c>
      <c r="E368" s="53">
        <v>38</v>
      </c>
      <c r="F368" s="53">
        <v>17</v>
      </c>
      <c r="G368" s="55">
        <v>0.44736842105263203</v>
      </c>
      <c r="H368" s="55">
        <v>27.815789473684202</v>
      </c>
      <c r="I368" s="55">
        <v>180</v>
      </c>
      <c r="J368" s="53" t="s">
        <v>4651</v>
      </c>
      <c r="K368" s="53" t="s">
        <v>4652</v>
      </c>
      <c r="L368" s="53" t="s">
        <v>3924</v>
      </c>
    </row>
    <row r="369" spans="1:12" ht="15" customHeight="1" x14ac:dyDescent="0.35">
      <c r="A369" s="53" t="s">
        <v>2048</v>
      </c>
      <c r="B369" s="53" t="s">
        <v>973</v>
      </c>
      <c r="C369" s="55">
        <v>17.5833333333333</v>
      </c>
      <c r="D369" s="55">
        <v>1055</v>
      </c>
      <c r="E369" s="53">
        <v>41</v>
      </c>
      <c r="F369" s="53">
        <v>13</v>
      </c>
      <c r="G369" s="55">
        <v>0.31707317073170699</v>
      </c>
      <c r="H369" s="55">
        <v>25.731707317073202</v>
      </c>
      <c r="I369" s="55">
        <v>300</v>
      </c>
      <c r="J369" s="53" t="s">
        <v>4653</v>
      </c>
      <c r="K369" s="53" t="s">
        <v>4654</v>
      </c>
      <c r="L369" s="53" t="s">
        <v>3907</v>
      </c>
    </row>
    <row r="370" spans="1:12" ht="15" customHeight="1" x14ac:dyDescent="0.35">
      <c r="A370" s="53" t="s">
        <v>2051</v>
      </c>
      <c r="B370" s="53" t="s">
        <v>1077</v>
      </c>
      <c r="C370" s="55">
        <v>17.5833333333333</v>
      </c>
      <c r="D370" s="55">
        <v>1055</v>
      </c>
      <c r="E370" s="53">
        <v>30</v>
      </c>
      <c r="F370" s="53">
        <v>4</v>
      </c>
      <c r="G370" s="55">
        <v>0.133333333333333</v>
      </c>
      <c r="H370" s="55">
        <v>35.1666666666667</v>
      </c>
      <c r="I370" s="55">
        <v>960</v>
      </c>
      <c r="J370" s="53" t="s">
        <v>4655</v>
      </c>
      <c r="K370" s="53" t="s">
        <v>4656</v>
      </c>
      <c r="L370" s="53" t="s">
        <v>3941</v>
      </c>
    </row>
    <row r="371" spans="1:12" ht="15" customHeight="1" x14ac:dyDescent="0.35">
      <c r="A371" s="53" t="s">
        <v>2054</v>
      </c>
      <c r="B371" s="53" t="s">
        <v>1118</v>
      </c>
      <c r="C371" s="55">
        <v>17.566666666666698</v>
      </c>
      <c r="D371" s="55">
        <v>1054</v>
      </c>
      <c r="E371" s="53">
        <v>7</v>
      </c>
      <c r="F371" s="53">
        <v>3</v>
      </c>
      <c r="G371" s="55">
        <v>0.42857142857142899</v>
      </c>
      <c r="H371" s="55">
        <v>150.57142857142901</v>
      </c>
      <c r="I371" s="55">
        <v>450</v>
      </c>
      <c r="J371" s="53" t="s">
        <v>4657</v>
      </c>
      <c r="K371" s="53" t="s">
        <v>4658</v>
      </c>
      <c r="L371" s="53" t="s">
        <v>3941</v>
      </c>
    </row>
    <row r="372" spans="1:12" ht="15" customHeight="1" x14ac:dyDescent="0.35">
      <c r="A372" s="53" t="s">
        <v>2057</v>
      </c>
      <c r="B372" s="53" t="s">
        <v>921</v>
      </c>
      <c r="C372" s="55">
        <v>17.5</v>
      </c>
      <c r="D372" s="55">
        <v>1050</v>
      </c>
      <c r="E372" s="53">
        <v>60</v>
      </c>
      <c r="F372" s="53">
        <v>10</v>
      </c>
      <c r="G372" s="55">
        <v>0.16666666666666699</v>
      </c>
      <c r="H372" s="55">
        <v>17.5</v>
      </c>
      <c r="I372" s="55">
        <v>330</v>
      </c>
      <c r="J372" s="53" t="s">
        <v>4659</v>
      </c>
      <c r="K372" s="53" t="s">
        <v>4660</v>
      </c>
      <c r="L372" s="53" t="s">
        <v>3907</v>
      </c>
    </row>
    <row r="373" spans="1:12" ht="15" customHeight="1" x14ac:dyDescent="0.35">
      <c r="A373" s="53" t="s">
        <v>2060</v>
      </c>
      <c r="B373" s="53" t="s">
        <v>989</v>
      </c>
      <c r="C373" s="55">
        <v>17.5</v>
      </c>
      <c r="D373" s="55">
        <v>1050</v>
      </c>
      <c r="E373" s="53">
        <v>11</v>
      </c>
      <c r="F373" s="53">
        <v>9</v>
      </c>
      <c r="G373" s="55">
        <v>0.81818181818181801</v>
      </c>
      <c r="H373" s="55">
        <v>95.454545454545496</v>
      </c>
      <c r="I373" s="55">
        <v>270</v>
      </c>
      <c r="J373" s="53" t="s">
        <v>4661</v>
      </c>
      <c r="K373" s="53" t="s">
        <v>4662</v>
      </c>
      <c r="L373" s="53" t="s">
        <v>4253</v>
      </c>
    </row>
    <row r="374" spans="1:12" ht="15" customHeight="1" x14ac:dyDescent="0.35">
      <c r="A374" s="53" t="s">
        <v>2063</v>
      </c>
      <c r="B374" s="53" t="s">
        <v>1077</v>
      </c>
      <c r="C374" s="55">
        <v>17.3333333333333</v>
      </c>
      <c r="D374" s="55">
        <v>1040</v>
      </c>
      <c r="E374" s="53">
        <v>32</v>
      </c>
      <c r="F374" s="53">
        <v>6</v>
      </c>
      <c r="G374" s="55">
        <v>0.1875</v>
      </c>
      <c r="H374" s="55">
        <v>32.5</v>
      </c>
      <c r="I374" s="55">
        <v>480</v>
      </c>
      <c r="J374" s="53" t="s">
        <v>4663</v>
      </c>
      <c r="K374" s="53" t="s">
        <v>4664</v>
      </c>
      <c r="L374" s="53" t="s">
        <v>3941</v>
      </c>
    </row>
    <row r="375" spans="1:12" ht="15" customHeight="1" x14ac:dyDescent="0.35">
      <c r="A375" s="53" t="s">
        <v>2066</v>
      </c>
      <c r="B375" s="53" t="s">
        <v>1077</v>
      </c>
      <c r="C375" s="55">
        <v>17.0833333333333</v>
      </c>
      <c r="D375" s="55">
        <v>1025</v>
      </c>
      <c r="E375" s="53">
        <v>44</v>
      </c>
      <c r="F375" s="53">
        <v>6</v>
      </c>
      <c r="G375" s="55">
        <v>0.13636363636363599</v>
      </c>
      <c r="H375" s="55">
        <v>23.2954545454546</v>
      </c>
      <c r="I375" s="55">
        <v>480</v>
      </c>
      <c r="J375" s="53" t="s">
        <v>4665</v>
      </c>
      <c r="K375" s="53" t="s">
        <v>4666</v>
      </c>
      <c r="L375" s="53" t="s">
        <v>3924</v>
      </c>
    </row>
    <row r="376" spans="1:12" ht="15" customHeight="1" x14ac:dyDescent="0.35">
      <c r="A376" s="53" t="s">
        <v>2069</v>
      </c>
      <c r="B376" s="53" t="s">
        <v>1009</v>
      </c>
      <c r="C376" s="55">
        <v>17</v>
      </c>
      <c r="D376" s="55">
        <v>1020</v>
      </c>
      <c r="E376" s="53">
        <v>43</v>
      </c>
      <c r="F376" s="53">
        <v>12</v>
      </c>
      <c r="G376" s="55">
        <v>0.27906976744186102</v>
      </c>
      <c r="H376" s="55">
        <v>23.7209302325581</v>
      </c>
      <c r="I376" s="55">
        <v>240</v>
      </c>
      <c r="J376" s="53" t="s">
        <v>4667</v>
      </c>
      <c r="K376" s="53" t="s">
        <v>4668</v>
      </c>
      <c r="L376" s="53" t="s">
        <v>3907</v>
      </c>
    </row>
    <row r="377" spans="1:12" ht="15" customHeight="1" x14ac:dyDescent="0.35">
      <c r="A377" s="53" t="s">
        <v>2072</v>
      </c>
      <c r="B377" s="53" t="s">
        <v>1077</v>
      </c>
      <c r="C377" s="55">
        <v>17</v>
      </c>
      <c r="D377" s="55">
        <v>1020</v>
      </c>
      <c r="E377" s="53">
        <v>35</v>
      </c>
      <c r="F377" s="53">
        <v>5</v>
      </c>
      <c r="G377" s="55">
        <v>0.14285714285714299</v>
      </c>
      <c r="H377" s="55">
        <v>29.1428571428571</v>
      </c>
      <c r="I377" s="55">
        <v>480</v>
      </c>
      <c r="J377" s="53" t="s">
        <v>4669</v>
      </c>
      <c r="K377" s="53" t="s">
        <v>4670</v>
      </c>
      <c r="L377" s="53" t="s">
        <v>3941</v>
      </c>
    </row>
    <row r="378" spans="1:12" ht="15" customHeight="1" x14ac:dyDescent="0.35">
      <c r="A378" s="53" t="s">
        <v>2075</v>
      </c>
      <c r="B378" s="53" t="s">
        <v>1212</v>
      </c>
      <c r="C378" s="55">
        <v>16.6666666666667</v>
      </c>
      <c r="D378" s="55">
        <v>1000</v>
      </c>
      <c r="E378" s="53">
        <v>24</v>
      </c>
      <c r="F378" s="53">
        <v>8</v>
      </c>
      <c r="G378" s="55">
        <v>0.33333333333333298</v>
      </c>
      <c r="H378" s="55">
        <v>41.6666666666667</v>
      </c>
      <c r="I378" s="55">
        <v>460</v>
      </c>
      <c r="J378" s="53" t="s">
        <v>4671</v>
      </c>
      <c r="K378" s="53" t="s">
        <v>4672</v>
      </c>
      <c r="L378" s="53" t="s">
        <v>4673</v>
      </c>
    </row>
    <row r="379" spans="1:12" ht="15" customHeight="1" x14ac:dyDescent="0.35">
      <c r="A379" s="53" t="s">
        <v>2078</v>
      </c>
      <c r="B379" s="53" t="s">
        <v>1118</v>
      </c>
      <c r="C379" s="55">
        <v>16.45</v>
      </c>
      <c r="D379" s="55">
        <v>987</v>
      </c>
      <c r="E379" s="53">
        <v>25</v>
      </c>
      <c r="F379" s="53">
        <v>8</v>
      </c>
      <c r="G379" s="55">
        <v>0.32</v>
      </c>
      <c r="H379" s="55">
        <v>39.479999999999997</v>
      </c>
      <c r="I379" s="55">
        <v>255</v>
      </c>
      <c r="J379" s="53" t="s">
        <v>4674</v>
      </c>
      <c r="K379" s="53" t="s">
        <v>4675</v>
      </c>
      <c r="L379" s="53" t="s">
        <v>3907</v>
      </c>
    </row>
    <row r="380" spans="1:12" ht="15" customHeight="1" x14ac:dyDescent="0.35">
      <c r="A380" s="53" t="s">
        <v>2081</v>
      </c>
      <c r="B380" s="53" t="s">
        <v>1077</v>
      </c>
      <c r="C380" s="55">
        <v>16.3333333333333</v>
      </c>
      <c r="D380" s="55">
        <v>980</v>
      </c>
      <c r="E380" s="53">
        <v>52</v>
      </c>
      <c r="F380" s="53">
        <v>2</v>
      </c>
      <c r="G380" s="55">
        <v>3.8461538461538498E-2</v>
      </c>
      <c r="H380" s="55">
        <v>18.8461538461539</v>
      </c>
      <c r="I380" s="55">
        <v>860</v>
      </c>
      <c r="J380" s="53" t="s">
        <v>4676</v>
      </c>
      <c r="K380" s="53" t="s">
        <v>4677</v>
      </c>
      <c r="L380" s="53" t="s">
        <v>3941</v>
      </c>
    </row>
    <row r="381" spans="1:12" ht="15" customHeight="1" x14ac:dyDescent="0.35">
      <c r="A381" s="53" t="s">
        <v>2084</v>
      </c>
      <c r="B381" s="53" t="s">
        <v>1077</v>
      </c>
      <c r="C381" s="55">
        <v>16.0833333333333</v>
      </c>
      <c r="D381" s="55">
        <v>965</v>
      </c>
      <c r="E381" s="53">
        <v>71</v>
      </c>
      <c r="F381" s="53">
        <v>7</v>
      </c>
      <c r="G381" s="55">
        <v>9.85915492957746E-2</v>
      </c>
      <c r="H381" s="55">
        <v>13.5915492957747</v>
      </c>
      <c r="I381" s="55">
        <v>480</v>
      </c>
      <c r="J381" s="53" t="s">
        <v>4678</v>
      </c>
      <c r="K381" s="53" t="s">
        <v>4679</v>
      </c>
      <c r="L381" s="53" t="s">
        <v>4360</v>
      </c>
    </row>
    <row r="382" spans="1:12" ht="15" customHeight="1" x14ac:dyDescent="0.35">
      <c r="A382" s="53" t="s">
        <v>2087</v>
      </c>
      <c r="B382" s="53" t="s">
        <v>1009</v>
      </c>
      <c r="C382" s="55">
        <v>16</v>
      </c>
      <c r="D382" s="55">
        <v>960</v>
      </c>
      <c r="E382" s="53">
        <v>50</v>
      </c>
      <c r="F382" s="53">
        <v>17</v>
      </c>
      <c r="G382" s="55">
        <v>0.34</v>
      </c>
      <c r="H382" s="55">
        <v>19.2</v>
      </c>
      <c r="I382" s="55">
        <v>180</v>
      </c>
      <c r="J382" s="53" t="s">
        <v>4680</v>
      </c>
      <c r="K382" s="53" t="s">
        <v>4681</v>
      </c>
      <c r="L382" s="53" t="s">
        <v>3907</v>
      </c>
    </row>
    <row r="383" spans="1:12" ht="15" customHeight="1" x14ac:dyDescent="0.35">
      <c r="A383" s="53" t="s">
        <v>2090</v>
      </c>
      <c r="B383" s="53" t="s">
        <v>1077</v>
      </c>
      <c r="C383" s="55">
        <v>16</v>
      </c>
      <c r="D383" s="55">
        <v>960</v>
      </c>
      <c r="E383" s="53">
        <v>12</v>
      </c>
      <c r="F383" s="53">
        <v>1</v>
      </c>
      <c r="G383" s="55">
        <v>8.3333333333333301E-2</v>
      </c>
      <c r="H383" s="55">
        <v>80</v>
      </c>
      <c r="I383" s="55">
        <v>960</v>
      </c>
      <c r="J383" s="53" t="s">
        <v>4682</v>
      </c>
      <c r="K383" s="53" t="s">
        <v>4683</v>
      </c>
      <c r="L383" s="53" t="s">
        <v>3941</v>
      </c>
    </row>
    <row r="384" spans="1:12" ht="15" customHeight="1" x14ac:dyDescent="0.35">
      <c r="A384" s="53" t="s">
        <v>2093</v>
      </c>
      <c r="B384" s="53" t="s">
        <v>1136</v>
      </c>
      <c r="C384" s="55">
        <v>16</v>
      </c>
      <c r="D384" s="55">
        <v>960</v>
      </c>
      <c r="E384" s="53">
        <v>1</v>
      </c>
      <c r="F384" s="53">
        <v>1</v>
      </c>
      <c r="G384" s="55">
        <v>1</v>
      </c>
      <c r="H384" s="55">
        <v>960</v>
      </c>
      <c r="I384" s="55">
        <v>960</v>
      </c>
      <c r="J384" s="53" t="s">
        <v>4684</v>
      </c>
      <c r="K384" s="53" t="s">
        <v>4685</v>
      </c>
      <c r="L384" s="53" t="s">
        <v>4686</v>
      </c>
    </row>
    <row r="385" spans="1:12" ht="15" customHeight="1" x14ac:dyDescent="0.35">
      <c r="A385" s="53" t="s">
        <v>2096</v>
      </c>
      <c r="B385" s="53" t="s">
        <v>905</v>
      </c>
      <c r="C385" s="55">
        <v>15.75</v>
      </c>
      <c r="D385" s="55">
        <v>945</v>
      </c>
      <c r="E385" s="53">
        <v>28</v>
      </c>
      <c r="F385" s="53">
        <v>12</v>
      </c>
      <c r="G385" s="55">
        <v>0.42857142857142899</v>
      </c>
      <c r="H385" s="55">
        <v>33.75</v>
      </c>
      <c r="I385" s="55">
        <v>150</v>
      </c>
      <c r="J385" s="53" t="s">
        <v>4687</v>
      </c>
      <c r="K385" s="53" t="s">
        <v>4688</v>
      </c>
      <c r="L385" s="53" t="s">
        <v>3924</v>
      </c>
    </row>
    <row r="386" spans="1:12" ht="15" customHeight="1" x14ac:dyDescent="0.35">
      <c r="A386" s="53" t="s">
        <v>2099</v>
      </c>
      <c r="B386" s="53" t="s">
        <v>1084</v>
      </c>
      <c r="C386" s="55">
        <v>15.75</v>
      </c>
      <c r="D386" s="55">
        <v>945</v>
      </c>
      <c r="E386" s="53">
        <v>9</v>
      </c>
      <c r="F386" s="53">
        <v>2</v>
      </c>
      <c r="G386" s="55">
        <v>0.22222222222222199</v>
      </c>
      <c r="H386" s="55">
        <v>105</v>
      </c>
      <c r="I386" s="55">
        <v>600</v>
      </c>
      <c r="J386" s="53" t="s">
        <v>4689</v>
      </c>
      <c r="K386" s="53" t="s">
        <v>4690</v>
      </c>
      <c r="L386" s="53" t="s">
        <v>3941</v>
      </c>
    </row>
    <row r="387" spans="1:12" ht="15" customHeight="1" x14ac:dyDescent="0.35">
      <c r="A387" s="53" t="s">
        <v>2102</v>
      </c>
      <c r="B387" s="53" t="s">
        <v>1050</v>
      </c>
      <c r="C387" s="55">
        <v>15.6833333333333</v>
      </c>
      <c r="D387" s="55">
        <v>941</v>
      </c>
      <c r="E387" s="53">
        <v>8</v>
      </c>
      <c r="F387" s="53">
        <v>3</v>
      </c>
      <c r="G387" s="55">
        <v>0.375</v>
      </c>
      <c r="H387" s="55">
        <v>117.625</v>
      </c>
      <c r="I387" s="55">
        <v>520</v>
      </c>
      <c r="J387" s="53" t="s">
        <v>4691</v>
      </c>
      <c r="K387" s="53" t="s">
        <v>4692</v>
      </c>
      <c r="L387" s="53" t="s">
        <v>3924</v>
      </c>
    </row>
    <row r="388" spans="1:12" ht="15" customHeight="1" x14ac:dyDescent="0.35">
      <c r="A388" s="53" t="s">
        <v>2105</v>
      </c>
      <c r="B388" s="53" t="s">
        <v>905</v>
      </c>
      <c r="C388" s="55">
        <v>15.5</v>
      </c>
      <c r="D388" s="55">
        <v>930</v>
      </c>
      <c r="E388" s="53">
        <v>13</v>
      </c>
      <c r="F388" s="53">
        <v>6</v>
      </c>
      <c r="G388" s="55">
        <v>0.46153846153846201</v>
      </c>
      <c r="H388" s="55">
        <v>71.538461538461505</v>
      </c>
      <c r="I388" s="55">
        <v>350</v>
      </c>
      <c r="J388" s="53" t="s">
        <v>4693</v>
      </c>
      <c r="K388" s="53" t="s">
        <v>4694</v>
      </c>
      <c r="L388" s="53" t="s">
        <v>3907</v>
      </c>
    </row>
    <row r="389" spans="1:12" ht="15" customHeight="1" x14ac:dyDescent="0.35">
      <c r="A389" s="53" t="s">
        <v>2108</v>
      </c>
      <c r="B389" s="53" t="s">
        <v>1009</v>
      </c>
      <c r="C389" s="55">
        <v>15.3333333333333</v>
      </c>
      <c r="D389" s="55">
        <v>920</v>
      </c>
      <c r="E389" s="53">
        <v>69</v>
      </c>
      <c r="F389" s="53">
        <v>21</v>
      </c>
      <c r="G389" s="55">
        <v>0.30434782608695699</v>
      </c>
      <c r="H389" s="55">
        <v>13.3333333333333</v>
      </c>
      <c r="I389" s="55">
        <v>120</v>
      </c>
      <c r="J389" s="53" t="s">
        <v>4695</v>
      </c>
      <c r="K389" s="53" t="s">
        <v>4696</v>
      </c>
      <c r="L389" s="53" t="s">
        <v>3907</v>
      </c>
    </row>
    <row r="390" spans="1:12" ht="15" customHeight="1" x14ac:dyDescent="0.35">
      <c r="A390" s="53" t="s">
        <v>2111</v>
      </c>
      <c r="B390" s="53" t="s">
        <v>921</v>
      </c>
      <c r="C390" s="55">
        <v>15.3333333333333</v>
      </c>
      <c r="D390" s="55">
        <v>920</v>
      </c>
      <c r="E390" s="53">
        <v>19</v>
      </c>
      <c r="F390" s="53">
        <v>10</v>
      </c>
      <c r="G390" s="55">
        <v>0.52631578947368396</v>
      </c>
      <c r="H390" s="55">
        <v>48.421052631579002</v>
      </c>
      <c r="I390" s="55">
        <v>360</v>
      </c>
      <c r="J390" s="53" t="s">
        <v>4697</v>
      </c>
      <c r="K390" s="53" t="s">
        <v>4698</v>
      </c>
      <c r="L390" s="53" t="s">
        <v>4256</v>
      </c>
    </row>
    <row r="391" spans="1:12" ht="15" customHeight="1" x14ac:dyDescent="0.35">
      <c r="A391" s="53" t="s">
        <v>2114</v>
      </c>
      <c r="B391" s="53" t="s">
        <v>959</v>
      </c>
      <c r="C391" s="55">
        <v>15.3333333333333</v>
      </c>
      <c r="D391" s="55">
        <v>920</v>
      </c>
      <c r="E391" s="53">
        <v>3</v>
      </c>
      <c r="F391" s="53">
        <v>3</v>
      </c>
      <c r="G391" s="55">
        <v>1</v>
      </c>
      <c r="H391" s="55">
        <v>306.66666666666703</v>
      </c>
      <c r="I391" s="55">
        <v>680</v>
      </c>
      <c r="J391" s="53" t="s">
        <v>4699</v>
      </c>
      <c r="K391" s="53" t="s">
        <v>4700</v>
      </c>
      <c r="L391" s="53" t="s">
        <v>4604</v>
      </c>
    </row>
    <row r="392" spans="1:12" ht="15" customHeight="1" x14ac:dyDescent="0.35">
      <c r="A392" s="53" t="s">
        <v>2117</v>
      </c>
      <c r="B392" s="53" t="s">
        <v>1077</v>
      </c>
      <c r="C392" s="55">
        <v>14.966666666666701</v>
      </c>
      <c r="D392" s="55">
        <v>898</v>
      </c>
      <c r="E392" s="53">
        <v>20</v>
      </c>
      <c r="F392" s="53">
        <v>3</v>
      </c>
      <c r="G392" s="55">
        <v>0.15</v>
      </c>
      <c r="H392" s="55">
        <v>44.9</v>
      </c>
      <c r="I392" s="55">
        <v>398</v>
      </c>
      <c r="J392" s="53" t="s">
        <v>4701</v>
      </c>
      <c r="K392" s="53" t="s">
        <v>4702</v>
      </c>
      <c r="L392" s="53" t="s">
        <v>3941</v>
      </c>
    </row>
    <row r="393" spans="1:12" ht="15" customHeight="1" x14ac:dyDescent="0.35">
      <c r="A393" s="53" t="s">
        <v>2120</v>
      </c>
      <c r="B393" s="53" t="s">
        <v>1646</v>
      </c>
      <c r="C393" s="55">
        <v>14.9333333333333</v>
      </c>
      <c r="D393" s="55">
        <v>896</v>
      </c>
      <c r="E393" s="53">
        <v>18</v>
      </c>
      <c r="F393" s="53">
        <v>8</v>
      </c>
      <c r="G393" s="55">
        <v>0.44444444444444398</v>
      </c>
      <c r="H393" s="55">
        <v>49.7777777777778</v>
      </c>
      <c r="I393" s="55">
        <v>186</v>
      </c>
      <c r="J393" s="53" t="s">
        <v>4703</v>
      </c>
      <c r="K393" s="53" t="s">
        <v>4704</v>
      </c>
      <c r="L393" s="53" t="s">
        <v>4253</v>
      </c>
    </row>
    <row r="394" spans="1:12" ht="15" customHeight="1" x14ac:dyDescent="0.35">
      <c r="A394" s="53" t="s">
        <v>2123</v>
      </c>
      <c r="B394" s="53" t="s">
        <v>921</v>
      </c>
      <c r="C394" s="55">
        <v>14.9166666666667</v>
      </c>
      <c r="D394" s="55">
        <v>895</v>
      </c>
      <c r="E394" s="53">
        <v>3</v>
      </c>
      <c r="F394" s="53">
        <v>2</v>
      </c>
      <c r="G394" s="55">
        <v>0.66666666666666696</v>
      </c>
      <c r="H394" s="55">
        <v>298.33333333333297</v>
      </c>
      <c r="I394" s="55">
        <v>880</v>
      </c>
      <c r="J394" s="53" t="s">
        <v>4705</v>
      </c>
      <c r="K394" s="53" t="s">
        <v>4706</v>
      </c>
      <c r="L394" s="53" t="s">
        <v>4253</v>
      </c>
    </row>
    <row r="395" spans="1:12" ht="15" customHeight="1" x14ac:dyDescent="0.35">
      <c r="A395" s="53" t="s">
        <v>2126</v>
      </c>
      <c r="B395" s="53" t="s">
        <v>963</v>
      </c>
      <c r="C395" s="55">
        <v>14.733333333333301</v>
      </c>
      <c r="D395" s="55">
        <v>884</v>
      </c>
      <c r="E395" s="53">
        <v>59</v>
      </c>
      <c r="F395" s="53">
        <v>10</v>
      </c>
      <c r="G395" s="55">
        <v>0.169491525423729</v>
      </c>
      <c r="H395" s="55">
        <v>14.9830508474576</v>
      </c>
      <c r="I395" s="55">
        <v>180</v>
      </c>
      <c r="J395" s="53" t="s">
        <v>4707</v>
      </c>
      <c r="K395" s="53" t="s">
        <v>4708</v>
      </c>
      <c r="L395" s="53" t="s">
        <v>3907</v>
      </c>
    </row>
    <row r="396" spans="1:12" ht="15" customHeight="1" x14ac:dyDescent="0.35">
      <c r="A396" s="53" t="s">
        <v>2129</v>
      </c>
      <c r="B396" s="53" t="s">
        <v>905</v>
      </c>
      <c r="C396" s="55">
        <v>14.6833333333333</v>
      </c>
      <c r="D396" s="55">
        <v>881</v>
      </c>
      <c r="E396" s="53">
        <v>30</v>
      </c>
      <c r="F396" s="53">
        <v>11</v>
      </c>
      <c r="G396" s="55">
        <v>0.36666666666666697</v>
      </c>
      <c r="H396" s="55">
        <v>29.366666666666699</v>
      </c>
      <c r="I396" s="55">
        <v>181</v>
      </c>
      <c r="J396" s="53" t="s">
        <v>4709</v>
      </c>
      <c r="K396" s="53" t="s">
        <v>4710</v>
      </c>
      <c r="L396" s="53" t="s">
        <v>3907</v>
      </c>
    </row>
    <row r="397" spans="1:12" ht="15" customHeight="1" x14ac:dyDescent="0.35">
      <c r="A397" s="53" t="s">
        <v>2132</v>
      </c>
      <c r="B397" s="53" t="s">
        <v>1050</v>
      </c>
      <c r="C397" s="55">
        <v>14.616666666666699</v>
      </c>
      <c r="D397" s="55">
        <v>877</v>
      </c>
      <c r="E397" s="53">
        <v>7</v>
      </c>
      <c r="F397" s="53">
        <v>2</v>
      </c>
      <c r="G397" s="55">
        <v>0.28571428571428598</v>
      </c>
      <c r="H397" s="55">
        <v>125.28571428571399</v>
      </c>
      <c r="I397" s="55">
        <v>440</v>
      </c>
      <c r="J397" s="53" t="s">
        <v>4711</v>
      </c>
      <c r="K397" s="53" t="s">
        <v>4712</v>
      </c>
      <c r="L397" s="53" t="s">
        <v>3941</v>
      </c>
    </row>
    <row r="398" spans="1:12" ht="15" customHeight="1" x14ac:dyDescent="0.35">
      <c r="A398" s="53" t="s">
        <v>2135</v>
      </c>
      <c r="B398" s="53" t="s">
        <v>1009</v>
      </c>
      <c r="C398" s="55">
        <v>14.55</v>
      </c>
      <c r="D398" s="55">
        <v>873</v>
      </c>
      <c r="E398" s="53">
        <v>41</v>
      </c>
      <c r="F398" s="53">
        <v>15</v>
      </c>
      <c r="G398" s="55">
        <v>0.36585365853658502</v>
      </c>
      <c r="H398" s="55">
        <v>21.292682926829301</v>
      </c>
      <c r="I398" s="55">
        <v>240</v>
      </c>
      <c r="J398" s="53" t="s">
        <v>4713</v>
      </c>
      <c r="K398" s="53" t="s">
        <v>4714</v>
      </c>
      <c r="L398" s="53" t="s">
        <v>3924</v>
      </c>
    </row>
    <row r="399" spans="1:12" ht="15" customHeight="1" x14ac:dyDescent="0.35">
      <c r="A399" s="53" t="s">
        <v>2138</v>
      </c>
      <c r="B399" s="53" t="s">
        <v>1077</v>
      </c>
      <c r="C399" s="55">
        <v>14.5</v>
      </c>
      <c r="D399" s="55">
        <v>870</v>
      </c>
      <c r="E399" s="53">
        <v>5</v>
      </c>
      <c r="F399" s="53">
        <v>2</v>
      </c>
      <c r="G399" s="55">
        <v>0.4</v>
      </c>
      <c r="H399" s="55">
        <v>174</v>
      </c>
      <c r="I399" s="55">
        <v>860</v>
      </c>
      <c r="J399" s="53" t="s">
        <v>4715</v>
      </c>
      <c r="K399" s="53" t="s">
        <v>4716</v>
      </c>
      <c r="L399" s="53" t="s">
        <v>4360</v>
      </c>
    </row>
    <row r="400" spans="1:12" ht="15" customHeight="1" x14ac:dyDescent="0.35">
      <c r="A400" s="53" t="s">
        <v>2141</v>
      </c>
      <c r="B400" s="53" t="s">
        <v>1212</v>
      </c>
      <c r="C400" s="55">
        <v>14.4333333333333</v>
      </c>
      <c r="D400" s="55">
        <v>866</v>
      </c>
      <c r="E400" s="53">
        <v>45</v>
      </c>
      <c r="F400" s="53">
        <v>13</v>
      </c>
      <c r="G400" s="55">
        <v>0.28888888888888897</v>
      </c>
      <c r="H400" s="55">
        <v>19.244444444444401</v>
      </c>
      <c r="I400" s="55">
        <v>180</v>
      </c>
      <c r="J400" s="53" t="s">
        <v>4717</v>
      </c>
      <c r="K400" s="53" t="s">
        <v>4718</v>
      </c>
      <c r="L400" s="53" t="s">
        <v>4491</v>
      </c>
    </row>
    <row r="401" spans="1:12" ht="15" customHeight="1" x14ac:dyDescent="0.35">
      <c r="A401" s="53" t="s">
        <v>2144</v>
      </c>
      <c r="B401" s="53" t="s">
        <v>929</v>
      </c>
      <c r="C401" s="55">
        <v>14.366666666666699</v>
      </c>
      <c r="D401" s="55">
        <v>862</v>
      </c>
      <c r="E401" s="53">
        <v>8</v>
      </c>
      <c r="F401" s="53">
        <v>6</v>
      </c>
      <c r="G401" s="55">
        <v>0.75</v>
      </c>
      <c r="H401" s="55">
        <v>107.75</v>
      </c>
      <c r="I401" s="55">
        <v>391</v>
      </c>
      <c r="J401" s="53" t="s">
        <v>4719</v>
      </c>
      <c r="K401" s="53" t="s">
        <v>4720</v>
      </c>
      <c r="L401" s="53" t="s">
        <v>4571</v>
      </c>
    </row>
    <row r="402" spans="1:12" ht="15" customHeight="1" x14ac:dyDescent="0.35">
      <c r="A402" s="53" t="s">
        <v>2147</v>
      </c>
      <c r="B402" s="53" t="s">
        <v>959</v>
      </c>
      <c r="C402" s="55">
        <v>14.3333333333333</v>
      </c>
      <c r="D402" s="55">
        <v>860</v>
      </c>
      <c r="E402" s="53">
        <v>43</v>
      </c>
      <c r="F402" s="53">
        <v>3</v>
      </c>
      <c r="G402" s="55">
        <v>6.9767441860465101E-2</v>
      </c>
      <c r="H402" s="55">
        <v>20</v>
      </c>
      <c r="I402" s="55">
        <v>620</v>
      </c>
      <c r="J402" s="53" t="s">
        <v>4721</v>
      </c>
      <c r="K402" s="53" t="s">
        <v>4722</v>
      </c>
      <c r="L402" s="53" t="s">
        <v>3941</v>
      </c>
    </row>
    <row r="403" spans="1:12" ht="15" customHeight="1" x14ac:dyDescent="0.35">
      <c r="A403" s="53" t="s">
        <v>2150</v>
      </c>
      <c r="B403" s="53" t="s">
        <v>1240</v>
      </c>
      <c r="C403" s="55">
        <v>14.1833333333333</v>
      </c>
      <c r="D403" s="55">
        <v>851</v>
      </c>
      <c r="E403" s="53">
        <v>36</v>
      </c>
      <c r="F403" s="53">
        <v>11</v>
      </c>
      <c r="G403" s="55">
        <v>0.30555555555555602</v>
      </c>
      <c r="H403" s="55">
        <v>23.6388888888889</v>
      </c>
      <c r="I403" s="55">
        <v>240</v>
      </c>
      <c r="J403" s="53" t="s">
        <v>4723</v>
      </c>
      <c r="K403" s="53" t="s">
        <v>4724</v>
      </c>
      <c r="L403" s="53" t="s">
        <v>3907</v>
      </c>
    </row>
    <row r="404" spans="1:12" ht="15" customHeight="1" x14ac:dyDescent="0.35">
      <c r="A404" s="53" t="s">
        <v>2153</v>
      </c>
      <c r="B404" s="53" t="s">
        <v>921</v>
      </c>
      <c r="C404" s="55">
        <v>14.1666666666667</v>
      </c>
      <c r="D404" s="55">
        <v>850</v>
      </c>
      <c r="E404" s="53">
        <v>23</v>
      </c>
      <c r="F404" s="53">
        <v>12</v>
      </c>
      <c r="G404" s="55">
        <v>0.52173913043478304</v>
      </c>
      <c r="H404" s="55">
        <v>36.956521739130402</v>
      </c>
      <c r="I404" s="55">
        <v>120</v>
      </c>
      <c r="J404" s="53" t="s">
        <v>4725</v>
      </c>
      <c r="K404" s="53" t="s">
        <v>4726</v>
      </c>
      <c r="L404" s="53" t="s">
        <v>4253</v>
      </c>
    </row>
    <row r="405" spans="1:12" ht="15" customHeight="1" x14ac:dyDescent="0.35">
      <c r="A405" s="53" t="s">
        <v>2156</v>
      </c>
      <c r="B405" s="53" t="s">
        <v>1077</v>
      </c>
      <c r="C405" s="55">
        <v>14</v>
      </c>
      <c r="D405" s="55">
        <v>840</v>
      </c>
      <c r="E405" s="53">
        <v>9</v>
      </c>
      <c r="F405" s="53">
        <v>2</v>
      </c>
      <c r="G405" s="55">
        <v>0.22222222222222199</v>
      </c>
      <c r="H405" s="55">
        <v>93.3333333333333</v>
      </c>
      <c r="I405" s="55">
        <v>480</v>
      </c>
      <c r="J405" s="53" t="s">
        <v>4727</v>
      </c>
      <c r="K405" s="53" t="s">
        <v>4728</v>
      </c>
      <c r="L405" s="53" t="s">
        <v>3924</v>
      </c>
    </row>
    <row r="406" spans="1:12" ht="15" customHeight="1" x14ac:dyDescent="0.35">
      <c r="A406" s="53" t="s">
        <v>2159</v>
      </c>
      <c r="B406" s="53" t="s">
        <v>2160</v>
      </c>
      <c r="C406" s="55">
        <v>13.75</v>
      </c>
      <c r="D406" s="55">
        <v>825</v>
      </c>
      <c r="E406" s="53">
        <v>31</v>
      </c>
      <c r="F406" s="53">
        <v>7</v>
      </c>
      <c r="G406" s="55">
        <v>0.225806451612903</v>
      </c>
      <c r="H406" s="55">
        <v>26.612903225806502</v>
      </c>
      <c r="I406" s="55">
        <v>240</v>
      </c>
      <c r="J406" s="53" t="s">
        <v>4729</v>
      </c>
      <c r="K406" s="53" t="s">
        <v>4730</v>
      </c>
      <c r="L406" s="53" t="s">
        <v>3907</v>
      </c>
    </row>
    <row r="407" spans="1:12" ht="15" customHeight="1" x14ac:dyDescent="0.35">
      <c r="A407" s="53" t="s">
        <v>2163</v>
      </c>
      <c r="B407" s="53" t="s">
        <v>1009</v>
      </c>
      <c r="C407" s="55">
        <v>13.6666666666667</v>
      </c>
      <c r="D407" s="55">
        <v>820</v>
      </c>
      <c r="E407" s="53">
        <v>16</v>
      </c>
      <c r="F407" s="53">
        <v>7</v>
      </c>
      <c r="G407" s="55">
        <v>0.4375</v>
      </c>
      <c r="H407" s="55">
        <v>51.25</v>
      </c>
      <c r="I407" s="55">
        <v>300</v>
      </c>
      <c r="J407" s="53" t="s">
        <v>4731</v>
      </c>
      <c r="K407" s="53" t="s">
        <v>4732</v>
      </c>
      <c r="L407" s="53" t="s">
        <v>3907</v>
      </c>
    </row>
    <row r="408" spans="1:12" ht="15" customHeight="1" x14ac:dyDescent="0.35">
      <c r="A408" s="53" t="s">
        <v>2166</v>
      </c>
      <c r="B408" s="53" t="s">
        <v>1136</v>
      </c>
      <c r="C408" s="55">
        <v>13.3333333333333</v>
      </c>
      <c r="D408" s="55">
        <v>800</v>
      </c>
      <c r="E408" s="53">
        <v>5</v>
      </c>
      <c r="F408" s="53">
        <v>5</v>
      </c>
      <c r="G408" s="55">
        <v>1</v>
      </c>
      <c r="H408" s="55">
        <v>160</v>
      </c>
      <c r="I408" s="55">
        <v>240</v>
      </c>
      <c r="J408" s="53" t="s">
        <v>4733</v>
      </c>
      <c r="K408" s="53" t="s">
        <v>4734</v>
      </c>
      <c r="L408" s="53" t="s">
        <v>3941</v>
      </c>
    </row>
    <row r="409" spans="1:12" ht="15" customHeight="1" x14ac:dyDescent="0.35">
      <c r="A409" s="53" t="s">
        <v>2169</v>
      </c>
      <c r="B409" s="53" t="s">
        <v>1077</v>
      </c>
      <c r="C409" s="55">
        <v>13.1666666666667</v>
      </c>
      <c r="D409" s="55">
        <v>790</v>
      </c>
      <c r="E409" s="53">
        <v>34</v>
      </c>
      <c r="F409" s="53">
        <v>5</v>
      </c>
      <c r="G409" s="55">
        <v>0.14705882352941199</v>
      </c>
      <c r="H409" s="55">
        <v>23.235294117647101</v>
      </c>
      <c r="I409" s="55">
        <v>480</v>
      </c>
      <c r="J409" s="53" t="s">
        <v>4735</v>
      </c>
      <c r="K409" s="53" t="s">
        <v>4736</v>
      </c>
      <c r="L409" s="53" t="s">
        <v>3941</v>
      </c>
    </row>
    <row r="410" spans="1:12" ht="15" customHeight="1" x14ac:dyDescent="0.35">
      <c r="A410" s="53" t="s">
        <v>2172</v>
      </c>
      <c r="B410" s="53" t="s">
        <v>921</v>
      </c>
      <c r="C410" s="55">
        <v>13.133333333333301</v>
      </c>
      <c r="D410" s="55">
        <v>788</v>
      </c>
      <c r="E410" s="53">
        <v>7</v>
      </c>
      <c r="F410" s="53">
        <v>4</v>
      </c>
      <c r="G410" s="55">
        <v>0.57142857142857095</v>
      </c>
      <c r="H410" s="55">
        <v>112.571428571429</v>
      </c>
      <c r="I410" s="55">
        <v>563</v>
      </c>
      <c r="J410" s="53" t="s">
        <v>4737</v>
      </c>
      <c r="K410" s="53" t="s">
        <v>4738</v>
      </c>
      <c r="L410" s="53" t="s">
        <v>3924</v>
      </c>
    </row>
    <row r="411" spans="1:12" ht="15" customHeight="1" x14ac:dyDescent="0.35">
      <c r="A411" s="53" t="s">
        <v>2175</v>
      </c>
      <c r="B411" s="53" t="s">
        <v>1077</v>
      </c>
      <c r="C411" s="55">
        <v>13.016666666666699</v>
      </c>
      <c r="D411" s="55">
        <v>781</v>
      </c>
      <c r="E411" s="53">
        <v>34</v>
      </c>
      <c r="F411" s="53">
        <v>6</v>
      </c>
      <c r="G411" s="55">
        <v>0.17647058823529399</v>
      </c>
      <c r="H411" s="55">
        <v>22.970588235294102</v>
      </c>
      <c r="I411" s="55">
        <v>240</v>
      </c>
      <c r="J411" s="53" t="s">
        <v>4739</v>
      </c>
      <c r="K411" s="53" t="s">
        <v>4740</v>
      </c>
      <c r="L411" s="53" t="s">
        <v>4360</v>
      </c>
    </row>
    <row r="412" spans="1:12" ht="15" customHeight="1" x14ac:dyDescent="0.35">
      <c r="A412" s="53" t="s">
        <v>2178</v>
      </c>
      <c r="B412" s="53" t="s">
        <v>1077</v>
      </c>
      <c r="C412" s="55">
        <v>13</v>
      </c>
      <c r="D412" s="55">
        <v>780</v>
      </c>
      <c r="E412" s="53">
        <v>30</v>
      </c>
      <c r="F412" s="53">
        <v>3</v>
      </c>
      <c r="G412" s="55">
        <v>0.1</v>
      </c>
      <c r="H412" s="55">
        <v>26</v>
      </c>
      <c r="I412" s="55">
        <v>480</v>
      </c>
      <c r="J412" s="53" t="s">
        <v>4741</v>
      </c>
      <c r="K412" s="53" t="s">
        <v>4742</v>
      </c>
      <c r="L412" s="53" t="s">
        <v>3941</v>
      </c>
    </row>
    <row r="413" spans="1:12" ht="15" customHeight="1" x14ac:dyDescent="0.35">
      <c r="A413" s="53" t="s">
        <v>2181</v>
      </c>
      <c r="B413" s="53" t="s">
        <v>1659</v>
      </c>
      <c r="C413" s="55">
        <v>12.8333333333333</v>
      </c>
      <c r="D413" s="55">
        <v>770</v>
      </c>
      <c r="E413" s="53">
        <v>16</v>
      </c>
      <c r="F413" s="53">
        <v>5</v>
      </c>
      <c r="G413" s="55">
        <v>0.3125</v>
      </c>
      <c r="H413" s="55">
        <v>48.125</v>
      </c>
      <c r="I413" s="55">
        <v>500</v>
      </c>
      <c r="J413" s="53" t="s">
        <v>4743</v>
      </c>
      <c r="K413" s="53" t="s">
        <v>4744</v>
      </c>
      <c r="L413" s="53" t="s">
        <v>4253</v>
      </c>
    </row>
    <row r="414" spans="1:12" ht="15" customHeight="1" x14ac:dyDescent="0.35">
      <c r="A414" s="53" t="s">
        <v>2184</v>
      </c>
      <c r="B414" s="53" t="s">
        <v>1101</v>
      </c>
      <c r="C414" s="55">
        <v>12.65</v>
      </c>
      <c r="D414" s="55">
        <v>759</v>
      </c>
      <c r="E414" s="53">
        <v>15</v>
      </c>
      <c r="F414" s="53">
        <v>7</v>
      </c>
      <c r="G414" s="55">
        <v>0.46666666666666701</v>
      </c>
      <c r="H414" s="55">
        <v>50.6</v>
      </c>
      <c r="I414" s="55">
        <v>300</v>
      </c>
      <c r="J414" s="53" t="s">
        <v>4745</v>
      </c>
      <c r="K414" s="53" t="s">
        <v>4746</v>
      </c>
      <c r="L414" s="53" t="s">
        <v>3907</v>
      </c>
    </row>
    <row r="415" spans="1:12" ht="15" customHeight="1" x14ac:dyDescent="0.35">
      <c r="A415" s="53" t="s">
        <v>2187</v>
      </c>
      <c r="B415" s="53" t="s">
        <v>905</v>
      </c>
      <c r="C415" s="55">
        <v>12.5</v>
      </c>
      <c r="D415" s="55">
        <v>750</v>
      </c>
      <c r="E415" s="53">
        <v>21</v>
      </c>
      <c r="F415" s="53">
        <v>7</v>
      </c>
      <c r="G415" s="55">
        <v>0.33333333333333298</v>
      </c>
      <c r="H415" s="55">
        <v>35.714285714285701</v>
      </c>
      <c r="I415" s="55">
        <v>180</v>
      </c>
      <c r="J415" s="53" t="s">
        <v>4747</v>
      </c>
      <c r="K415" s="53" t="s">
        <v>4748</v>
      </c>
      <c r="L415" s="53" t="s">
        <v>3907</v>
      </c>
    </row>
    <row r="416" spans="1:12" ht="15" customHeight="1" x14ac:dyDescent="0.35">
      <c r="A416" s="53" t="s">
        <v>2190</v>
      </c>
      <c r="B416" s="53" t="s">
        <v>1101</v>
      </c>
      <c r="C416" s="55">
        <v>12.3333333333333</v>
      </c>
      <c r="D416" s="55">
        <v>740</v>
      </c>
      <c r="E416" s="53">
        <v>28</v>
      </c>
      <c r="F416" s="53">
        <v>9</v>
      </c>
      <c r="G416" s="55">
        <v>0.32142857142857201</v>
      </c>
      <c r="H416" s="55">
        <v>26.428571428571399</v>
      </c>
      <c r="I416" s="55">
        <v>120</v>
      </c>
      <c r="J416" s="53" t="s">
        <v>4749</v>
      </c>
      <c r="K416" s="53" t="s">
        <v>4750</v>
      </c>
      <c r="L416" s="53" t="s">
        <v>3907</v>
      </c>
    </row>
    <row r="417" spans="1:12" ht="15" customHeight="1" x14ac:dyDescent="0.35">
      <c r="A417" s="53" t="s">
        <v>2193</v>
      </c>
      <c r="B417" s="53" t="s">
        <v>1077</v>
      </c>
      <c r="C417" s="55">
        <v>12.1833333333333</v>
      </c>
      <c r="D417" s="55">
        <v>731</v>
      </c>
      <c r="E417" s="53">
        <v>18</v>
      </c>
      <c r="F417" s="53">
        <v>2</v>
      </c>
      <c r="G417" s="55">
        <v>0.11111111111111099</v>
      </c>
      <c r="H417" s="55">
        <v>40.6111111111111</v>
      </c>
      <c r="I417" s="55">
        <v>480</v>
      </c>
      <c r="J417" s="53" t="s">
        <v>4751</v>
      </c>
      <c r="K417" s="53" t="s">
        <v>4752</v>
      </c>
      <c r="L417" s="53" t="s">
        <v>3941</v>
      </c>
    </row>
    <row r="418" spans="1:12" ht="15" customHeight="1" x14ac:dyDescent="0.35">
      <c r="A418" s="53" t="s">
        <v>2196</v>
      </c>
      <c r="B418" s="53" t="s">
        <v>1009</v>
      </c>
      <c r="C418" s="55">
        <v>12.1666666666667</v>
      </c>
      <c r="D418" s="55">
        <v>730</v>
      </c>
      <c r="E418" s="53">
        <v>37</v>
      </c>
      <c r="F418" s="53">
        <v>14</v>
      </c>
      <c r="G418" s="55">
        <v>0.37837837837837801</v>
      </c>
      <c r="H418" s="55">
        <v>19.729729729729701</v>
      </c>
      <c r="I418" s="55">
        <v>230</v>
      </c>
      <c r="J418" s="53" t="s">
        <v>4753</v>
      </c>
      <c r="K418" s="53" t="s">
        <v>4754</v>
      </c>
      <c r="L418" s="53" t="s">
        <v>3907</v>
      </c>
    </row>
    <row r="419" spans="1:12" ht="15" customHeight="1" x14ac:dyDescent="0.35">
      <c r="A419" s="53" t="s">
        <v>2199</v>
      </c>
      <c r="B419" s="53" t="s">
        <v>1136</v>
      </c>
      <c r="C419" s="55">
        <v>12</v>
      </c>
      <c r="D419" s="55">
        <v>720</v>
      </c>
      <c r="E419" s="53">
        <v>32</v>
      </c>
      <c r="F419" s="53">
        <v>9</v>
      </c>
      <c r="G419" s="55">
        <v>0.28125</v>
      </c>
      <c r="H419" s="55">
        <v>22.5</v>
      </c>
      <c r="I419" s="55">
        <v>160</v>
      </c>
      <c r="J419" s="53" t="s">
        <v>4755</v>
      </c>
      <c r="K419" s="53" t="s">
        <v>4756</v>
      </c>
      <c r="L419" s="53" t="s">
        <v>3907</v>
      </c>
    </row>
    <row r="420" spans="1:12" ht="15" customHeight="1" x14ac:dyDescent="0.35">
      <c r="A420" s="53" t="s">
        <v>2202</v>
      </c>
      <c r="B420" s="53" t="s">
        <v>1490</v>
      </c>
      <c r="C420" s="55">
        <v>12</v>
      </c>
      <c r="D420" s="55">
        <v>720</v>
      </c>
      <c r="E420" s="53">
        <v>4</v>
      </c>
      <c r="F420" s="53">
        <v>3</v>
      </c>
      <c r="G420" s="55">
        <v>0.75</v>
      </c>
      <c r="H420" s="55">
        <v>180</v>
      </c>
      <c r="I420" s="55">
        <v>240</v>
      </c>
      <c r="J420" s="53" t="s">
        <v>4757</v>
      </c>
      <c r="K420" s="53" t="s">
        <v>4758</v>
      </c>
      <c r="L420" s="53" t="s">
        <v>3941</v>
      </c>
    </row>
    <row r="421" spans="1:12" ht="15" customHeight="1" x14ac:dyDescent="0.35">
      <c r="A421" s="53" t="s">
        <v>2205</v>
      </c>
      <c r="B421" s="53" t="s">
        <v>1077</v>
      </c>
      <c r="C421" s="55">
        <v>11.6666666666667</v>
      </c>
      <c r="D421" s="55">
        <v>700</v>
      </c>
      <c r="E421" s="53">
        <v>17</v>
      </c>
      <c r="F421" s="53">
        <v>3</v>
      </c>
      <c r="G421" s="55">
        <v>0.17647058823529399</v>
      </c>
      <c r="H421" s="55">
        <v>41.176470588235297</v>
      </c>
      <c r="I421" s="55">
        <v>480</v>
      </c>
      <c r="J421" s="53" t="s">
        <v>4759</v>
      </c>
      <c r="K421" s="53" t="s">
        <v>4760</v>
      </c>
      <c r="L421" s="53" t="s">
        <v>4360</v>
      </c>
    </row>
    <row r="422" spans="1:12" ht="15" customHeight="1" x14ac:dyDescent="0.35">
      <c r="A422" s="53" t="s">
        <v>2208</v>
      </c>
      <c r="B422" s="53" t="s">
        <v>989</v>
      </c>
      <c r="C422" s="55">
        <v>11.6666666666667</v>
      </c>
      <c r="D422" s="55">
        <v>700</v>
      </c>
      <c r="E422" s="53">
        <v>9</v>
      </c>
      <c r="F422" s="53">
        <v>4</v>
      </c>
      <c r="G422" s="55">
        <v>0.44444444444444398</v>
      </c>
      <c r="H422" s="55">
        <v>77.7777777777778</v>
      </c>
      <c r="I422" s="55">
        <v>360</v>
      </c>
      <c r="J422" s="53" t="s">
        <v>4761</v>
      </c>
      <c r="K422" s="53" t="s">
        <v>4762</v>
      </c>
      <c r="L422" s="53" t="s">
        <v>4763</v>
      </c>
    </row>
    <row r="423" spans="1:12" ht="15" customHeight="1" x14ac:dyDescent="0.35">
      <c r="A423" s="53" t="s">
        <v>2211</v>
      </c>
      <c r="B423" s="53" t="s">
        <v>1009</v>
      </c>
      <c r="C423" s="55">
        <v>11.5833333333333</v>
      </c>
      <c r="D423" s="55">
        <v>695</v>
      </c>
      <c r="E423" s="53">
        <v>16</v>
      </c>
      <c r="F423" s="53">
        <v>6</v>
      </c>
      <c r="G423" s="55">
        <v>0.375</v>
      </c>
      <c r="H423" s="55">
        <v>43.4375</v>
      </c>
      <c r="I423" s="55">
        <v>360</v>
      </c>
      <c r="J423" s="53" t="s">
        <v>4764</v>
      </c>
      <c r="K423" s="53" t="s">
        <v>4765</v>
      </c>
      <c r="L423" s="53" t="s">
        <v>3907</v>
      </c>
    </row>
    <row r="424" spans="1:12" ht="15" customHeight="1" x14ac:dyDescent="0.35">
      <c r="A424" s="53" t="s">
        <v>2214</v>
      </c>
      <c r="B424" s="53" t="s">
        <v>989</v>
      </c>
      <c r="C424" s="55">
        <v>11.5666666666667</v>
      </c>
      <c r="D424" s="55">
        <v>694</v>
      </c>
      <c r="E424" s="53">
        <v>19</v>
      </c>
      <c r="F424" s="53">
        <v>7</v>
      </c>
      <c r="G424" s="55">
        <v>0.36842105263157898</v>
      </c>
      <c r="H424" s="55">
        <v>36.526315789473699</v>
      </c>
      <c r="I424" s="55">
        <v>300</v>
      </c>
      <c r="J424" s="53" t="s">
        <v>4766</v>
      </c>
      <c r="K424" s="53" t="s">
        <v>4767</v>
      </c>
      <c r="L424" s="53" t="s">
        <v>3907</v>
      </c>
    </row>
    <row r="425" spans="1:12" ht="15" customHeight="1" x14ac:dyDescent="0.35">
      <c r="A425" s="53" t="s">
        <v>2217</v>
      </c>
      <c r="B425" s="53" t="s">
        <v>925</v>
      </c>
      <c r="C425" s="55">
        <v>11.5</v>
      </c>
      <c r="D425" s="55">
        <v>690</v>
      </c>
      <c r="E425" s="53">
        <v>12</v>
      </c>
      <c r="F425" s="53">
        <v>5</v>
      </c>
      <c r="G425" s="55">
        <v>0.41666666666666702</v>
      </c>
      <c r="H425" s="55">
        <v>57.5</v>
      </c>
      <c r="I425" s="55">
        <v>300</v>
      </c>
      <c r="J425" s="53" t="s">
        <v>4768</v>
      </c>
      <c r="K425" s="53" t="s">
        <v>4769</v>
      </c>
      <c r="L425" s="53" t="s">
        <v>4052</v>
      </c>
    </row>
    <row r="426" spans="1:12" ht="15" customHeight="1" x14ac:dyDescent="0.35">
      <c r="A426" s="53" t="s">
        <v>2220</v>
      </c>
      <c r="B426" s="53" t="s">
        <v>1690</v>
      </c>
      <c r="C426" s="55">
        <v>11.3333333333333</v>
      </c>
      <c r="D426" s="55">
        <v>680</v>
      </c>
      <c r="E426" s="53">
        <v>1</v>
      </c>
      <c r="F426" s="53">
        <v>1</v>
      </c>
      <c r="G426" s="55">
        <v>1</v>
      </c>
      <c r="H426" s="55">
        <v>680</v>
      </c>
      <c r="I426" s="55">
        <v>680</v>
      </c>
      <c r="J426" s="53" t="s">
        <v>4770</v>
      </c>
      <c r="K426" s="53" t="s">
        <v>4771</v>
      </c>
      <c r="L426" s="53" t="s">
        <v>4772</v>
      </c>
    </row>
    <row r="427" spans="1:12" ht="15" customHeight="1" x14ac:dyDescent="0.35">
      <c r="A427" s="53" t="s">
        <v>2223</v>
      </c>
      <c r="B427" s="53" t="s">
        <v>989</v>
      </c>
      <c r="C427" s="55">
        <v>11.233333333333301</v>
      </c>
      <c r="D427" s="55">
        <v>674</v>
      </c>
      <c r="E427" s="53">
        <v>14</v>
      </c>
      <c r="F427" s="53">
        <v>5</v>
      </c>
      <c r="G427" s="55">
        <v>0.35714285714285698</v>
      </c>
      <c r="H427" s="55">
        <v>48.142857142857203</v>
      </c>
      <c r="I427" s="55">
        <v>260</v>
      </c>
      <c r="J427" s="53" t="s">
        <v>4773</v>
      </c>
      <c r="K427" s="53" t="s">
        <v>4774</v>
      </c>
      <c r="L427" s="53" t="s">
        <v>3907</v>
      </c>
    </row>
    <row r="428" spans="1:12" ht="15" customHeight="1" x14ac:dyDescent="0.35">
      <c r="A428" s="53" t="s">
        <v>2226</v>
      </c>
      <c r="B428" s="53" t="s">
        <v>996</v>
      </c>
      <c r="C428" s="55">
        <v>11.1666666666667</v>
      </c>
      <c r="D428" s="55">
        <v>670</v>
      </c>
      <c r="E428" s="53">
        <v>31</v>
      </c>
      <c r="F428" s="53">
        <v>10</v>
      </c>
      <c r="G428" s="55">
        <v>0.32258064516128998</v>
      </c>
      <c r="H428" s="55">
        <v>21.612903225806502</v>
      </c>
      <c r="I428" s="55">
        <v>120</v>
      </c>
      <c r="J428" s="53" t="s">
        <v>4775</v>
      </c>
      <c r="K428" s="53" t="s">
        <v>4776</v>
      </c>
      <c r="L428" s="53" t="s">
        <v>3907</v>
      </c>
    </row>
    <row r="429" spans="1:12" ht="15" customHeight="1" x14ac:dyDescent="0.35">
      <c r="A429" s="53" t="s">
        <v>2229</v>
      </c>
      <c r="B429" s="53" t="s">
        <v>1009</v>
      </c>
      <c r="C429" s="55">
        <v>11.0833333333333</v>
      </c>
      <c r="D429" s="55">
        <v>665</v>
      </c>
      <c r="E429" s="53">
        <v>22</v>
      </c>
      <c r="F429" s="53">
        <v>8</v>
      </c>
      <c r="G429" s="55">
        <v>0.36363636363636398</v>
      </c>
      <c r="H429" s="55">
        <v>30.227272727272702</v>
      </c>
      <c r="I429" s="55">
        <v>160</v>
      </c>
      <c r="J429" s="53" t="s">
        <v>4777</v>
      </c>
      <c r="K429" s="53" t="s">
        <v>4778</v>
      </c>
      <c r="L429" s="53" t="s">
        <v>3907</v>
      </c>
    </row>
    <row r="430" spans="1:12" ht="15" customHeight="1" x14ac:dyDescent="0.35">
      <c r="A430" s="53" t="s">
        <v>2232</v>
      </c>
      <c r="B430" s="53" t="s">
        <v>1077</v>
      </c>
      <c r="C430" s="55">
        <v>11</v>
      </c>
      <c r="D430" s="55">
        <v>660</v>
      </c>
      <c r="E430" s="53">
        <v>37</v>
      </c>
      <c r="F430" s="53">
        <v>3</v>
      </c>
      <c r="G430" s="55">
        <v>8.1081081081081099E-2</v>
      </c>
      <c r="H430" s="55">
        <v>17.8378378378378</v>
      </c>
      <c r="I430" s="55">
        <v>480</v>
      </c>
      <c r="J430" s="53" t="s">
        <v>4779</v>
      </c>
      <c r="K430" s="53" t="s">
        <v>4780</v>
      </c>
      <c r="L430" s="53" t="s">
        <v>3941</v>
      </c>
    </row>
    <row r="431" spans="1:12" ht="15" customHeight="1" x14ac:dyDescent="0.35">
      <c r="A431" s="53" t="s">
        <v>2235</v>
      </c>
      <c r="B431" s="53" t="s">
        <v>929</v>
      </c>
      <c r="C431" s="55">
        <v>10.85</v>
      </c>
      <c r="D431" s="55">
        <v>651</v>
      </c>
      <c r="E431" s="53">
        <v>8</v>
      </c>
      <c r="F431" s="53">
        <v>4</v>
      </c>
      <c r="G431" s="55">
        <v>0.5</v>
      </c>
      <c r="H431" s="55">
        <v>81.375</v>
      </c>
      <c r="I431" s="55">
        <v>311</v>
      </c>
      <c r="J431" s="53" t="s">
        <v>4781</v>
      </c>
      <c r="K431" s="53" t="s">
        <v>4782</v>
      </c>
      <c r="L431" s="53" t="s">
        <v>4052</v>
      </c>
    </row>
    <row r="432" spans="1:12" ht="15" customHeight="1" x14ac:dyDescent="0.35">
      <c r="A432" s="53" t="s">
        <v>2238</v>
      </c>
      <c r="B432" s="53" t="s">
        <v>959</v>
      </c>
      <c r="C432" s="55">
        <v>10.8333333333333</v>
      </c>
      <c r="D432" s="55">
        <v>650</v>
      </c>
      <c r="E432" s="53">
        <v>11</v>
      </c>
      <c r="F432" s="53">
        <v>1</v>
      </c>
      <c r="G432" s="55">
        <v>9.0909090909090898E-2</v>
      </c>
      <c r="H432" s="55">
        <v>59.090909090909101</v>
      </c>
      <c r="I432" s="55">
        <v>650</v>
      </c>
      <c r="J432" s="53" t="s">
        <v>4783</v>
      </c>
      <c r="K432" s="53" t="s">
        <v>4784</v>
      </c>
      <c r="L432" s="53" t="s">
        <v>3941</v>
      </c>
    </row>
    <row r="433" spans="1:12" ht="15" customHeight="1" x14ac:dyDescent="0.35">
      <c r="A433" s="53" t="s">
        <v>2241</v>
      </c>
      <c r="B433" s="53" t="s">
        <v>913</v>
      </c>
      <c r="C433" s="55">
        <v>10.75</v>
      </c>
      <c r="D433" s="55">
        <v>645</v>
      </c>
      <c r="E433" s="53">
        <v>4</v>
      </c>
      <c r="F433" s="53">
        <v>4</v>
      </c>
      <c r="G433" s="55">
        <v>1</v>
      </c>
      <c r="H433" s="55">
        <v>161.25</v>
      </c>
      <c r="I433" s="55">
        <v>240</v>
      </c>
      <c r="J433" s="53" t="s">
        <v>4785</v>
      </c>
      <c r="K433" s="53" t="s">
        <v>4786</v>
      </c>
      <c r="L433" s="53" t="s">
        <v>4253</v>
      </c>
    </row>
    <row r="434" spans="1:12" ht="15" customHeight="1" x14ac:dyDescent="0.35">
      <c r="A434" s="53" t="s">
        <v>2244</v>
      </c>
      <c r="B434" s="53" t="s">
        <v>1111</v>
      </c>
      <c r="C434" s="55">
        <v>10.5</v>
      </c>
      <c r="D434" s="55">
        <v>630</v>
      </c>
      <c r="E434" s="53">
        <v>20</v>
      </c>
      <c r="F434" s="53">
        <v>10</v>
      </c>
      <c r="G434" s="55">
        <v>0.5</v>
      </c>
      <c r="H434" s="55">
        <v>31.5</v>
      </c>
      <c r="I434" s="55">
        <v>220</v>
      </c>
      <c r="J434" s="53" t="s">
        <v>4787</v>
      </c>
      <c r="K434" s="53" t="s">
        <v>4788</v>
      </c>
      <c r="L434" s="53" t="s">
        <v>3924</v>
      </c>
    </row>
    <row r="435" spans="1:12" ht="15" customHeight="1" x14ac:dyDescent="0.35">
      <c r="A435" s="53" t="s">
        <v>2247</v>
      </c>
      <c r="B435" s="53" t="s">
        <v>905</v>
      </c>
      <c r="C435" s="55">
        <v>10.5</v>
      </c>
      <c r="D435" s="55">
        <v>630</v>
      </c>
      <c r="E435" s="53">
        <v>14</v>
      </c>
      <c r="F435" s="53">
        <v>7</v>
      </c>
      <c r="G435" s="55">
        <v>0.5</v>
      </c>
      <c r="H435" s="55">
        <v>45</v>
      </c>
      <c r="I435" s="55">
        <v>120</v>
      </c>
      <c r="J435" s="53" t="s">
        <v>4789</v>
      </c>
      <c r="K435" s="53" t="s">
        <v>4790</v>
      </c>
      <c r="L435" s="53" t="s">
        <v>3907</v>
      </c>
    </row>
    <row r="436" spans="1:12" ht="15" customHeight="1" x14ac:dyDescent="0.35">
      <c r="A436" s="53" t="s">
        <v>2250</v>
      </c>
      <c r="B436" s="53" t="s">
        <v>1240</v>
      </c>
      <c r="C436" s="55">
        <v>10.5</v>
      </c>
      <c r="D436" s="55">
        <v>630</v>
      </c>
      <c r="E436" s="53">
        <v>7</v>
      </c>
      <c r="F436" s="53">
        <v>3</v>
      </c>
      <c r="G436" s="55">
        <v>0.42857142857142899</v>
      </c>
      <c r="H436" s="55">
        <v>90</v>
      </c>
      <c r="I436" s="55">
        <v>390</v>
      </c>
      <c r="J436" s="53" t="s">
        <v>4791</v>
      </c>
      <c r="K436" s="53" t="s">
        <v>4792</v>
      </c>
      <c r="L436" s="53" t="s">
        <v>4165</v>
      </c>
    </row>
    <row r="437" spans="1:12" ht="15" customHeight="1" x14ac:dyDescent="0.35">
      <c r="A437" s="53" t="s">
        <v>2253</v>
      </c>
      <c r="B437" s="53" t="s">
        <v>1240</v>
      </c>
      <c r="C437" s="55">
        <v>10.4166666666667</v>
      </c>
      <c r="D437" s="55">
        <v>625</v>
      </c>
      <c r="E437" s="53">
        <v>8</v>
      </c>
      <c r="F437" s="53">
        <v>6</v>
      </c>
      <c r="G437" s="55">
        <v>0.75</v>
      </c>
      <c r="H437" s="55">
        <v>78.125</v>
      </c>
      <c r="I437" s="55">
        <v>385</v>
      </c>
      <c r="J437" s="53" t="s">
        <v>4793</v>
      </c>
      <c r="K437" s="53" t="s">
        <v>4794</v>
      </c>
      <c r="L437" s="53" t="s">
        <v>4571</v>
      </c>
    </row>
    <row r="438" spans="1:12" ht="15" customHeight="1" x14ac:dyDescent="0.35">
      <c r="A438" s="53" t="s">
        <v>2256</v>
      </c>
      <c r="B438" s="53" t="s">
        <v>2257</v>
      </c>
      <c r="C438" s="55">
        <v>10.3333333333333</v>
      </c>
      <c r="D438" s="55">
        <v>620</v>
      </c>
      <c r="E438" s="53">
        <v>6</v>
      </c>
      <c r="F438" s="53">
        <v>3</v>
      </c>
      <c r="G438" s="55">
        <v>0.5</v>
      </c>
      <c r="H438" s="55">
        <v>103.333333333333</v>
      </c>
      <c r="I438" s="55">
        <v>500</v>
      </c>
      <c r="J438" s="53" t="s">
        <v>4795</v>
      </c>
      <c r="K438" s="53" t="s">
        <v>4796</v>
      </c>
      <c r="L438" s="53" t="s">
        <v>3907</v>
      </c>
    </row>
    <row r="439" spans="1:12" ht="15" customHeight="1" x14ac:dyDescent="0.35">
      <c r="A439" s="53" t="s">
        <v>2260</v>
      </c>
      <c r="B439" s="53" t="s">
        <v>973</v>
      </c>
      <c r="C439" s="55">
        <v>10.1666666666667</v>
      </c>
      <c r="D439" s="55">
        <v>610</v>
      </c>
      <c r="E439" s="53">
        <v>22</v>
      </c>
      <c r="F439" s="53">
        <v>12</v>
      </c>
      <c r="G439" s="55">
        <v>0.54545454545454497</v>
      </c>
      <c r="H439" s="55">
        <v>27.727272727272702</v>
      </c>
      <c r="I439" s="55">
        <v>120</v>
      </c>
      <c r="J439" s="53" t="s">
        <v>4797</v>
      </c>
      <c r="K439" s="53" t="s">
        <v>4798</v>
      </c>
      <c r="L439" s="53" t="s">
        <v>3907</v>
      </c>
    </row>
    <row r="440" spans="1:12" ht="15" customHeight="1" x14ac:dyDescent="0.35">
      <c r="A440" s="53" t="s">
        <v>2263</v>
      </c>
      <c r="B440" s="53" t="s">
        <v>1122</v>
      </c>
      <c r="C440" s="55">
        <v>10.033333333333299</v>
      </c>
      <c r="D440" s="55">
        <v>602</v>
      </c>
      <c r="E440" s="53">
        <v>26</v>
      </c>
      <c r="F440" s="53">
        <v>5</v>
      </c>
      <c r="G440" s="55">
        <v>0.19230769230769201</v>
      </c>
      <c r="H440" s="55">
        <v>23.153846153846199</v>
      </c>
      <c r="I440" s="55">
        <v>480</v>
      </c>
      <c r="J440" s="53" t="s">
        <v>4799</v>
      </c>
      <c r="K440" s="53" t="s">
        <v>4800</v>
      </c>
      <c r="L440" s="53" t="s">
        <v>3924</v>
      </c>
    </row>
    <row r="441" spans="1:12" ht="15" customHeight="1" x14ac:dyDescent="0.35">
      <c r="A441" s="53" t="s">
        <v>2266</v>
      </c>
      <c r="B441" s="53" t="s">
        <v>1077</v>
      </c>
      <c r="C441" s="55">
        <v>10</v>
      </c>
      <c r="D441" s="55">
        <v>600</v>
      </c>
      <c r="E441" s="53">
        <v>24</v>
      </c>
      <c r="F441" s="53">
        <v>4</v>
      </c>
      <c r="G441" s="55">
        <v>0.16666666666666699</v>
      </c>
      <c r="H441" s="55">
        <v>25</v>
      </c>
      <c r="I441" s="55">
        <v>360</v>
      </c>
      <c r="J441" s="53" t="s">
        <v>4801</v>
      </c>
      <c r="K441" s="53" t="s">
        <v>4802</v>
      </c>
      <c r="L441" s="53" t="s">
        <v>4491</v>
      </c>
    </row>
    <row r="442" spans="1:12" ht="15" customHeight="1" x14ac:dyDescent="0.35">
      <c r="A442" s="53" t="s">
        <v>2269</v>
      </c>
      <c r="B442" s="53" t="s">
        <v>929</v>
      </c>
      <c r="C442" s="55">
        <v>10</v>
      </c>
      <c r="D442" s="55">
        <v>600</v>
      </c>
      <c r="E442" s="53">
        <v>17</v>
      </c>
      <c r="F442" s="53">
        <v>4</v>
      </c>
      <c r="G442" s="55">
        <v>0.23529411764705899</v>
      </c>
      <c r="H442" s="55">
        <v>35.294117647058798</v>
      </c>
      <c r="I442" s="55">
        <v>300</v>
      </c>
      <c r="J442" s="53" t="s">
        <v>4803</v>
      </c>
      <c r="K442" s="53" t="s">
        <v>4804</v>
      </c>
      <c r="L442" s="53" t="s">
        <v>3907</v>
      </c>
    </row>
    <row r="443" spans="1:12" ht="15" customHeight="1" x14ac:dyDescent="0.35">
      <c r="A443" s="53" t="s">
        <v>2272</v>
      </c>
      <c r="B443" s="53" t="s">
        <v>1129</v>
      </c>
      <c r="C443" s="55">
        <v>10</v>
      </c>
      <c r="D443" s="55">
        <v>600</v>
      </c>
      <c r="E443" s="53">
        <v>3</v>
      </c>
      <c r="F443" s="53">
        <v>1</v>
      </c>
      <c r="G443" s="55">
        <v>0.33333333333333298</v>
      </c>
      <c r="H443" s="55">
        <v>200</v>
      </c>
      <c r="I443" s="55">
        <v>600</v>
      </c>
      <c r="J443" s="53" t="s">
        <v>4805</v>
      </c>
      <c r="K443" s="53" t="s">
        <v>4806</v>
      </c>
      <c r="L443" s="53" t="s">
        <v>4763</v>
      </c>
    </row>
    <row r="444" spans="1:12" ht="15" customHeight="1" x14ac:dyDescent="0.35">
      <c r="A444" s="53" t="s">
        <v>2275</v>
      </c>
      <c r="B444" s="53" t="s">
        <v>921</v>
      </c>
      <c r="C444" s="55">
        <v>9.75</v>
      </c>
      <c r="D444" s="55">
        <v>585</v>
      </c>
      <c r="E444" s="53">
        <v>19</v>
      </c>
      <c r="F444" s="53">
        <v>6</v>
      </c>
      <c r="G444" s="55">
        <v>0.31578947368421101</v>
      </c>
      <c r="H444" s="55">
        <v>30.789473684210499</v>
      </c>
      <c r="I444" s="55">
        <v>120</v>
      </c>
      <c r="J444" s="53" t="s">
        <v>4807</v>
      </c>
      <c r="K444" s="53" t="s">
        <v>4808</v>
      </c>
      <c r="L444" s="53" t="s">
        <v>3907</v>
      </c>
    </row>
    <row r="445" spans="1:12" ht="15" customHeight="1" x14ac:dyDescent="0.35">
      <c r="A445" s="53" t="s">
        <v>2278</v>
      </c>
      <c r="B445" s="53" t="s">
        <v>921</v>
      </c>
      <c r="C445" s="55">
        <v>9.7333333333333307</v>
      </c>
      <c r="D445" s="55">
        <v>584</v>
      </c>
      <c r="E445" s="53">
        <v>20</v>
      </c>
      <c r="F445" s="53">
        <v>6</v>
      </c>
      <c r="G445" s="55">
        <v>0.3</v>
      </c>
      <c r="H445" s="55">
        <v>29.2</v>
      </c>
      <c r="I445" s="55">
        <v>220</v>
      </c>
      <c r="J445" s="53" t="s">
        <v>4809</v>
      </c>
      <c r="K445" s="53" t="s">
        <v>4810</v>
      </c>
      <c r="L445" s="53" t="s">
        <v>4571</v>
      </c>
    </row>
    <row r="446" spans="1:12" ht="15" customHeight="1" x14ac:dyDescent="0.35">
      <c r="A446" s="53" t="s">
        <v>2281</v>
      </c>
      <c r="B446" s="53" t="s">
        <v>1077</v>
      </c>
      <c r="C446" s="55">
        <v>9.6666666666666696</v>
      </c>
      <c r="D446" s="55">
        <v>580</v>
      </c>
      <c r="E446" s="53">
        <v>40</v>
      </c>
      <c r="F446" s="53">
        <v>6</v>
      </c>
      <c r="G446" s="55">
        <v>0.15</v>
      </c>
      <c r="H446" s="55">
        <v>14.5</v>
      </c>
      <c r="I446" s="55">
        <v>180</v>
      </c>
      <c r="J446" s="53" t="s">
        <v>4811</v>
      </c>
      <c r="K446" s="53" t="s">
        <v>4812</v>
      </c>
      <c r="L446" s="53" t="s">
        <v>3941</v>
      </c>
    </row>
    <row r="447" spans="1:12" ht="15" customHeight="1" x14ac:dyDescent="0.35">
      <c r="A447" s="53" t="s">
        <v>2284</v>
      </c>
      <c r="B447" s="53" t="s">
        <v>1077</v>
      </c>
      <c r="C447" s="55">
        <v>9.6666666666666696</v>
      </c>
      <c r="D447" s="55">
        <v>580</v>
      </c>
      <c r="E447" s="53">
        <v>23</v>
      </c>
      <c r="F447" s="53">
        <v>2</v>
      </c>
      <c r="G447" s="55">
        <v>8.6956521739130405E-2</v>
      </c>
      <c r="H447" s="55">
        <v>25.2173913043478</v>
      </c>
      <c r="I447" s="55">
        <v>480</v>
      </c>
      <c r="J447" s="53" t="s">
        <v>4813</v>
      </c>
      <c r="K447" s="53" t="s">
        <v>4814</v>
      </c>
      <c r="L447" s="53" t="s">
        <v>3924</v>
      </c>
    </row>
    <row r="448" spans="1:12" ht="15" customHeight="1" x14ac:dyDescent="0.35">
      <c r="A448" s="53" t="s">
        <v>2287</v>
      </c>
      <c r="B448" s="53" t="s">
        <v>1659</v>
      </c>
      <c r="C448" s="55">
        <v>9.6166666666666707</v>
      </c>
      <c r="D448" s="55">
        <v>577</v>
      </c>
      <c r="E448" s="53">
        <v>7</v>
      </c>
      <c r="F448" s="53">
        <v>6</v>
      </c>
      <c r="G448" s="55">
        <v>0.85714285714285698</v>
      </c>
      <c r="H448" s="55">
        <v>82.428571428571402</v>
      </c>
      <c r="I448" s="55">
        <v>360</v>
      </c>
      <c r="J448" s="53" t="s">
        <v>4815</v>
      </c>
      <c r="K448" s="53" t="s">
        <v>4816</v>
      </c>
      <c r="L448" s="53" t="s">
        <v>4253</v>
      </c>
    </row>
    <row r="449" spans="1:12" ht="15" customHeight="1" x14ac:dyDescent="0.35">
      <c r="A449" s="53" t="s">
        <v>2290</v>
      </c>
      <c r="B449" s="53" t="s">
        <v>913</v>
      </c>
      <c r="C449" s="55">
        <v>9.4833333333333307</v>
      </c>
      <c r="D449" s="55">
        <v>569</v>
      </c>
      <c r="E449" s="53">
        <v>24</v>
      </c>
      <c r="F449" s="53">
        <v>11</v>
      </c>
      <c r="G449" s="55">
        <v>0.45833333333333298</v>
      </c>
      <c r="H449" s="55">
        <v>23.7083333333333</v>
      </c>
      <c r="I449" s="55">
        <v>120</v>
      </c>
      <c r="J449" s="53" t="s">
        <v>4817</v>
      </c>
      <c r="K449" s="53" t="s">
        <v>4818</v>
      </c>
      <c r="L449" s="53" t="s">
        <v>3907</v>
      </c>
    </row>
    <row r="450" spans="1:12" ht="15" customHeight="1" x14ac:dyDescent="0.35">
      <c r="A450" s="53" t="s">
        <v>2293</v>
      </c>
      <c r="B450" s="53" t="s">
        <v>1240</v>
      </c>
      <c r="C450" s="55">
        <v>9.3333333333333304</v>
      </c>
      <c r="D450" s="55">
        <v>560</v>
      </c>
      <c r="E450" s="53">
        <v>31</v>
      </c>
      <c r="F450" s="53">
        <v>11</v>
      </c>
      <c r="G450" s="55">
        <v>0.35483870967741898</v>
      </c>
      <c r="H450" s="55">
        <v>18.064516129032299</v>
      </c>
      <c r="I450" s="55">
        <v>180</v>
      </c>
      <c r="J450" s="53" t="s">
        <v>4819</v>
      </c>
      <c r="K450" s="53" t="s">
        <v>4820</v>
      </c>
      <c r="L450" s="53" t="s">
        <v>3924</v>
      </c>
    </row>
    <row r="451" spans="1:12" ht="15" customHeight="1" x14ac:dyDescent="0.35">
      <c r="A451" s="53" t="s">
        <v>2296</v>
      </c>
      <c r="B451" s="53" t="s">
        <v>1077</v>
      </c>
      <c r="C451" s="55">
        <v>9.3333333333333304</v>
      </c>
      <c r="D451" s="55">
        <v>560</v>
      </c>
      <c r="E451" s="53">
        <v>30</v>
      </c>
      <c r="F451" s="53">
        <v>5</v>
      </c>
      <c r="G451" s="55">
        <v>0.16666666666666699</v>
      </c>
      <c r="H451" s="55">
        <v>18.6666666666667</v>
      </c>
      <c r="I451" s="55">
        <v>200</v>
      </c>
      <c r="J451" s="53" t="s">
        <v>4821</v>
      </c>
      <c r="K451" s="53" t="s">
        <v>4822</v>
      </c>
      <c r="L451" s="53" t="s">
        <v>3941</v>
      </c>
    </row>
    <row r="452" spans="1:12" ht="15" customHeight="1" x14ac:dyDescent="0.35">
      <c r="A452" s="53" t="s">
        <v>2299</v>
      </c>
      <c r="B452" s="53" t="s">
        <v>942</v>
      </c>
      <c r="C452" s="55">
        <v>9.25</v>
      </c>
      <c r="D452" s="55">
        <v>555</v>
      </c>
      <c r="E452" s="53">
        <v>28</v>
      </c>
      <c r="F452" s="53">
        <v>8</v>
      </c>
      <c r="G452" s="55">
        <v>0.28571428571428598</v>
      </c>
      <c r="H452" s="55">
        <v>19.821428571428601</v>
      </c>
      <c r="I452" s="55">
        <v>150</v>
      </c>
      <c r="J452" s="53" t="s">
        <v>4823</v>
      </c>
      <c r="K452" s="53" t="s">
        <v>4824</v>
      </c>
      <c r="L452" s="53" t="s">
        <v>3907</v>
      </c>
    </row>
    <row r="453" spans="1:12" ht="15" customHeight="1" x14ac:dyDescent="0.35">
      <c r="A453" s="53" t="s">
        <v>2302</v>
      </c>
      <c r="B453" s="53" t="s">
        <v>1697</v>
      </c>
      <c r="C453" s="55">
        <v>9.1999999999999993</v>
      </c>
      <c r="D453" s="55">
        <v>552</v>
      </c>
      <c r="E453" s="53">
        <v>13</v>
      </c>
      <c r="F453" s="53">
        <v>6</v>
      </c>
      <c r="G453" s="55">
        <v>0.46153846153846201</v>
      </c>
      <c r="H453" s="55">
        <v>42.461538461538503</v>
      </c>
      <c r="I453" s="55">
        <v>240</v>
      </c>
      <c r="J453" s="53" t="s">
        <v>4825</v>
      </c>
      <c r="K453" s="53" t="s">
        <v>4826</v>
      </c>
      <c r="L453" s="53" t="s">
        <v>4253</v>
      </c>
    </row>
    <row r="454" spans="1:12" ht="15" customHeight="1" x14ac:dyDescent="0.35">
      <c r="A454" s="53" t="s">
        <v>2305</v>
      </c>
      <c r="B454" s="53" t="s">
        <v>1077</v>
      </c>
      <c r="C454" s="55">
        <v>9.0833333333333304</v>
      </c>
      <c r="D454" s="55">
        <v>545</v>
      </c>
      <c r="E454" s="53">
        <v>20</v>
      </c>
      <c r="F454" s="53">
        <v>5</v>
      </c>
      <c r="G454" s="55">
        <v>0.25</v>
      </c>
      <c r="H454" s="55">
        <v>27.25</v>
      </c>
      <c r="I454" s="55">
        <v>240</v>
      </c>
      <c r="J454" s="53" t="s">
        <v>4827</v>
      </c>
      <c r="K454" s="53" t="s">
        <v>4828</v>
      </c>
      <c r="L454" s="53" t="s">
        <v>4360</v>
      </c>
    </row>
    <row r="455" spans="1:12" ht="15" customHeight="1" x14ac:dyDescent="0.35">
      <c r="A455" s="53" t="s">
        <v>2308</v>
      </c>
      <c r="B455" s="53" t="s">
        <v>989</v>
      </c>
      <c r="C455" s="55">
        <v>9</v>
      </c>
      <c r="D455" s="55">
        <v>540</v>
      </c>
      <c r="E455" s="53">
        <v>9</v>
      </c>
      <c r="F455" s="53">
        <v>5</v>
      </c>
      <c r="G455" s="55">
        <v>0.55555555555555602</v>
      </c>
      <c r="H455" s="55">
        <v>60</v>
      </c>
      <c r="I455" s="55">
        <v>240</v>
      </c>
      <c r="J455" s="53" t="s">
        <v>4829</v>
      </c>
      <c r="K455" s="53" t="s">
        <v>4830</v>
      </c>
      <c r="L455" s="53" t="s">
        <v>4571</v>
      </c>
    </row>
    <row r="456" spans="1:12" ht="15" customHeight="1" x14ac:dyDescent="0.35">
      <c r="A456" s="53" t="s">
        <v>2311</v>
      </c>
      <c r="B456" s="53" t="s">
        <v>959</v>
      </c>
      <c r="C456" s="55">
        <v>8.8666666666666707</v>
      </c>
      <c r="D456" s="55">
        <v>532</v>
      </c>
      <c r="E456" s="53">
        <v>41</v>
      </c>
      <c r="F456" s="53">
        <v>2</v>
      </c>
      <c r="G456" s="55">
        <v>4.8780487804878099E-2</v>
      </c>
      <c r="H456" s="55">
        <v>12.975609756097599</v>
      </c>
      <c r="I456" s="55">
        <v>300</v>
      </c>
      <c r="J456" s="53" t="s">
        <v>4831</v>
      </c>
      <c r="K456" s="53" t="s">
        <v>4832</v>
      </c>
      <c r="L456" s="53" t="s">
        <v>3941</v>
      </c>
    </row>
    <row r="457" spans="1:12" ht="15" customHeight="1" x14ac:dyDescent="0.35">
      <c r="A457" s="53" t="s">
        <v>2314</v>
      </c>
      <c r="B457" s="53" t="s">
        <v>1582</v>
      </c>
      <c r="C457" s="55">
        <v>8.6666666666666696</v>
      </c>
      <c r="D457" s="55">
        <v>520</v>
      </c>
      <c r="E457" s="53">
        <v>34</v>
      </c>
      <c r="F457" s="53">
        <v>13</v>
      </c>
      <c r="G457" s="55">
        <v>0.38235294117647101</v>
      </c>
      <c r="H457" s="55">
        <v>15.294117647058799</v>
      </c>
      <c r="I457" s="55">
        <v>120</v>
      </c>
      <c r="J457" s="53" t="s">
        <v>4833</v>
      </c>
      <c r="K457" s="53" t="s">
        <v>4834</v>
      </c>
      <c r="L457" s="53" t="s">
        <v>4673</v>
      </c>
    </row>
    <row r="458" spans="1:12" ht="15" customHeight="1" x14ac:dyDescent="0.35">
      <c r="A458" s="53" t="s">
        <v>2317</v>
      </c>
      <c r="B458" s="53" t="s">
        <v>963</v>
      </c>
      <c r="C458" s="55">
        <v>8.65</v>
      </c>
      <c r="D458" s="55">
        <v>519</v>
      </c>
      <c r="E458" s="53">
        <v>15</v>
      </c>
      <c r="F458" s="53">
        <v>5</v>
      </c>
      <c r="G458" s="55">
        <v>0.33333333333333298</v>
      </c>
      <c r="H458" s="55">
        <v>34.6</v>
      </c>
      <c r="I458" s="55">
        <v>300</v>
      </c>
      <c r="J458" s="53" t="s">
        <v>4835</v>
      </c>
      <c r="K458" s="53" t="s">
        <v>4836</v>
      </c>
      <c r="L458" s="53" t="s">
        <v>4256</v>
      </c>
    </row>
    <row r="459" spans="1:12" ht="15" customHeight="1" x14ac:dyDescent="0.35">
      <c r="A459" s="53" t="s">
        <v>2320</v>
      </c>
      <c r="B459" s="53" t="s">
        <v>1768</v>
      </c>
      <c r="C459" s="55">
        <v>8.4166666666666696</v>
      </c>
      <c r="D459" s="55">
        <v>505</v>
      </c>
      <c r="E459" s="53">
        <v>4</v>
      </c>
      <c r="F459" s="53">
        <v>2</v>
      </c>
      <c r="G459" s="55">
        <v>0.5</v>
      </c>
      <c r="H459" s="55">
        <v>126.25</v>
      </c>
      <c r="I459" s="55">
        <v>465</v>
      </c>
      <c r="J459" s="53" t="s">
        <v>4837</v>
      </c>
      <c r="K459" s="53" t="s">
        <v>4838</v>
      </c>
      <c r="L459" s="53" t="s">
        <v>4839</v>
      </c>
    </row>
    <row r="460" spans="1:12" ht="15" customHeight="1" x14ac:dyDescent="0.35">
      <c r="A460" s="53" t="s">
        <v>2323</v>
      </c>
      <c r="B460" s="53" t="s">
        <v>1009</v>
      </c>
      <c r="C460" s="55">
        <v>8.35</v>
      </c>
      <c r="D460" s="55">
        <v>501</v>
      </c>
      <c r="E460" s="53">
        <v>33</v>
      </c>
      <c r="F460" s="53">
        <v>12</v>
      </c>
      <c r="G460" s="55">
        <v>0.36363636363636398</v>
      </c>
      <c r="H460" s="55">
        <v>15.181818181818199</v>
      </c>
      <c r="I460" s="55">
        <v>90</v>
      </c>
      <c r="J460" s="53" t="s">
        <v>4840</v>
      </c>
      <c r="K460" s="53" t="s">
        <v>4841</v>
      </c>
      <c r="L460" s="53" t="s">
        <v>3907</v>
      </c>
    </row>
    <row r="461" spans="1:12" ht="15" customHeight="1" x14ac:dyDescent="0.35">
      <c r="A461" s="53" t="s">
        <v>2326</v>
      </c>
      <c r="B461" s="53" t="s">
        <v>921</v>
      </c>
      <c r="C461" s="55">
        <v>8.35</v>
      </c>
      <c r="D461" s="55">
        <v>501</v>
      </c>
      <c r="E461" s="53">
        <v>22</v>
      </c>
      <c r="F461" s="53">
        <v>9</v>
      </c>
      <c r="G461" s="55">
        <v>0.40909090909090901</v>
      </c>
      <c r="H461" s="55">
        <v>22.772727272727298</v>
      </c>
      <c r="I461" s="55">
        <v>120</v>
      </c>
      <c r="J461" s="53" t="s">
        <v>4842</v>
      </c>
      <c r="K461" s="53" t="s">
        <v>4843</v>
      </c>
      <c r="L461" s="53" t="s">
        <v>3907</v>
      </c>
    </row>
    <row r="462" spans="1:12" ht="15" customHeight="1" x14ac:dyDescent="0.35">
      <c r="A462" s="53" t="s">
        <v>2329</v>
      </c>
      <c r="B462" s="53" t="s">
        <v>1697</v>
      </c>
      <c r="C462" s="55">
        <v>8.3333333333333304</v>
      </c>
      <c r="D462" s="55">
        <v>500</v>
      </c>
      <c r="E462" s="53">
        <v>5</v>
      </c>
      <c r="F462" s="53">
        <v>2</v>
      </c>
      <c r="G462" s="55">
        <v>0.4</v>
      </c>
      <c r="H462" s="55">
        <v>100</v>
      </c>
      <c r="I462" s="55">
        <v>300</v>
      </c>
      <c r="J462" s="53" t="s">
        <v>4844</v>
      </c>
      <c r="K462" s="53" t="s">
        <v>4845</v>
      </c>
      <c r="L462" s="53" t="s">
        <v>4256</v>
      </c>
    </row>
    <row r="463" spans="1:12" ht="15" customHeight="1" x14ac:dyDescent="0.35">
      <c r="A463" s="53" t="s">
        <v>2332</v>
      </c>
      <c r="B463" s="53" t="s">
        <v>1240</v>
      </c>
      <c r="C463" s="55">
        <v>8.2833333333333297</v>
      </c>
      <c r="D463" s="55">
        <v>497</v>
      </c>
      <c r="E463" s="53">
        <v>72</v>
      </c>
      <c r="F463" s="53">
        <v>11</v>
      </c>
      <c r="G463" s="55">
        <v>0.15277777777777801</v>
      </c>
      <c r="H463" s="55">
        <v>6.9027777777777803</v>
      </c>
      <c r="I463" s="55">
        <v>180</v>
      </c>
      <c r="J463" s="53" t="s">
        <v>4846</v>
      </c>
      <c r="K463" s="53" t="s">
        <v>4847</v>
      </c>
      <c r="L463" s="53" t="s">
        <v>3907</v>
      </c>
    </row>
    <row r="464" spans="1:12" ht="15" customHeight="1" x14ac:dyDescent="0.35">
      <c r="A464" s="53" t="s">
        <v>2335</v>
      </c>
      <c r="B464" s="53" t="s">
        <v>989</v>
      </c>
      <c r="C464" s="55">
        <v>8.2833333333333297</v>
      </c>
      <c r="D464" s="55">
        <v>497</v>
      </c>
      <c r="E464" s="53">
        <v>5</v>
      </c>
      <c r="F464" s="53">
        <v>2</v>
      </c>
      <c r="G464" s="55">
        <v>0.4</v>
      </c>
      <c r="H464" s="55">
        <v>99.4</v>
      </c>
      <c r="I464" s="55">
        <v>377</v>
      </c>
      <c r="J464" s="53" t="s">
        <v>4848</v>
      </c>
      <c r="K464" s="53" t="s">
        <v>4849</v>
      </c>
      <c r="L464" s="53" t="s">
        <v>3924</v>
      </c>
    </row>
    <row r="465" spans="1:12" ht="15" customHeight="1" x14ac:dyDescent="0.35">
      <c r="A465" s="53" t="s">
        <v>2337</v>
      </c>
      <c r="B465" s="53" t="s">
        <v>1009</v>
      </c>
      <c r="C465" s="55">
        <v>8.2333333333333307</v>
      </c>
      <c r="D465" s="55">
        <v>494</v>
      </c>
      <c r="E465" s="53">
        <v>41</v>
      </c>
      <c r="F465" s="53">
        <v>10</v>
      </c>
      <c r="G465" s="55">
        <v>0.24390243902438999</v>
      </c>
      <c r="H465" s="55">
        <v>12.048780487804899</v>
      </c>
      <c r="I465" s="55">
        <v>150</v>
      </c>
      <c r="J465" s="53" t="s">
        <v>4850</v>
      </c>
      <c r="K465" s="53" t="s">
        <v>4851</v>
      </c>
      <c r="L465" s="53" t="s">
        <v>3924</v>
      </c>
    </row>
    <row r="466" spans="1:12" ht="15" customHeight="1" x14ac:dyDescent="0.35">
      <c r="A466" s="53" t="s">
        <v>2340</v>
      </c>
      <c r="B466" s="53" t="s">
        <v>1077</v>
      </c>
      <c r="C466" s="55">
        <v>8</v>
      </c>
      <c r="D466" s="55">
        <v>480</v>
      </c>
      <c r="E466" s="53">
        <v>16</v>
      </c>
      <c r="F466" s="53">
        <v>3</v>
      </c>
      <c r="G466" s="55">
        <v>0.1875</v>
      </c>
      <c r="H466" s="55">
        <v>30</v>
      </c>
      <c r="I466" s="55">
        <v>240</v>
      </c>
      <c r="J466" s="53" t="s">
        <v>4852</v>
      </c>
      <c r="K466" s="53" t="s">
        <v>4853</v>
      </c>
      <c r="L466" s="53" t="s">
        <v>3941</v>
      </c>
    </row>
    <row r="467" spans="1:12" ht="15" customHeight="1" x14ac:dyDescent="0.35">
      <c r="A467" s="53" t="s">
        <v>2343</v>
      </c>
      <c r="B467" s="53" t="s">
        <v>1077</v>
      </c>
      <c r="C467" s="55">
        <v>8</v>
      </c>
      <c r="D467" s="55">
        <v>480</v>
      </c>
      <c r="E467" s="53">
        <v>15</v>
      </c>
      <c r="F467" s="53">
        <v>1</v>
      </c>
      <c r="G467" s="55">
        <v>6.6666666666666693E-2</v>
      </c>
      <c r="H467" s="55">
        <v>32</v>
      </c>
      <c r="I467" s="55">
        <v>480</v>
      </c>
      <c r="J467" s="53" t="s">
        <v>4854</v>
      </c>
      <c r="K467" s="53" t="s">
        <v>4855</v>
      </c>
      <c r="L467" s="53" t="s">
        <v>4360</v>
      </c>
    </row>
    <row r="468" spans="1:12" ht="15" customHeight="1" x14ac:dyDescent="0.35">
      <c r="A468" s="53" t="s">
        <v>2346</v>
      </c>
      <c r="B468" s="53" t="s">
        <v>921</v>
      </c>
      <c r="C468" s="55">
        <v>8</v>
      </c>
      <c r="D468" s="55">
        <v>480</v>
      </c>
      <c r="E468" s="53">
        <v>3</v>
      </c>
      <c r="F468" s="53">
        <v>2</v>
      </c>
      <c r="G468" s="55">
        <v>0.66666666666666696</v>
      </c>
      <c r="H468" s="55">
        <v>160</v>
      </c>
      <c r="I468" s="55">
        <v>420</v>
      </c>
      <c r="J468" s="53" t="s">
        <v>4856</v>
      </c>
      <c r="K468" s="53" t="s">
        <v>4857</v>
      </c>
      <c r="L468" s="53" t="s">
        <v>4858</v>
      </c>
    </row>
    <row r="469" spans="1:12" ht="15" customHeight="1" x14ac:dyDescent="0.35">
      <c r="A469" s="53" t="s">
        <v>2349</v>
      </c>
      <c r="B469" s="53" t="s">
        <v>963</v>
      </c>
      <c r="C469" s="55">
        <v>8</v>
      </c>
      <c r="D469" s="55">
        <v>480</v>
      </c>
      <c r="E469" s="53">
        <v>3</v>
      </c>
      <c r="F469" s="53">
        <v>1</v>
      </c>
      <c r="G469" s="55">
        <v>0.33333333333333298</v>
      </c>
      <c r="H469" s="55">
        <v>160</v>
      </c>
      <c r="I469" s="55">
        <v>480</v>
      </c>
      <c r="J469" s="53" t="s">
        <v>4859</v>
      </c>
      <c r="K469" s="53" t="s">
        <v>4860</v>
      </c>
      <c r="L469" s="53" t="s">
        <v>4253</v>
      </c>
    </row>
    <row r="470" spans="1:12" ht="15" customHeight="1" x14ac:dyDescent="0.35">
      <c r="A470" s="53" t="s">
        <v>2351</v>
      </c>
      <c r="B470" s="53" t="s">
        <v>1077</v>
      </c>
      <c r="C470" s="55">
        <v>8</v>
      </c>
      <c r="D470" s="55">
        <v>480</v>
      </c>
      <c r="E470" s="53">
        <v>3</v>
      </c>
      <c r="F470" s="53">
        <v>1</v>
      </c>
      <c r="G470" s="55">
        <v>0.33333333333333298</v>
      </c>
      <c r="H470" s="55">
        <v>160</v>
      </c>
      <c r="I470" s="55">
        <v>480</v>
      </c>
      <c r="J470" s="53" t="s">
        <v>4861</v>
      </c>
      <c r="K470" s="53" t="s">
        <v>4862</v>
      </c>
      <c r="L470" s="53" t="s">
        <v>4360</v>
      </c>
    </row>
    <row r="471" spans="1:12" ht="15" customHeight="1" x14ac:dyDescent="0.35">
      <c r="A471" s="53" t="s">
        <v>2353</v>
      </c>
      <c r="B471" s="53" t="s">
        <v>1122</v>
      </c>
      <c r="C471" s="55">
        <v>7.8333333333333304</v>
      </c>
      <c r="D471" s="55">
        <v>470</v>
      </c>
      <c r="E471" s="53">
        <v>23</v>
      </c>
      <c r="F471" s="53">
        <v>8</v>
      </c>
      <c r="G471" s="55">
        <v>0.34782608695652201</v>
      </c>
      <c r="H471" s="55">
        <v>20.434782608695699</v>
      </c>
      <c r="I471" s="55">
        <v>120</v>
      </c>
      <c r="J471" s="53" t="s">
        <v>4863</v>
      </c>
      <c r="K471" s="53" t="s">
        <v>4864</v>
      </c>
      <c r="L471" s="53" t="s">
        <v>3907</v>
      </c>
    </row>
    <row r="472" spans="1:12" ht="15" customHeight="1" x14ac:dyDescent="0.35">
      <c r="A472" s="53" t="s">
        <v>2356</v>
      </c>
      <c r="B472" s="53" t="s">
        <v>1118</v>
      </c>
      <c r="C472" s="55">
        <v>7.8</v>
      </c>
      <c r="D472" s="55">
        <v>468</v>
      </c>
      <c r="E472" s="53">
        <v>11</v>
      </c>
      <c r="F472" s="53">
        <v>8</v>
      </c>
      <c r="G472" s="55">
        <v>0.72727272727272696</v>
      </c>
      <c r="H472" s="55">
        <v>42.545454545454596</v>
      </c>
      <c r="I472" s="55">
        <v>240</v>
      </c>
      <c r="J472" s="53" t="s">
        <v>4865</v>
      </c>
      <c r="K472" s="53" t="s">
        <v>4866</v>
      </c>
      <c r="L472" s="53" t="s">
        <v>4165</v>
      </c>
    </row>
    <row r="473" spans="1:12" ht="15" customHeight="1" x14ac:dyDescent="0.35">
      <c r="A473" s="53" t="s">
        <v>2359</v>
      </c>
      <c r="B473" s="53" t="s">
        <v>1070</v>
      </c>
      <c r="C473" s="55">
        <v>7.6666666666666696</v>
      </c>
      <c r="D473" s="55">
        <v>460</v>
      </c>
      <c r="E473" s="53">
        <v>26</v>
      </c>
      <c r="F473" s="53">
        <v>5</v>
      </c>
      <c r="G473" s="55">
        <v>0.19230769230769201</v>
      </c>
      <c r="H473" s="55">
        <v>17.692307692307701</v>
      </c>
      <c r="I473" s="55">
        <v>260</v>
      </c>
      <c r="J473" s="53" t="s">
        <v>4867</v>
      </c>
      <c r="K473" s="53" t="s">
        <v>4868</v>
      </c>
      <c r="L473" s="53" t="s">
        <v>3907</v>
      </c>
    </row>
    <row r="474" spans="1:12" ht="15" customHeight="1" x14ac:dyDescent="0.35">
      <c r="A474" s="53" t="s">
        <v>2362</v>
      </c>
      <c r="B474" s="53" t="s">
        <v>1817</v>
      </c>
      <c r="C474" s="55">
        <v>7.6666666666666696</v>
      </c>
      <c r="D474" s="55">
        <v>460</v>
      </c>
      <c r="E474" s="53">
        <v>3</v>
      </c>
      <c r="F474" s="53">
        <v>1</v>
      </c>
      <c r="G474" s="55">
        <v>0.33333333333333298</v>
      </c>
      <c r="H474" s="55">
        <v>153.333333333333</v>
      </c>
      <c r="I474" s="55">
        <v>460</v>
      </c>
      <c r="J474" s="53" t="s">
        <v>4869</v>
      </c>
      <c r="K474" s="53" t="s">
        <v>4870</v>
      </c>
      <c r="L474" s="53" t="s">
        <v>4871</v>
      </c>
    </row>
    <row r="475" spans="1:12" ht="15" customHeight="1" x14ac:dyDescent="0.35">
      <c r="A475" s="53" t="s">
        <v>2365</v>
      </c>
      <c r="B475" s="53" t="s">
        <v>1070</v>
      </c>
      <c r="C475" s="55">
        <v>7.5833333333333304</v>
      </c>
      <c r="D475" s="55">
        <v>455</v>
      </c>
      <c r="E475" s="53">
        <v>13</v>
      </c>
      <c r="F475" s="53">
        <v>6</v>
      </c>
      <c r="G475" s="55">
        <v>0.46153846153846201</v>
      </c>
      <c r="H475" s="55">
        <v>35</v>
      </c>
      <c r="I475" s="55">
        <v>120</v>
      </c>
      <c r="J475" s="53" t="s">
        <v>4872</v>
      </c>
      <c r="K475" s="53" t="s">
        <v>4873</v>
      </c>
      <c r="L475" s="53" t="s">
        <v>4534</v>
      </c>
    </row>
    <row r="476" spans="1:12" ht="15" customHeight="1" x14ac:dyDescent="0.35">
      <c r="A476" s="53" t="s">
        <v>2368</v>
      </c>
      <c r="B476" s="53" t="s">
        <v>921</v>
      </c>
      <c r="C476" s="55">
        <v>7.5</v>
      </c>
      <c r="D476" s="55">
        <v>450</v>
      </c>
      <c r="E476" s="53">
        <v>30</v>
      </c>
      <c r="F476" s="53">
        <v>7</v>
      </c>
      <c r="G476" s="55">
        <v>0.233333333333333</v>
      </c>
      <c r="H476" s="55">
        <v>15</v>
      </c>
      <c r="I476" s="55">
        <v>150</v>
      </c>
      <c r="J476" s="53" t="s">
        <v>4874</v>
      </c>
      <c r="K476" s="53" t="s">
        <v>4875</v>
      </c>
      <c r="L476" s="53" t="s">
        <v>3907</v>
      </c>
    </row>
    <row r="477" spans="1:12" ht="15" customHeight="1" x14ac:dyDescent="0.35">
      <c r="A477" s="53" t="s">
        <v>2371</v>
      </c>
      <c r="B477" s="53" t="s">
        <v>1070</v>
      </c>
      <c r="C477" s="55">
        <v>7.5</v>
      </c>
      <c r="D477" s="55">
        <v>450</v>
      </c>
      <c r="E477" s="53">
        <v>9</v>
      </c>
      <c r="F477" s="53">
        <v>3</v>
      </c>
      <c r="G477" s="55">
        <v>0.33333333333333298</v>
      </c>
      <c r="H477" s="55">
        <v>50</v>
      </c>
      <c r="I477" s="55">
        <v>210</v>
      </c>
      <c r="J477" s="53" t="s">
        <v>4876</v>
      </c>
      <c r="K477" s="53" t="s">
        <v>4877</v>
      </c>
      <c r="L477" s="53" t="s">
        <v>4534</v>
      </c>
    </row>
    <row r="478" spans="1:12" ht="15" customHeight="1" x14ac:dyDescent="0.35">
      <c r="A478" s="53" t="s">
        <v>2374</v>
      </c>
      <c r="B478" s="53" t="s">
        <v>921</v>
      </c>
      <c r="C478" s="55">
        <v>7.5</v>
      </c>
      <c r="D478" s="55">
        <v>450</v>
      </c>
      <c r="E478" s="53">
        <v>6</v>
      </c>
      <c r="F478" s="53">
        <v>3</v>
      </c>
      <c r="G478" s="55">
        <v>0.5</v>
      </c>
      <c r="H478" s="55">
        <v>75</v>
      </c>
      <c r="I478" s="55">
        <v>240</v>
      </c>
      <c r="J478" s="53" t="s">
        <v>4878</v>
      </c>
      <c r="K478" s="53" t="s">
        <v>4879</v>
      </c>
      <c r="L478" s="53" t="s">
        <v>4571</v>
      </c>
    </row>
    <row r="479" spans="1:12" ht="15" customHeight="1" x14ac:dyDescent="0.35">
      <c r="A479" s="53" t="s">
        <v>2377</v>
      </c>
      <c r="B479" s="53" t="s">
        <v>1009</v>
      </c>
      <c r="C479" s="55">
        <v>7.4166666666666696</v>
      </c>
      <c r="D479" s="55">
        <v>445</v>
      </c>
      <c r="E479" s="53">
        <v>32</v>
      </c>
      <c r="F479" s="53">
        <v>10</v>
      </c>
      <c r="G479" s="55">
        <v>0.3125</v>
      </c>
      <c r="H479" s="55">
        <v>13.90625</v>
      </c>
      <c r="I479" s="55">
        <v>120</v>
      </c>
      <c r="J479" s="53" t="s">
        <v>4880</v>
      </c>
      <c r="K479" s="53" t="s">
        <v>4881</v>
      </c>
      <c r="L479" s="53" t="s">
        <v>3907</v>
      </c>
    </row>
    <row r="480" spans="1:12" ht="15" customHeight="1" x14ac:dyDescent="0.35">
      <c r="A480" s="53" t="s">
        <v>2380</v>
      </c>
      <c r="B480" s="53" t="s">
        <v>929</v>
      </c>
      <c r="C480" s="55">
        <v>7.3333333333333304</v>
      </c>
      <c r="D480" s="55">
        <v>440</v>
      </c>
      <c r="E480" s="53">
        <v>18</v>
      </c>
      <c r="F480" s="53">
        <v>2</v>
      </c>
      <c r="G480" s="55">
        <v>0.11111111111111099</v>
      </c>
      <c r="H480" s="55">
        <v>24.4444444444444</v>
      </c>
      <c r="I480" s="55">
        <v>320</v>
      </c>
      <c r="J480" s="53" t="s">
        <v>4882</v>
      </c>
      <c r="K480" s="53" t="s">
        <v>4883</v>
      </c>
      <c r="L480" s="53" t="s">
        <v>3907</v>
      </c>
    </row>
    <row r="481" spans="1:12" ht="15" customHeight="1" x14ac:dyDescent="0.35">
      <c r="A481" s="53" t="s">
        <v>2383</v>
      </c>
      <c r="B481" s="53" t="s">
        <v>989</v>
      </c>
      <c r="C481" s="55">
        <v>7.3333333333333304</v>
      </c>
      <c r="D481" s="55">
        <v>440</v>
      </c>
      <c r="E481" s="53">
        <v>7</v>
      </c>
      <c r="F481" s="53">
        <v>2</v>
      </c>
      <c r="G481" s="55">
        <v>0.28571428571428598</v>
      </c>
      <c r="H481" s="55">
        <v>62.857142857142897</v>
      </c>
      <c r="I481" s="55">
        <v>240</v>
      </c>
      <c r="J481" s="53" t="s">
        <v>4884</v>
      </c>
      <c r="K481" s="53" t="s">
        <v>4885</v>
      </c>
      <c r="L481" s="53" t="s">
        <v>4165</v>
      </c>
    </row>
    <row r="482" spans="1:12" ht="15" customHeight="1" x14ac:dyDescent="0.35">
      <c r="A482" s="53" t="s">
        <v>2386</v>
      </c>
      <c r="B482" s="53" t="s">
        <v>1136</v>
      </c>
      <c r="C482" s="55">
        <v>7.1666666666666696</v>
      </c>
      <c r="D482" s="55">
        <v>430</v>
      </c>
      <c r="E482" s="53">
        <v>33</v>
      </c>
      <c r="F482" s="53">
        <v>6</v>
      </c>
      <c r="G482" s="55">
        <v>0.18181818181818199</v>
      </c>
      <c r="H482" s="55">
        <v>13.030303030302999</v>
      </c>
      <c r="I482" s="55">
        <v>180</v>
      </c>
      <c r="J482" s="53" t="s">
        <v>4886</v>
      </c>
      <c r="K482" s="53" t="s">
        <v>4887</v>
      </c>
      <c r="L482" s="53" t="s">
        <v>3907</v>
      </c>
    </row>
    <row r="483" spans="1:12" ht="15" customHeight="1" x14ac:dyDescent="0.35">
      <c r="A483" s="53" t="s">
        <v>2389</v>
      </c>
      <c r="B483" s="53" t="s">
        <v>1118</v>
      </c>
      <c r="C483" s="55">
        <v>7.1666666666666696</v>
      </c>
      <c r="D483" s="55">
        <v>430</v>
      </c>
      <c r="E483" s="53">
        <v>4</v>
      </c>
      <c r="F483" s="53">
        <v>1</v>
      </c>
      <c r="G483" s="55">
        <v>0.25</v>
      </c>
      <c r="H483" s="55">
        <v>107.5</v>
      </c>
      <c r="I483" s="55">
        <v>430</v>
      </c>
      <c r="J483" s="53" t="s">
        <v>4888</v>
      </c>
      <c r="K483" s="53" t="s">
        <v>4889</v>
      </c>
      <c r="L483" s="53" t="s">
        <v>4772</v>
      </c>
    </row>
    <row r="484" spans="1:12" ht="15" customHeight="1" x14ac:dyDescent="0.35">
      <c r="A484" s="53" t="s">
        <v>2392</v>
      </c>
      <c r="B484" s="53" t="s">
        <v>1136</v>
      </c>
      <c r="C484" s="55">
        <v>7.0833333333333304</v>
      </c>
      <c r="D484" s="55">
        <v>425</v>
      </c>
      <c r="E484" s="53">
        <v>53</v>
      </c>
      <c r="F484" s="53">
        <v>8</v>
      </c>
      <c r="G484" s="55">
        <v>0.15094339622641501</v>
      </c>
      <c r="H484" s="55">
        <v>8.0188679245282994</v>
      </c>
      <c r="I484" s="55">
        <v>120</v>
      </c>
      <c r="J484" s="53" t="s">
        <v>4890</v>
      </c>
      <c r="K484" s="53" t="s">
        <v>4891</v>
      </c>
      <c r="L484" s="53" t="s">
        <v>3907</v>
      </c>
    </row>
    <row r="485" spans="1:12" ht="15" customHeight="1" x14ac:dyDescent="0.35">
      <c r="A485" s="53" t="s">
        <v>2395</v>
      </c>
      <c r="B485" s="53" t="s">
        <v>989</v>
      </c>
      <c r="C485" s="55">
        <v>7.05</v>
      </c>
      <c r="D485" s="55">
        <v>423</v>
      </c>
      <c r="E485" s="53">
        <v>6</v>
      </c>
      <c r="F485" s="53">
        <v>2</v>
      </c>
      <c r="G485" s="55">
        <v>0.33333333333333298</v>
      </c>
      <c r="H485" s="55">
        <v>70.5</v>
      </c>
      <c r="I485" s="55">
        <v>303</v>
      </c>
      <c r="J485" s="53" t="s">
        <v>4892</v>
      </c>
      <c r="K485" s="53" t="s">
        <v>4893</v>
      </c>
      <c r="L485" s="53" t="s">
        <v>4253</v>
      </c>
    </row>
    <row r="486" spans="1:12" ht="15" customHeight="1" x14ac:dyDescent="0.35">
      <c r="A486" s="53" t="s">
        <v>2398</v>
      </c>
      <c r="B486" s="53" t="s">
        <v>1077</v>
      </c>
      <c r="C486" s="55">
        <v>7</v>
      </c>
      <c r="D486" s="55">
        <v>420</v>
      </c>
      <c r="E486" s="53">
        <v>17</v>
      </c>
      <c r="F486" s="53">
        <v>2</v>
      </c>
      <c r="G486" s="55">
        <v>0.11764705882352899</v>
      </c>
      <c r="H486" s="55">
        <v>24.705882352941199</v>
      </c>
      <c r="I486" s="55">
        <v>240</v>
      </c>
      <c r="J486" s="53" t="s">
        <v>4894</v>
      </c>
      <c r="K486" s="53" t="s">
        <v>4895</v>
      </c>
      <c r="L486" s="53" t="s">
        <v>3941</v>
      </c>
    </row>
    <row r="487" spans="1:12" ht="15" customHeight="1" x14ac:dyDescent="0.35">
      <c r="A487" s="53" t="s">
        <v>2401</v>
      </c>
      <c r="B487" s="53" t="s">
        <v>921</v>
      </c>
      <c r="C487" s="55">
        <v>6.9833333333333298</v>
      </c>
      <c r="D487" s="55">
        <v>419</v>
      </c>
      <c r="E487" s="53">
        <v>6</v>
      </c>
      <c r="F487" s="53">
        <v>4</v>
      </c>
      <c r="G487" s="55">
        <v>0.66666666666666696</v>
      </c>
      <c r="H487" s="55">
        <v>69.8333333333333</v>
      </c>
      <c r="I487" s="55">
        <v>240</v>
      </c>
      <c r="J487" s="53" t="s">
        <v>4896</v>
      </c>
      <c r="K487" s="53" t="s">
        <v>4897</v>
      </c>
      <c r="L487" s="53" t="s">
        <v>4165</v>
      </c>
    </row>
    <row r="488" spans="1:12" ht="15" customHeight="1" x14ac:dyDescent="0.35">
      <c r="A488" s="53" t="s">
        <v>2403</v>
      </c>
      <c r="B488" s="53" t="s">
        <v>1817</v>
      </c>
      <c r="C488" s="55">
        <v>6.7833333333333297</v>
      </c>
      <c r="D488" s="55">
        <v>407</v>
      </c>
      <c r="E488" s="53">
        <v>20</v>
      </c>
      <c r="F488" s="53">
        <v>5</v>
      </c>
      <c r="G488" s="55">
        <v>0.25</v>
      </c>
      <c r="H488" s="55">
        <v>20.350000000000001</v>
      </c>
      <c r="I488" s="55">
        <v>207</v>
      </c>
      <c r="J488" s="53" t="s">
        <v>4898</v>
      </c>
      <c r="K488" s="53" t="s">
        <v>4899</v>
      </c>
      <c r="L488" s="53" t="s">
        <v>3907</v>
      </c>
    </row>
    <row r="489" spans="1:12" ht="15" customHeight="1" x14ac:dyDescent="0.35">
      <c r="A489" s="53" t="s">
        <v>2406</v>
      </c>
      <c r="B489" s="53" t="s">
        <v>1118</v>
      </c>
      <c r="C489" s="55">
        <v>6.7666666666666702</v>
      </c>
      <c r="D489" s="55">
        <v>406</v>
      </c>
      <c r="E489" s="53">
        <v>20</v>
      </c>
      <c r="F489" s="53">
        <v>4</v>
      </c>
      <c r="G489" s="55">
        <v>0.2</v>
      </c>
      <c r="H489" s="55">
        <v>20.3</v>
      </c>
      <c r="I489" s="55">
        <v>345</v>
      </c>
      <c r="J489" s="53" t="s">
        <v>4900</v>
      </c>
      <c r="K489" s="53" t="s">
        <v>4901</v>
      </c>
      <c r="L489" s="53" t="s">
        <v>3907</v>
      </c>
    </row>
    <row r="490" spans="1:12" ht="15" customHeight="1" x14ac:dyDescent="0.35">
      <c r="A490" s="53" t="s">
        <v>2408</v>
      </c>
      <c r="B490" s="53" t="s">
        <v>921</v>
      </c>
      <c r="C490" s="55">
        <v>6.75</v>
      </c>
      <c r="D490" s="55">
        <v>405</v>
      </c>
      <c r="E490" s="53">
        <v>13</v>
      </c>
      <c r="F490" s="53">
        <v>4</v>
      </c>
      <c r="G490" s="55">
        <v>0.30769230769230799</v>
      </c>
      <c r="H490" s="55">
        <v>31.153846153846199</v>
      </c>
      <c r="I490" s="55">
        <v>240</v>
      </c>
      <c r="J490" s="53" t="s">
        <v>4902</v>
      </c>
      <c r="K490" s="53" t="s">
        <v>4903</v>
      </c>
      <c r="L490" s="53" t="s">
        <v>4673</v>
      </c>
    </row>
    <row r="491" spans="1:12" ht="15" customHeight="1" x14ac:dyDescent="0.35">
      <c r="A491" s="53" t="s">
        <v>2411</v>
      </c>
      <c r="B491" s="53" t="s">
        <v>1070</v>
      </c>
      <c r="C491" s="55">
        <v>6.68333333333333</v>
      </c>
      <c r="D491" s="55">
        <v>401</v>
      </c>
      <c r="E491" s="53">
        <v>6</v>
      </c>
      <c r="F491" s="53">
        <v>4</v>
      </c>
      <c r="G491" s="55">
        <v>0.66666666666666696</v>
      </c>
      <c r="H491" s="55">
        <v>66.8333333333333</v>
      </c>
      <c r="I491" s="55">
        <v>240</v>
      </c>
      <c r="J491" s="53" t="s">
        <v>4892</v>
      </c>
      <c r="K491" s="53" t="s">
        <v>4904</v>
      </c>
      <c r="L491" s="53" t="s">
        <v>4905</v>
      </c>
    </row>
    <row r="492" spans="1:12" ht="15" customHeight="1" x14ac:dyDescent="0.35">
      <c r="A492" s="53" t="s">
        <v>2413</v>
      </c>
      <c r="B492" s="53" t="s">
        <v>1077</v>
      </c>
      <c r="C492" s="55">
        <v>6.6666666666666696</v>
      </c>
      <c r="D492" s="55">
        <v>400</v>
      </c>
      <c r="E492" s="53">
        <v>29</v>
      </c>
      <c r="F492" s="53">
        <v>4</v>
      </c>
      <c r="G492" s="55">
        <v>0.13793103448275901</v>
      </c>
      <c r="H492" s="55">
        <v>13.7931034482759</v>
      </c>
      <c r="I492" s="55">
        <v>240</v>
      </c>
      <c r="J492" s="53" t="s">
        <v>4906</v>
      </c>
      <c r="K492" s="53" t="s">
        <v>4907</v>
      </c>
      <c r="L492" s="53" t="s">
        <v>3941</v>
      </c>
    </row>
    <row r="493" spans="1:12" ht="15" customHeight="1" x14ac:dyDescent="0.35">
      <c r="A493" s="53" t="s">
        <v>2416</v>
      </c>
      <c r="B493" s="53" t="s">
        <v>1690</v>
      </c>
      <c r="C493" s="55">
        <v>6.6666666666666696</v>
      </c>
      <c r="D493" s="55">
        <v>400</v>
      </c>
      <c r="E493" s="53">
        <v>4</v>
      </c>
      <c r="F493" s="53">
        <v>2</v>
      </c>
      <c r="G493" s="55">
        <v>0.5</v>
      </c>
      <c r="H493" s="55">
        <v>100</v>
      </c>
      <c r="I493" s="55">
        <v>360</v>
      </c>
      <c r="J493" s="53" t="s">
        <v>4908</v>
      </c>
      <c r="K493" s="53" t="s">
        <v>4909</v>
      </c>
      <c r="L493" s="53" t="s">
        <v>4910</v>
      </c>
    </row>
    <row r="494" spans="1:12" ht="15" customHeight="1" x14ac:dyDescent="0.35">
      <c r="A494" s="53" t="s">
        <v>2419</v>
      </c>
      <c r="B494" s="53" t="s">
        <v>1077</v>
      </c>
      <c r="C494" s="55">
        <v>6.5</v>
      </c>
      <c r="D494" s="55">
        <v>390</v>
      </c>
      <c r="E494" s="53">
        <v>11</v>
      </c>
      <c r="F494" s="53">
        <v>2</v>
      </c>
      <c r="G494" s="55">
        <v>0.18181818181818199</v>
      </c>
      <c r="H494" s="55">
        <v>35.454545454545503</v>
      </c>
      <c r="I494" s="55">
        <v>270</v>
      </c>
      <c r="J494" s="53" t="s">
        <v>4911</v>
      </c>
      <c r="K494" s="53" t="s">
        <v>4912</v>
      </c>
      <c r="L494" s="53" t="s">
        <v>3941</v>
      </c>
    </row>
    <row r="495" spans="1:12" ht="15" customHeight="1" x14ac:dyDescent="0.35">
      <c r="A495" s="53" t="s">
        <v>2422</v>
      </c>
      <c r="B495" s="53" t="s">
        <v>898</v>
      </c>
      <c r="C495" s="55">
        <v>6.4666666666666703</v>
      </c>
      <c r="D495" s="55">
        <v>388</v>
      </c>
      <c r="E495" s="53">
        <v>7</v>
      </c>
      <c r="F495" s="53">
        <v>3</v>
      </c>
      <c r="G495" s="55">
        <v>0.42857142857142899</v>
      </c>
      <c r="H495" s="55">
        <v>55.428571428571402</v>
      </c>
      <c r="I495" s="55">
        <v>268</v>
      </c>
      <c r="J495" s="53" t="s">
        <v>4913</v>
      </c>
      <c r="K495" s="53" t="s">
        <v>4914</v>
      </c>
      <c r="L495" s="53" t="s">
        <v>3907</v>
      </c>
    </row>
    <row r="496" spans="1:12" ht="15" customHeight="1" x14ac:dyDescent="0.35">
      <c r="A496" s="53" t="s">
        <v>2425</v>
      </c>
      <c r="B496" s="53" t="s">
        <v>1659</v>
      </c>
      <c r="C496" s="55">
        <v>6.45</v>
      </c>
      <c r="D496" s="55">
        <v>387</v>
      </c>
      <c r="E496" s="53">
        <v>9</v>
      </c>
      <c r="F496" s="53">
        <v>3</v>
      </c>
      <c r="G496" s="55">
        <v>0.33333333333333298</v>
      </c>
      <c r="H496" s="55">
        <v>43</v>
      </c>
      <c r="I496" s="55">
        <v>200</v>
      </c>
      <c r="J496" s="53" t="s">
        <v>4915</v>
      </c>
      <c r="K496" s="53" t="s">
        <v>4916</v>
      </c>
      <c r="L496" s="53" t="s">
        <v>4253</v>
      </c>
    </row>
    <row r="497" spans="1:12" ht="15" customHeight="1" x14ac:dyDescent="0.35">
      <c r="A497" s="53" t="s">
        <v>2428</v>
      </c>
      <c r="B497" s="53" t="s">
        <v>1101</v>
      </c>
      <c r="C497" s="55">
        <v>6.3333333333333304</v>
      </c>
      <c r="D497" s="55">
        <v>380</v>
      </c>
      <c r="E497" s="53">
        <v>20</v>
      </c>
      <c r="F497" s="53">
        <v>4</v>
      </c>
      <c r="G497" s="55">
        <v>0.2</v>
      </c>
      <c r="H497" s="55">
        <v>19</v>
      </c>
      <c r="I497" s="55">
        <v>120</v>
      </c>
      <c r="J497" s="53" t="s">
        <v>4917</v>
      </c>
      <c r="K497" s="53" t="s">
        <v>4918</v>
      </c>
      <c r="L497" s="53" t="s">
        <v>3907</v>
      </c>
    </row>
    <row r="498" spans="1:12" ht="15" customHeight="1" x14ac:dyDescent="0.35">
      <c r="A498" s="53" t="s">
        <v>2431</v>
      </c>
      <c r="B498" s="53" t="s">
        <v>1157</v>
      </c>
      <c r="C498" s="55">
        <v>6.3333333333333304</v>
      </c>
      <c r="D498" s="55">
        <v>380</v>
      </c>
      <c r="E498" s="53">
        <v>16</v>
      </c>
      <c r="F498" s="53">
        <v>6</v>
      </c>
      <c r="G498" s="55">
        <v>0.375</v>
      </c>
      <c r="H498" s="55">
        <v>23.75</v>
      </c>
      <c r="I498" s="55">
        <v>150</v>
      </c>
      <c r="J498" s="53" t="s">
        <v>4919</v>
      </c>
      <c r="K498" s="53" t="s">
        <v>4920</v>
      </c>
      <c r="L498" s="53" t="s">
        <v>4165</v>
      </c>
    </row>
    <row r="499" spans="1:12" ht="15" customHeight="1" x14ac:dyDescent="0.35">
      <c r="A499" s="53" t="s">
        <v>2434</v>
      </c>
      <c r="B499" s="53" t="s">
        <v>1077</v>
      </c>
      <c r="C499" s="55">
        <v>6.3333333333333304</v>
      </c>
      <c r="D499" s="55">
        <v>380</v>
      </c>
      <c r="E499" s="53">
        <v>14</v>
      </c>
      <c r="F499" s="53">
        <v>2</v>
      </c>
      <c r="G499" s="55">
        <v>0.14285714285714299</v>
      </c>
      <c r="H499" s="55">
        <v>27.1428571428571</v>
      </c>
      <c r="I499" s="55">
        <v>300</v>
      </c>
      <c r="J499" s="53" t="s">
        <v>4921</v>
      </c>
      <c r="K499" s="53" t="s">
        <v>4922</v>
      </c>
      <c r="L499" s="53" t="s">
        <v>3941</v>
      </c>
    </row>
    <row r="500" spans="1:12" ht="15" customHeight="1" x14ac:dyDescent="0.35">
      <c r="A500" s="53" t="s">
        <v>2437</v>
      </c>
      <c r="B500" s="53" t="s">
        <v>913</v>
      </c>
      <c r="C500" s="55">
        <v>6.3333333333333304</v>
      </c>
      <c r="D500" s="55">
        <v>380</v>
      </c>
      <c r="E500" s="53">
        <v>4</v>
      </c>
      <c r="F500" s="53">
        <v>3</v>
      </c>
      <c r="G500" s="55">
        <v>0.75</v>
      </c>
      <c r="H500" s="55">
        <v>95</v>
      </c>
      <c r="I500" s="55">
        <v>200</v>
      </c>
      <c r="J500" s="53" t="s">
        <v>4923</v>
      </c>
      <c r="K500" s="53" t="s">
        <v>4924</v>
      </c>
      <c r="L500" s="53" t="s">
        <v>4925</v>
      </c>
    </row>
    <row r="501" spans="1:12" ht="15" customHeight="1" x14ac:dyDescent="0.35">
      <c r="A501" s="53" t="s">
        <v>2440</v>
      </c>
      <c r="B501" s="53" t="s">
        <v>909</v>
      </c>
      <c r="C501" s="55">
        <v>6.2833333333333297</v>
      </c>
      <c r="D501" s="55">
        <v>377</v>
      </c>
      <c r="E501" s="53">
        <v>1</v>
      </c>
      <c r="F501" s="53">
        <v>1</v>
      </c>
      <c r="G501" s="55">
        <v>1</v>
      </c>
      <c r="H501" s="55">
        <v>377</v>
      </c>
      <c r="I501" s="55">
        <v>377</v>
      </c>
      <c r="J501" s="53" t="s">
        <v>4770</v>
      </c>
      <c r="K501" s="53" t="s">
        <v>4926</v>
      </c>
      <c r="L501" s="53" t="s">
        <v>4772</v>
      </c>
    </row>
    <row r="502" spans="1:12" ht="15" customHeight="1" x14ac:dyDescent="0.35">
      <c r="A502" s="53" t="s">
        <v>2442</v>
      </c>
      <c r="B502" s="53" t="s">
        <v>989</v>
      </c>
      <c r="C502" s="55">
        <v>6.2666666666666702</v>
      </c>
      <c r="D502" s="55">
        <v>376</v>
      </c>
      <c r="E502" s="53">
        <v>1</v>
      </c>
      <c r="F502" s="53">
        <v>1</v>
      </c>
      <c r="G502" s="55">
        <v>1</v>
      </c>
      <c r="H502" s="55">
        <v>376</v>
      </c>
      <c r="I502" s="55">
        <v>376</v>
      </c>
      <c r="J502" s="53" t="s">
        <v>4927</v>
      </c>
      <c r="K502" s="53" t="s">
        <v>4928</v>
      </c>
      <c r="L502" s="53" t="s">
        <v>4686</v>
      </c>
    </row>
    <row r="503" spans="1:12" ht="15" customHeight="1" x14ac:dyDescent="0.35">
      <c r="A503" s="53" t="s">
        <v>2444</v>
      </c>
      <c r="B503" s="53" t="s">
        <v>1077</v>
      </c>
      <c r="C503" s="55">
        <v>6.25</v>
      </c>
      <c r="D503" s="55">
        <v>375</v>
      </c>
      <c r="E503" s="53">
        <v>16</v>
      </c>
      <c r="F503" s="53">
        <v>2</v>
      </c>
      <c r="G503" s="55">
        <v>0.125</v>
      </c>
      <c r="H503" s="55">
        <v>23.4375</v>
      </c>
      <c r="I503" s="55">
        <v>360</v>
      </c>
      <c r="J503" s="53" t="s">
        <v>4929</v>
      </c>
      <c r="K503" s="53" t="s">
        <v>4930</v>
      </c>
      <c r="L503" s="53" t="s">
        <v>3941</v>
      </c>
    </row>
    <row r="504" spans="1:12" ht="15" customHeight="1" x14ac:dyDescent="0.35">
      <c r="A504" s="53" t="s">
        <v>2447</v>
      </c>
      <c r="B504" s="53" t="s">
        <v>1118</v>
      </c>
      <c r="C504" s="55">
        <v>6.15</v>
      </c>
      <c r="D504" s="55">
        <v>369</v>
      </c>
      <c r="E504" s="53">
        <v>3</v>
      </c>
      <c r="F504" s="53">
        <v>2</v>
      </c>
      <c r="G504" s="55">
        <v>0.66666666666666696</v>
      </c>
      <c r="H504" s="55">
        <v>123</v>
      </c>
      <c r="I504" s="55">
        <v>330</v>
      </c>
      <c r="J504" s="53" t="s">
        <v>4931</v>
      </c>
      <c r="K504" s="53" t="s">
        <v>4932</v>
      </c>
      <c r="L504" s="53" t="s">
        <v>4604</v>
      </c>
    </row>
    <row r="505" spans="1:12" ht="15" customHeight="1" x14ac:dyDescent="0.35">
      <c r="A505" s="53" t="s">
        <v>2450</v>
      </c>
      <c r="B505" s="53" t="s">
        <v>1582</v>
      </c>
      <c r="C505" s="55">
        <v>6.1</v>
      </c>
      <c r="D505" s="55">
        <v>366</v>
      </c>
      <c r="E505" s="53">
        <v>7</v>
      </c>
      <c r="F505" s="53">
        <v>6</v>
      </c>
      <c r="G505" s="55">
        <v>0.85714285714285698</v>
      </c>
      <c r="H505" s="55">
        <v>52.285714285714299</v>
      </c>
      <c r="I505" s="55">
        <v>266</v>
      </c>
      <c r="J505" s="53" t="s">
        <v>4933</v>
      </c>
      <c r="K505" s="53" t="s">
        <v>4934</v>
      </c>
      <c r="L505" s="53" t="s">
        <v>4673</v>
      </c>
    </row>
    <row r="506" spans="1:12" ht="15" customHeight="1" x14ac:dyDescent="0.35">
      <c r="A506" s="53" t="s">
        <v>2453</v>
      </c>
      <c r="B506" s="53" t="s">
        <v>1122</v>
      </c>
      <c r="C506" s="55">
        <v>6.05</v>
      </c>
      <c r="D506" s="55">
        <v>363</v>
      </c>
      <c r="E506" s="53">
        <v>31</v>
      </c>
      <c r="F506" s="53">
        <v>7</v>
      </c>
      <c r="G506" s="55">
        <v>0.225806451612903</v>
      </c>
      <c r="H506" s="55">
        <v>11.709677419354801</v>
      </c>
      <c r="I506" s="55">
        <v>120</v>
      </c>
      <c r="J506" s="53" t="s">
        <v>4935</v>
      </c>
      <c r="K506" s="53" t="s">
        <v>4936</v>
      </c>
      <c r="L506" s="53" t="s">
        <v>3907</v>
      </c>
    </row>
    <row r="507" spans="1:12" ht="15" customHeight="1" x14ac:dyDescent="0.35">
      <c r="A507" s="53" t="s">
        <v>2456</v>
      </c>
      <c r="B507" s="53" t="s">
        <v>1077</v>
      </c>
      <c r="C507" s="55">
        <v>6.05</v>
      </c>
      <c r="D507" s="55">
        <v>363</v>
      </c>
      <c r="E507" s="53">
        <v>21</v>
      </c>
      <c r="F507" s="53">
        <v>3</v>
      </c>
      <c r="G507" s="55">
        <v>0.14285714285714299</v>
      </c>
      <c r="H507" s="55">
        <v>17.285714285714299</v>
      </c>
      <c r="I507" s="55">
        <v>183</v>
      </c>
      <c r="J507" s="53" t="s">
        <v>4937</v>
      </c>
      <c r="K507" s="53" t="s">
        <v>4938</v>
      </c>
      <c r="L507" s="53" t="s">
        <v>4360</v>
      </c>
    </row>
    <row r="508" spans="1:12" ht="15" customHeight="1" x14ac:dyDescent="0.35">
      <c r="A508" s="53" t="s">
        <v>2459</v>
      </c>
      <c r="B508" s="53" t="s">
        <v>921</v>
      </c>
      <c r="C508" s="55">
        <v>6</v>
      </c>
      <c r="D508" s="55">
        <v>360</v>
      </c>
      <c r="E508" s="53">
        <v>13</v>
      </c>
      <c r="F508" s="53">
        <v>3</v>
      </c>
      <c r="G508" s="55">
        <v>0.230769230769231</v>
      </c>
      <c r="H508" s="55">
        <v>27.692307692307701</v>
      </c>
      <c r="I508" s="55">
        <v>240</v>
      </c>
      <c r="J508" s="53" t="s">
        <v>4939</v>
      </c>
      <c r="K508" s="53" t="s">
        <v>4940</v>
      </c>
      <c r="L508" s="53" t="s">
        <v>3924</v>
      </c>
    </row>
    <row r="509" spans="1:12" ht="15" customHeight="1" x14ac:dyDescent="0.35">
      <c r="A509" s="53" t="s">
        <v>2462</v>
      </c>
      <c r="B509" s="53" t="s">
        <v>996</v>
      </c>
      <c r="C509" s="55">
        <v>6</v>
      </c>
      <c r="D509" s="55">
        <v>360</v>
      </c>
      <c r="E509" s="53">
        <v>10</v>
      </c>
      <c r="F509" s="53">
        <v>3</v>
      </c>
      <c r="G509" s="55">
        <v>0.3</v>
      </c>
      <c r="H509" s="55">
        <v>36</v>
      </c>
      <c r="I509" s="55">
        <v>180</v>
      </c>
      <c r="J509" s="53" t="s">
        <v>4941</v>
      </c>
      <c r="K509" s="53" t="s">
        <v>4942</v>
      </c>
      <c r="L509" s="53" t="s">
        <v>3941</v>
      </c>
    </row>
    <row r="510" spans="1:12" ht="15" customHeight="1" x14ac:dyDescent="0.35">
      <c r="A510" s="53" t="s">
        <v>2465</v>
      </c>
      <c r="B510" s="53" t="s">
        <v>921</v>
      </c>
      <c r="C510" s="55">
        <v>6</v>
      </c>
      <c r="D510" s="55">
        <v>360</v>
      </c>
      <c r="E510" s="53">
        <v>5</v>
      </c>
      <c r="F510" s="53">
        <v>2</v>
      </c>
      <c r="G510" s="55">
        <v>0.4</v>
      </c>
      <c r="H510" s="55">
        <v>72</v>
      </c>
      <c r="I510" s="55">
        <v>180</v>
      </c>
      <c r="J510" s="53" t="s">
        <v>4943</v>
      </c>
      <c r="K510" s="53" t="s">
        <v>4944</v>
      </c>
      <c r="L510" s="53" t="s">
        <v>4604</v>
      </c>
    </row>
    <row r="511" spans="1:12" ht="15" customHeight="1" x14ac:dyDescent="0.35">
      <c r="A511" s="53" t="s">
        <v>2468</v>
      </c>
      <c r="B511" s="53" t="s">
        <v>989</v>
      </c>
      <c r="C511" s="55">
        <v>6</v>
      </c>
      <c r="D511" s="55">
        <v>360</v>
      </c>
      <c r="E511" s="53">
        <v>5</v>
      </c>
      <c r="F511" s="53">
        <v>2</v>
      </c>
      <c r="G511" s="55">
        <v>0.4</v>
      </c>
      <c r="H511" s="55">
        <v>72</v>
      </c>
      <c r="I511" s="55">
        <v>240</v>
      </c>
      <c r="J511" s="53" t="s">
        <v>4945</v>
      </c>
      <c r="K511" s="53" t="s">
        <v>4946</v>
      </c>
      <c r="L511" s="53" t="s">
        <v>3924</v>
      </c>
    </row>
    <row r="512" spans="1:12" ht="15" customHeight="1" x14ac:dyDescent="0.35">
      <c r="A512" s="53" t="s">
        <v>2470</v>
      </c>
      <c r="B512" s="53" t="s">
        <v>921</v>
      </c>
      <c r="C512" s="55">
        <v>6</v>
      </c>
      <c r="D512" s="55">
        <v>360</v>
      </c>
      <c r="E512" s="53">
        <v>4</v>
      </c>
      <c r="F512" s="53">
        <v>2</v>
      </c>
      <c r="G512" s="55">
        <v>0.5</v>
      </c>
      <c r="H512" s="55">
        <v>90</v>
      </c>
      <c r="I512" s="55">
        <v>300</v>
      </c>
      <c r="J512" s="53" t="s">
        <v>4947</v>
      </c>
      <c r="K512" s="53" t="s">
        <v>4948</v>
      </c>
      <c r="L512" s="53" t="s">
        <v>4604</v>
      </c>
    </row>
    <row r="513" spans="1:12" ht="15" customHeight="1" x14ac:dyDescent="0.35">
      <c r="A513" s="53" t="s">
        <v>2473</v>
      </c>
      <c r="B513" s="53" t="s">
        <v>1659</v>
      </c>
      <c r="C513" s="55">
        <v>5.93333333333333</v>
      </c>
      <c r="D513" s="55">
        <v>356</v>
      </c>
      <c r="E513" s="53">
        <v>11</v>
      </c>
      <c r="F513" s="53">
        <v>2</v>
      </c>
      <c r="G513" s="55">
        <v>0.18181818181818199</v>
      </c>
      <c r="H513" s="55">
        <v>32.363636363636402</v>
      </c>
      <c r="I513" s="55">
        <v>300</v>
      </c>
      <c r="J513" s="53" t="s">
        <v>4949</v>
      </c>
      <c r="K513" s="53" t="s">
        <v>4950</v>
      </c>
      <c r="L513" s="53" t="s">
        <v>4253</v>
      </c>
    </row>
    <row r="514" spans="1:12" ht="15" customHeight="1" x14ac:dyDescent="0.35">
      <c r="A514" s="53" t="s">
        <v>2476</v>
      </c>
      <c r="B514" s="53" t="s">
        <v>929</v>
      </c>
      <c r="C514" s="55">
        <v>5.7833333333333297</v>
      </c>
      <c r="D514" s="55">
        <v>347</v>
      </c>
      <c r="E514" s="53">
        <v>26</v>
      </c>
      <c r="F514" s="53">
        <v>3</v>
      </c>
      <c r="G514" s="55">
        <v>0.115384615384615</v>
      </c>
      <c r="H514" s="55">
        <v>13.3461538461539</v>
      </c>
      <c r="I514" s="55">
        <v>137</v>
      </c>
      <c r="J514" s="53" t="s">
        <v>4951</v>
      </c>
      <c r="K514" s="53" t="s">
        <v>4952</v>
      </c>
      <c r="L514" s="53" t="s">
        <v>3907</v>
      </c>
    </row>
    <row r="515" spans="1:12" ht="15" customHeight="1" x14ac:dyDescent="0.35">
      <c r="A515" s="53" t="s">
        <v>2479</v>
      </c>
      <c r="B515" s="53" t="s">
        <v>905</v>
      </c>
      <c r="C515" s="55">
        <v>5.75</v>
      </c>
      <c r="D515" s="55">
        <v>345</v>
      </c>
      <c r="E515" s="53">
        <v>27</v>
      </c>
      <c r="F515" s="53">
        <v>6</v>
      </c>
      <c r="G515" s="55">
        <v>0.22222222222222199</v>
      </c>
      <c r="H515" s="55">
        <v>12.7777777777778</v>
      </c>
      <c r="I515" s="55">
        <v>90</v>
      </c>
      <c r="J515" s="53" t="s">
        <v>4953</v>
      </c>
      <c r="K515" s="53" t="s">
        <v>4954</v>
      </c>
      <c r="L515" s="53" t="s">
        <v>3924</v>
      </c>
    </row>
    <row r="516" spans="1:12" ht="15" customHeight="1" x14ac:dyDescent="0.35">
      <c r="A516" s="53" t="s">
        <v>2482</v>
      </c>
      <c r="B516" s="53" t="s">
        <v>929</v>
      </c>
      <c r="C516" s="55">
        <v>5.65</v>
      </c>
      <c r="D516" s="55">
        <v>339</v>
      </c>
      <c r="E516" s="53">
        <v>6</v>
      </c>
      <c r="F516" s="53">
        <v>4</v>
      </c>
      <c r="G516" s="55">
        <v>0.66666666666666696</v>
      </c>
      <c r="H516" s="55">
        <v>56.5</v>
      </c>
      <c r="I516" s="55">
        <v>220</v>
      </c>
      <c r="J516" s="53" t="s">
        <v>4892</v>
      </c>
      <c r="K516" s="53" t="s">
        <v>4955</v>
      </c>
      <c r="L516" s="53" t="s">
        <v>4165</v>
      </c>
    </row>
    <row r="517" spans="1:12" ht="15" customHeight="1" x14ac:dyDescent="0.35">
      <c r="A517" s="53" t="s">
        <v>2484</v>
      </c>
      <c r="B517" s="53" t="s">
        <v>1009</v>
      </c>
      <c r="C517" s="55">
        <v>5.5166666666666702</v>
      </c>
      <c r="D517" s="55">
        <v>331</v>
      </c>
      <c r="E517" s="53">
        <v>15</v>
      </c>
      <c r="F517" s="53">
        <v>7</v>
      </c>
      <c r="G517" s="55">
        <v>0.46666666666666701</v>
      </c>
      <c r="H517" s="55">
        <v>22.066666666666698</v>
      </c>
      <c r="I517" s="55">
        <v>90</v>
      </c>
      <c r="J517" s="53" t="s">
        <v>4956</v>
      </c>
      <c r="K517" s="53" t="s">
        <v>4957</v>
      </c>
      <c r="L517" s="53" t="s">
        <v>3907</v>
      </c>
    </row>
    <row r="518" spans="1:12" ht="15" customHeight="1" x14ac:dyDescent="0.35">
      <c r="A518" s="53" t="s">
        <v>2487</v>
      </c>
      <c r="B518" s="53" t="s">
        <v>921</v>
      </c>
      <c r="C518" s="55">
        <v>5.5</v>
      </c>
      <c r="D518" s="55">
        <v>330</v>
      </c>
      <c r="E518" s="53">
        <v>24</v>
      </c>
      <c r="F518" s="53">
        <v>7</v>
      </c>
      <c r="G518" s="55">
        <v>0.29166666666666702</v>
      </c>
      <c r="H518" s="55">
        <v>13.75</v>
      </c>
      <c r="I518" s="55">
        <v>120</v>
      </c>
      <c r="J518" s="53" t="s">
        <v>4958</v>
      </c>
      <c r="K518" s="53" t="s">
        <v>4959</v>
      </c>
      <c r="L518" s="53" t="s">
        <v>3907</v>
      </c>
    </row>
    <row r="519" spans="1:12" ht="15" customHeight="1" x14ac:dyDescent="0.35">
      <c r="A519" s="53" t="s">
        <v>2490</v>
      </c>
      <c r="B519" s="53" t="s">
        <v>921</v>
      </c>
      <c r="C519" s="55">
        <v>5.5</v>
      </c>
      <c r="D519" s="55">
        <v>330</v>
      </c>
      <c r="E519" s="53">
        <v>18</v>
      </c>
      <c r="F519" s="53">
        <v>4</v>
      </c>
      <c r="G519" s="55">
        <v>0.22222222222222199</v>
      </c>
      <c r="H519" s="55">
        <v>18.3333333333333</v>
      </c>
      <c r="I519" s="55">
        <v>180</v>
      </c>
      <c r="J519" s="53" t="s">
        <v>4960</v>
      </c>
      <c r="K519" s="53" t="s">
        <v>4961</v>
      </c>
      <c r="L519" s="53" t="s">
        <v>3907</v>
      </c>
    </row>
    <row r="520" spans="1:12" ht="15" customHeight="1" x14ac:dyDescent="0.35">
      <c r="A520" s="53" t="s">
        <v>2493</v>
      </c>
      <c r="B520" s="53" t="s">
        <v>942</v>
      </c>
      <c r="C520" s="55">
        <v>5.5</v>
      </c>
      <c r="D520" s="55">
        <v>330</v>
      </c>
      <c r="E520" s="53">
        <v>17</v>
      </c>
      <c r="F520" s="53">
        <v>5</v>
      </c>
      <c r="G520" s="55">
        <v>0.29411764705882398</v>
      </c>
      <c r="H520" s="55">
        <v>19.411764705882401</v>
      </c>
      <c r="I520" s="55">
        <v>120</v>
      </c>
      <c r="J520" s="53" t="s">
        <v>4962</v>
      </c>
      <c r="K520" s="53" t="s">
        <v>4963</v>
      </c>
      <c r="L520" s="53" t="s">
        <v>4165</v>
      </c>
    </row>
    <row r="521" spans="1:12" ht="15" customHeight="1" x14ac:dyDescent="0.35">
      <c r="A521" s="53" t="s">
        <v>2496</v>
      </c>
      <c r="B521" s="53" t="s">
        <v>963</v>
      </c>
      <c r="C521" s="55">
        <v>5.5</v>
      </c>
      <c r="D521" s="55">
        <v>330</v>
      </c>
      <c r="E521" s="53">
        <v>12</v>
      </c>
      <c r="F521" s="53">
        <v>2</v>
      </c>
      <c r="G521" s="55">
        <v>0.16666666666666699</v>
      </c>
      <c r="H521" s="55">
        <v>27.5</v>
      </c>
      <c r="I521" s="55">
        <v>240</v>
      </c>
      <c r="J521" s="53" t="s">
        <v>4768</v>
      </c>
      <c r="K521" s="53" t="s">
        <v>4964</v>
      </c>
      <c r="L521" s="53" t="s">
        <v>3907</v>
      </c>
    </row>
    <row r="522" spans="1:12" ht="15" customHeight="1" x14ac:dyDescent="0.35">
      <c r="A522" s="53" t="s">
        <v>2498</v>
      </c>
      <c r="B522" s="53" t="s">
        <v>1118</v>
      </c>
      <c r="C522" s="55">
        <v>5.5</v>
      </c>
      <c r="D522" s="55">
        <v>330</v>
      </c>
      <c r="E522" s="53">
        <v>4</v>
      </c>
      <c r="F522" s="53">
        <v>1</v>
      </c>
      <c r="G522" s="55">
        <v>0.25</v>
      </c>
      <c r="H522" s="55">
        <v>82.5</v>
      </c>
      <c r="I522" s="55">
        <v>330</v>
      </c>
      <c r="J522" s="53" t="s">
        <v>4965</v>
      </c>
      <c r="K522" s="53" t="s">
        <v>4966</v>
      </c>
      <c r="L522" s="53" t="s">
        <v>4772</v>
      </c>
    </row>
    <row r="523" spans="1:12" ht="15" customHeight="1" x14ac:dyDescent="0.35">
      <c r="A523" s="53" t="s">
        <v>2501</v>
      </c>
      <c r="B523" s="53" t="s">
        <v>1009</v>
      </c>
      <c r="C523" s="55">
        <v>5.4666666666666703</v>
      </c>
      <c r="D523" s="55">
        <v>328</v>
      </c>
      <c r="E523" s="53">
        <v>10</v>
      </c>
      <c r="F523" s="53">
        <v>7</v>
      </c>
      <c r="G523" s="55">
        <v>0.7</v>
      </c>
      <c r="H523" s="55">
        <v>32.799999999999997</v>
      </c>
      <c r="I523" s="55">
        <v>120</v>
      </c>
      <c r="J523" s="53" t="s">
        <v>4967</v>
      </c>
      <c r="K523" s="53" t="s">
        <v>4968</v>
      </c>
      <c r="L523" s="53" t="s">
        <v>3924</v>
      </c>
    </row>
    <row r="524" spans="1:12" ht="15" customHeight="1" x14ac:dyDescent="0.35">
      <c r="A524" s="53" t="s">
        <v>2504</v>
      </c>
      <c r="B524" s="53" t="s">
        <v>1136</v>
      </c>
      <c r="C524" s="55">
        <v>5.3333333333333304</v>
      </c>
      <c r="D524" s="55">
        <v>320</v>
      </c>
      <c r="E524" s="53">
        <v>3</v>
      </c>
      <c r="F524" s="53">
        <v>1</v>
      </c>
      <c r="G524" s="55">
        <v>0.33333333333333298</v>
      </c>
      <c r="H524" s="55">
        <v>106.666666666667</v>
      </c>
      <c r="I524" s="55">
        <v>320</v>
      </c>
      <c r="J524" s="53" t="s">
        <v>4969</v>
      </c>
      <c r="K524" s="53" t="s">
        <v>4970</v>
      </c>
      <c r="L524" s="53" t="s">
        <v>4604</v>
      </c>
    </row>
    <row r="525" spans="1:12" ht="15" customHeight="1" x14ac:dyDescent="0.35">
      <c r="A525" s="53" t="s">
        <v>2507</v>
      </c>
      <c r="B525" s="53" t="s">
        <v>1122</v>
      </c>
      <c r="C525" s="55">
        <v>5.2666666666666702</v>
      </c>
      <c r="D525" s="55">
        <v>316</v>
      </c>
      <c r="E525" s="53">
        <v>14</v>
      </c>
      <c r="F525" s="53">
        <v>2</v>
      </c>
      <c r="G525" s="55">
        <v>0.14285714285714299</v>
      </c>
      <c r="H525" s="55">
        <v>22.571428571428601</v>
      </c>
      <c r="I525" s="55">
        <v>240</v>
      </c>
      <c r="J525" s="53" t="s">
        <v>4971</v>
      </c>
      <c r="K525" s="53" t="s">
        <v>4972</v>
      </c>
      <c r="L525" s="53" t="s">
        <v>3907</v>
      </c>
    </row>
    <row r="526" spans="1:12" ht="15" customHeight="1" x14ac:dyDescent="0.35">
      <c r="A526" s="53" t="s">
        <v>2510</v>
      </c>
      <c r="B526" s="53" t="s">
        <v>996</v>
      </c>
      <c r="C526" s="55">
        <v>5.25</v>
      </c>
      <c r="D526" s="55">
        <v>315</v>
      </c>
      <c r="E526" s="53">
        <v>2</v>
      </c>
      <c r="F526" s="53">
        <v>2</v>
      </c>
      <c r="G526" s="55">
        <v>1</v>
      </c>
      <c r="H526" s="55">
        <v>157.5</v>
      </c>
      <c r="I526" s="55">
        <v>300</v>
      </c>
      <c r="J526" s="53" t="s">
        <v>4973</v>
      </c>
      <c r="K526" s="53" t="s">
        <v>4974</v>
      </c>
      <c r="L526" s="53" t="s">
        <v>4214</v>
      </c>
    </row>
    <row r="527" spans="1:12" ht="15" customHeight="1" x14ac:dyDescent="0.35">
      <c r="A527" s="53" t="s">
        <v>2513</v>
      </c>
      <c r="B527" s="53" t="s">
        <v>1690</v>
      </c>
      <c r="C527" s="55">
        <v>5.1666666666666696</v>
      </c>
      <c r="D527" s="55">
        <v>310</v>
      </c>
      <c r="E527" s="53">
        <v>6</v>
      </c>
      <c r="F527" s="53">
        <v>1</v>
      </c>
      <c r="G527" s="55">
        <v>0.16666666666666699</v>
      </c>
      <c r="H527" s="55">
        <v>51.6666666666667</v>
      </c>
      <c r="I527" s="55">
        <v>310</v>
      </c>
      <c r="J527" s="53" t="s">
        <v>4975</v>
      </c>
      <c r="K527" s="53" t="s">
        <v>4976</v>
      </c>
      <c r="L527" s="53" t="s">
        <v>3924</v>
      </c>
    </row>
    <row r="528" spans="1:12" ht="15" customHeight="1" x14ac:dyDescent="0.35">
      <c r="A528" s="53" t="s">
        <v>2516</v>
      </c>
      <c r="B528" s="53" t="s">
        <v>1077</v>
      </c>
      <c r="C528" s="55">
        <v>5.0833333333333304</v>
      </c>
      <c r="D528" s="55">
        <v>305</v>
      </c>
      <c r="E528" s="53">
        <v>26</v>
      </c>
      <c r="F528" s="53">
        <v>3</v>
      </c>
      <c r="G528" s="55">
        <v>0.115384615384615</v>
      </c>
      <c r="H528" s="55">
        <v>11.7307692307692</v>
      </c>
      <c r="I528" s="55">
        <v>180</v>
      </c>
      <c r="J528" s="53" t="s">
        <v>4977</v>
      </c>
      <c r="K528" s="53" t="s">
        <v>4978</v>
      </c>
      <c r="L528" s="53" t="s">
        <v>3924</v>
      </c>
    </row>
    <row r="529" spans="1:12" ht="15" customHeight="1" x14ac:dyDescent="0.35">
      <c r="A529" s="53" t="s">
        <v>2519</v>
      </c>
      <c r="B529" s="53" t="s">
        <v>1070</v>
      </c>
      <c r="C529" s="55">
        <v>5</v>
      </c>
      <c r="D529" s="55">
        <v>300</v>
      </c>
      <c r="E529" s="53">
        <v>11</v>
      </c>
      <c r="F529" s="53">
        <v>4</v>
      </c>
      <c r="G529" s="55">
        <v>0.36363636363636398</v>
      </c>
      <c r="H529" s="55">
        <v>27.272727272727298</v>
      </c>
      <c r="I529" s="55">
        <v>120</v>
      </c>
      <c r="J529" s="53" t="s">
        <v>4979</v>
      </c>
      <c r="K529" s="53" t="s">
        <v>4980</v>
      </c>
      <c r="L529" s="53" t="s">
        <v>4571</v>
      </c>
    </row>
    <row r="530" spans="1:12" ht="15" customHeight="1" x14ac:dyDescent="0.35">
      <c r="A530" s="53" t="s">
        <v>2522</v>
      </c>
      <c r="B530" s="53" t="s">
        <v>1070</v>
      </c>
      <c r="C530" s="55">
        <v>5</v>
      </c>
      <c r="D530" s="55">
        <v>300</v>
      </c>
      <c r="E530" s="53">
        <v>9</v>
      </c>
      <c r="F530" s="53">
        <v>3</v>
      </c>
      <c r="G530" s="55">
        <v>0.33333333333333298</v>
      </c>
      <c r="H530" s="55">
        <v>33.3333333333333</v>
      </c>
      <c r="I530" s="55">
        <v>120</v>
      </c>
      <c r="J530" s="53" t="s">
        <v>4761</v>
      </c>
      <c r="K530" s="53" t="s">
        <v>4981</v>
      </c>
      <c r="L530" s="53" t="s">
        <v>4571</v>
      </c>
    </row>
    <row r="531" spans="1:12" ht="15" customHeight="1" x14ac:dyDescent="0.35">
      <c r="A531" s="53" t="s">
        <v>2524</v>
      </c>
      <c r="B531" s="53" t="s">
        <v>1731</v>
      </c>
      <c r="C531" s="55">
        <v>5</v>
      </c>
      <c r="D531" s="55">
        <v>300</v>
      </c>
      <c r="E531" s="53">
        <v>5</v>
      </c>
      <c r="F531" s="53">
        <v>3</v>
      </c>
      <c r="G531" s="55">
        <v>0.6</v>
      </c>
      <c r="H531" s="55">
        <v>60</v>
      </c>
      <c r="I531" s="55">
        <v>240</v>
      </c>
      <c r="J531" s="53" t="s">
        <v>4982</v>
      </c>
      <c r="K531" s="53" t="s">
        <v>4983</v>
      </c>
      <c r="L531" s="53" t="s">
        <v>4534</v>
      </c>
    </row>
    <row r="532" spans="1:12" ht="15" customHeight="1" x14ac:dyDescent="0.35">
      <c r="A532" s="53" t="s">
        <v>2527</v>
      </c>
      <c r="B532" s="53" t="s">
        <v>913</v>
      </c>
      <c r="C532" s="55">
        <v>5</v>
      </c>
      <c r="D532" s="55">
        <v>300</v>
      </c>
      <c r="E532" s="53">
        <v>3</v>
      </c>
      <c r="F532" s="53">
        <v>1</v>
      </c>
      <c r="G532" s="55">
        <v>0.33333333333333298</v>
      </c>
      <c r="H532" s="55">
        <v>100</v>
      </c>
      <c r="I532" s="55">
        <v>300</v>
      </c>
      <c r="J532" s="53" t="s">
        <v>4984</v>
      </c>
      <c r="K532" s="53" t="s">
        <v>4985</v>
      </c>
      <c r="L532" s="53" t="s">
        <v>4604</v>
      </c>
    </row>
    <row r="533" spans="1:12" ht="15" customHeight="1" x14ac:dyDescent="0.35">
      <c r="A533" s="53" t="s">
        <v>2530</v>
      </c>
      <c r="B533" s="53" t="s">
        <v>913</v>
      </c>
      <c r="C533" s="55">
        <v>5</v>
      </c>
      <c r="D533" s="55">
        <v>300</v>
      </c>
      <c r="E533" s="53">
        <v>2</v>
      </c>
      <c r="F533" s="53">
        <v>1</v>
      </c>
      <c r="G533" s="55">
        <v>0.5</v>
      </c>
      <c r="H533" s="55">
        <v>150</v>
      </c>
      <c r="I533" s="55">
        <v>300</v>
      </c>
      <c r="J533" s="53" t="s">
        <v>4986</v>
      </c>
      <c r="K533" s="53" t="s">
        <v>4987</v>
      </c>
      <c r="L533" s="53" t="s">
        <v>4253</v>
      </c>
    </row>
    <row r="534" spans="1:12" ht="15" customHeight="1" x14ac:dyDescent="0.35">
      <c r="A534" s="53" t="s">
        <v>2533</v>
      </c>
      <c r="B534" s="53" t="s">
        <v>921</v>
      </c>
      <c r="C534" s="55">
        <v>4.9166666666666696</v>
      </c>
      <c r="D534" s="55">
        <v>295</v>
      </c>
      <c r="E534" s="53">
        <v>9</v>
      </c>
      <c r="F534" s="53">
        <v>5</v>
      </c>
      <c r="G534" s="55">
        <v>0.55555555555555602</v>
      </c>
      <c r="H534" s="55">
        <v>32.7777777777778</v>
      </c>
      <c r="I534" s="55">
        <v>100</v>
      </c>
      <c r="J534" s="53" t="s">
        <v>4988</v>
      </c>
      <c r="K534" s="53" t="s">
        <v>4989</v>
      </c>
      <c r="L534" s="53" t="s">
        <v>3907</v>
      </c>
    </row>
    <row r="535" spans="1:12" ht="15" customHeight="1" x14ac:dyDescent="0.35">
      <c r="A535" s="53" t="s">
        <v>2536</v>
      </c>
      <c r="B535" s="53" t="s">
        <v>1646</v>
      </c>
      <c r="C535" s="55">
        <v>4.9166666666666696</v>
      </c>
      <c r="D535" s="55">
        <v>295</v>
      </c>
      <c r="E535" s="53">
        <v>1</v>
      </c>
      <c r="F535" s="53">
        <v>1</v>
      </c>
      <c r="G535" s="55">
        <v>1</v>
      </c>
      <c r="H535" s="55">
        <v>295</v>
      </c>
      <c r="I535" s="55">
        <v>295</v>
      </c>
      <c r="J535" s="53" t="s">
        <v>4770</v>
      </c>
      <c r="K535" s="53" t="s">
        <v>4990</v>
      </c>
      <c r="L535" s="53" t="s">
        <v>4686</v>
      </c>
    </row>
    <row r="536" spans="1:12" ht="15" customHeight="1" x14ac:dyDescent="0.35">
      <c r="A536" s="53" t="s">
        <v>2538</v>
      </c>
      <c r="B536" s="53" t="s">
        <v>1646</v>
      </c>
      <c r="C536" s="55">
        <v>4.8666666666666698</v>
      </c>
      <c r="D536" s="55">
        <v>292</v>
      </c>
      <c r="E536" s="53">
        <v>14</v>
      </c>
      <c r="F536" s="53">
        <v>4</v>
      </c>
      <c r="G536" s="55">
        <v>0.28571428571428598</v>
      </c>
      <c r="H536" s="55">
        <v>20.8571428571429</v>
      </c>
      <c r="I536" s="55">
        <v>120</v>
      </c>
      <c r="J536" s="53" t="s">
        <v>4991</v>
      </c>
      <c r="K536" s="53" t="s">
        <v>4992</v>
      </c>
      <c r="L536" s="53" t="s">
        <v>4253</v>
      </c>
    </row>
    <row r="537" spans="1:12" ht="15" customHeight="1" x14ac:dyDescent="0.35">
      <c r="A537" s="53" t="s">
        <v>2541</v>
      </c>
      <c r="B537" s="53" t="s">
        <v>989</v>
      </c>
      <c r="C537" s="55">
        <v>4.8499999999999996</v>
      </c>
      <c r="D537" s="55">
        <v>291</v>
      </c>
      <c r="E537" s="53">
        <v>19</v>
      </c>
      <c r="F537" s="53">
        <v>2</v>
      </c>
      <c r="G537" s="55">
        <v>0.105263157894737</v>
      </c>
      <c r="H537" s="55">
        <v>15.3157894736842</v>
      </c>
      <c r="I537" s="55">
        <v>291</v>
      </c>
      <c r="J537" s="53" t="s">
        <v>4993</v>
      </c>
      <c r="K537" s="53" t="s">
        <v>4994</v>
      </c>
      <c r="L537" s="53" t="s">
        <v>3924</v>
      </c>
    </row>
    <row r="538" spans="1:12" ht="15" customHeight="1" x14ac:dyDescent="0.35">
      <c r="A538" s="53" t="s">
        <v>2544</v>
      </c>
      <c r="B538" s="53" t="s">
        <v>1009</v>
      </c>
      <c r="C538" s="55">
        <v>4.75</v>
      </c>
      <c r="D538" s="55">
        <v>285</v>
      </c>
      <c r="E538" s="53">
        <v>31</v>
      </c>
      <c r="F538" s="53">
        <v>9</v>
      </c>
      <c r="G538" s="55">
        <v>0.29032258064516098</v>
      </c>
      <c r="H538" s="55">
        <v>9.1935483870967705</v>
      </c>
      <c r="I538" s="55">
        <v>120</v>
      </c>
      <c r="J538" s="53" t="s">
        <v>4995</v>
      </c>
      <c r="K538" s="53" t="s">
        <v>4996</v>
      </c>
      <c r="L538" s="53" t="s">
        <v>3907</v>
      </c>
    </row>
    <row r="539" spans="1:12" ht="15" customHeight="1" x14ac:dyDescent="0.35">
      <c r="A539" s="53" t="s">
        <v>2547</v>
      </c>
      <c r="B539" s="53" t="s">
        <v>1101</v>
      </c>
      <c r="C539" s="55">
        <v>4.5</v>
      </c>
      <c r="D539" s="55">
        <v>270</v>
      </c>
      <c r="E539" s="53">
        <v>14</v>
      </c>
      <c r="F539" s="53">
        <v>4</v>
      </c>
      <c r="G539" s="55">
        <v>0.28571428571428598</v>
      </c>
      <c r="H539" s="55">
        <v>19.285714285714299</v>
      </c>
      <c r="I539" s="55">
        <v>120</v>
      </c>
      <c r="J539" s="53" t="s">
        <v>4997</v>
      </c>
      <c r="K539" s="53" t="s">
        <v>4998</v>
      </c>
      <c r="L539" s="53" t="s">
        <v>3907</v>
      </c>
    </row>
    <row r="540" spans="1:12" ht="15" customHeight="1" x14ac:dyDescent="0.35">
      <c r="A540" s="53" t="s">
        <v>2550</v>
      </c>
      <c r="B540" s="53" t="s">
        <v>996</v>
      </c>
      <c r="C540" s="55">
        <v>4.5</v>
      </c>
      <c r="D540" s="55">
        <v>270</v>
      </c>
      <c r="E540" s="53">
        <v>11</v>
      </c>
      <c r="F540" s="53">
        <v>3</v>
      </c>
      <c r="G540" s="55">
        <v>0.27272727272727298</v>
      </c>
      <c r="H540" s="55">
        <v>24.5454545454546</v>
      </c>
      <c r="I540" s="55">
        <v>120</v>
      </c>
      <c r="J540" s="53" t="s">
        <v>4999</v>
      </c>
      <c r="K540" s="53" t="s">
        <v>5000</v>
      </c>
      <c r="L540" s="53" t="s">
        <v>4256</v>
      </c>
    </row>
    <row r="541" spans="1:12" ht="15" customHeight="1" x14ac:dyDescent="0.35">
      <c r="A541" s="53" t="s">
        <v>2553</v>
      </c>
      <c r="B541" s="53" t="s">
        <v>929</v>
      </c>
      <c r="C541" s="55">
        <v>4.5</v>
      </c>
      <c r="D541" s="55">
        <v>270</v>
      </c>
      <c r="E541" s="53">
        <v>7</v>
      </c>
      <c r="F541" s="53">
        <v>3</v>
      </c>
      <c r="G541" s="55">
        <v>0.42857142857142899</v>
      </c>
      <c r="H541" s="55">
        <v>38.571428571428598</v>
      </c>
      <c r="I541" s="55">
        <v>180</v>
      </c>
      <c r="J541" s="53" t="s">
        <v>5001</v>
      </c>
      <c r="K541" s="53" t="s">
        <v>5002</v>
      </c>
      <c r="L541" s="53" t="s">
        <v>4256</v>
      </c>
    </row>
    <row r="542" spans="1:12" ht="15" customHeight="1" x14ac:dyDescent="0.35">
      <c r="A542" s="53" t="s">
        <v>2556</v>
      </c>
      <c r="B542" s="53" t="s">
        <v>1240</v>
      </c>
      <c r="C542" s="55">
        <v>4.5</v>
      </c>
      <c r="D542" s="55">
        <v>270</v>
      </c>
      <c r="E542" s="53">
        <v>5</v>
      </c>
      <c r="F542" s="53">
        <v>4</v>
      </c>
      <c r="G542" s="55">
        <v>0.8</v>
      </c>
      <c r="H542" s="55">
        <v>54</v>
      </c>
      <c r="I542" s="55">
        <v>90</v>
      </c>
      <c r="J542" s="53" t="s">
        <v>4733</v>
      </c>
      <c r="K542" s="53" t="s">
        <v>5003</v>
      </c>
      <c r="L542" s="53" t="s">
        <v>4052</v>
      </c>
    </row>
    <row r="543" spans="1:12" ht="15" customHeight="1" x14ac:dyDescent="0.35">
      <c r="A543" s="53" t="s">
        <v>2558</v>
      </c>
      <c r="B543" s="53" t="s">
        <v>1817</v>
      </c>
      <c r="C543" s="55">
        <v>4.3333333333333304</v>
      </c>
      <c r="D543" s="55">
        <v>260</v>
      </c>
      <c r="E543" s="53">
        <v>5</v>
      </c>
      <c r="F543" s="53">
        <v>2</v>
      </c>
      <c r="G543" s="55">
        <v>0.4</v>
      </c>
      <c r="H543" s="55">
        <v>52</v>
      </c>
      <c r="I543" s="55">
        <v>140</v>
      </c>
      <c r="J543" s="53" t="s">
        <v>5004</v>
      </c>
      <c r="K543" s="53" t="s">
        <v>5005</v>
      </c>
      <c r="L543" s="53" t="s">
        <v>4214</v>
      </c>
    </row>
    <row r="544" spans="1:12" ht="15" customHeight="1" x14ac:dyDescent="0.35">
      <c r="A544" s="53" t="s">
        <v>2561</v>
      </c>
      <c r="B544" s="53" t="s">
        <v>1299</v>
      </c>
      <c r="C544" s="55">
        <v>4.3</v>
      </c>
      <c r="D544" s="55">
        <v>258</v>
      </c>
      <c r="E544" s="53">
        <v>21</v>
      </c>
      <c r="F544" s="53">
        <v>1</v>
      </c>
      <c r="G544" s="55">
        <v>4.7619047619047603E-2</v>
      </c>
      <c r="H544" s="55">
        <v>12.285714285714301</v>
      </c>
      <c r="I544" s="55">
        <v>258</v>
      </c>
      <c r="J544" s="53" t="s">
        <v>5006</v>
      </c>
      <c r="K544" s="53" t="s">
        <v>5007</v>
      </c>
      <c r="L544" s="53" t="s">
        <v>3941</v>
      </c>
    </row>
    <row r="545" spans="1:12" ht="15" customHeight="1" x14ac:dyDescent="0.35">
      <c r="A545" s="53" t="s">
        <v>2564</v>
      </c>
      <c r="B545" s="53" t="s">
        <v>909</v>
      </c>
      <c r="C545" s="55">
        <v>4.3</v>
      </c>
      <c r="D545" s="55">
        <v>258</v>
      </c>
      <c r="E545" s="53">
        <v>4</v>
      </c>
      <c r="F545" s="53">
        <v>2</v>
      </c>
      <c r="G545" s="55">
        <v>0.5</v>
      </c>
      <c r="H545" s="55">
        <v>64.5</v>
      </c>
      <c r="I545" s="55">
        <v>258</v>
      </c>
      <c r="J545" s="53" t="s">
        <v>5008</v>
      </c>
      <c r="K545" s="53" t="s">
        <v>5009</v>
      </c>
      <c r="L545" s="53" t="s">
        <v>4772</v>
      </c>
    </row>
    <row r="546" spans="1:12" ht="15" customHeight="1" x14ac:dyDescent="0.35">
      <c r="A546" s="53" t="s">
        <v>2567</v>
      </c>
      <c r="B546" s="53" t="s">
        <v>1084</v>
      </c>
      <c r="C546" s="55">
        <v>4.25</v>
      </c>
      <c r="D546" s="55">
        <v>255</v>
      </c>
      <c r="E546" s="53">
        <v>7</v>
      </c>
      <c r="F546" s="53">
        <v>2</v>
      </c>
      <c r="G546" s="55">
        <v>0.28571428571428598</v>
      </c>
      <c r="H546" s="55">
        <v>36.428571428571402</v>
      </c>
      <c r="I546" s="55">
        <v>240</v>
      </c>
      <c r="J546" s="53" t="s">
        <v>5010</v>
      </c>
      <c r="K546" s="53" t="s">
        <v>5011</v>
      </c>
      <c r="L546" s="53" t="s">
        <v>4253</v>
      </c>
    </row>
    <row r="547" spans="1:12" ht="15" customHeight="1" x14ac:dyDescent="0.35">
      <c r="A547" s="53" t="s">
        <v>2570</v>
      </c>
      <c r="B547" s="53" t="s">
        <v>913</v>
      </c>
      <c r="C547" s="55">
        <v>4.18333333333333</v>
      </c>
      <c r="D547" s="55">
        <v>251</v>
      </c>
      <c r="E547" s="53">
        <v>4</v>
      </c>
      <c r="F547" s="53">
        <v>2</v>
      </c>
      <c r="G547" s="55">
        <v>0.5</v>
      </c>
      <c r="H547" s="55">
        <v>62.75</v>
      </c>
      <c r="I547" s="55">
        <v>131</v>
      </c>
      <c r="J547" s="53" t="s">
        <v>5012</v>
      </c>
      <c r="K547" s="53" t="s">
        <v>5013</v>
      </c>
      <c r="L547" s="53" t="s">
        <v>5014</v>
      </c>
    </row>
    <row r="548" spans="1:12" ht="15" customHeight="1" x14ac:dyDescent="0.35">
      <c r="A548" s="53" t="s">
        <v>2573</v>
      </c>
      <c r="B548" s="53" t="s">
        <v>921</v>
      </c>
      <c r="C548" s="55">
        <v>4.1500000000000004</v>
      </c>
      <c r="D548" s="55">
        <v>249</v>
      </c>
      <c r="E548" s="53">
        <v>7</v>
      </c>
      <c r="F548" s="53">
        <v>3</v>
      </c>
      <c r="G548" s="55">
        <v>0.42857142857142899</v>
      </c>
      <c r="H548" s="55">
        <v>35.571428571428598</v>
      </c>
      <c r="I548" s="55">
        <v>100</v>
      </c>
      <c r="J548" s="53" t="s">
        <v>5015</v>
      </c>
      <c r="K548" s="53" t="s">
        <v>5016</v>
      </c>
      <c r="L548" s="53" t="s">
        <v>5017</v>
      </c>
    </row>
    <row r="549" spans="1:12" ht="15" customHeight="1" x14ac:dyDescent="0.35">
      <c r="A549" s="53" t="s">
        <v>2575</v>
      </c>
      <c r="B549" s="53" t="s">
        <v>1077</v>
      </c>
      <c r="C549" s="55">
        <v>4.06666666666667</v>
      </c>
      <c r="D549" s="55">
        <v>244</v>
      </c>
      <c r="E549" s="53">
        <v>37</v>
      </c>
      <c r="F549" s="53">
        <v>3</v>
      </c>
      <c r="G549" s="55">
        <v>8.1081081081081099E-2</v>
      </c>
      <c r="H549" s="55">
        <v>6.5945945945946001</v>
      </c>
      <c r="I549" s="55">
        <v>120</v>
      </c>
      <c r="J549" s="53" t="s">
        <v>5018</v>
      </c>
      <c r="K549" s="53" t="s">
        <v>5019</v>
      </c>
      <c r="L549" s="53" t="s">
        <v>3941</v>
      </c>
    </row>
    <row r="550" spans="1:12" ht="15" customHeight="1" x14ac:dyDescent="0.35">
      <c r="A550" s="53" t="s">
        <v>2578</v>
      </c>
      <c r="B550" s="53" t="s">
        <v>1118</v>
      </c>
      <c r="C550" s="55">
        <v>4.06666666666667</v>
      </c>
      <c r="D550" s="55">
        <v>244</v>
      </c>
      <c r="E550" s="53">
        <v>5</v>
      </c>
      <c r="F550" s="53">
        <v>2</v>
      </c>
      <c r="G550" s="55">
        <v>0.4</v>
      </c>
      <c r="H550" s="55">
        <v>48.8</v>
      </c>
      <c r="I550" s="55">
        <v>244</v>
      </c>
      <c r="J550" s="53" t="s">
        <v>5020</v>
      </c>
      <c r="K550" s="53" t="s">
        <v>5021</v>
      </c>
      <c r="L550" s="53" t="s">
        <v>4052</v>
      </c>
    </row>
    <row r="551" spans="1:12" ht="15" customHeight="1" x14ac:dyDescent="0.35">
      <c r="A551" s="53" t="s">
        <v>2581</v>
      </c>
      <c r="B551" s="53" t="s">
        <v>1077</v>
      </c>
      <c r="C551" s="55">
        <v>4</v>
      </c>
      <c r="D551" s="55">
        <v>240</v>
      </c>
      <c r="E551" s="53">
        <v>34</v>
      </c>
      <c r="F551" s="53">
        <v>2</v>
      </c>
      <c r="G551" s="55">
        <v>5.8823529411764698E-2</v>
      </c>
      <c r="H551" s="55">
        <v>7.0588235294117601</v>
      </c>
      <c r="I551" s="55">
        <v>180</v>
      </c>
      <c r="J551" s="53" t="s">
        <v>5022</v>
      </c>
      <c r="K551" s="53" t="s">
        <v>5023</v>
      </c>
      <c r="L551" s="53" t="s">
        <v>3941</v>
      </c>
    </row>
    <row r="552" spans="1:12" ht="15" customHeight="1" x14ac:dyDescent="0.35">
      <c r="A552" s="53" t="s">
        <v>2584</v>
      </c>
      <c r="B552" s="53" t="s">
        <v>921</v>
      </c>
      <c r="C552" s="55">
        <v>4</v>
      </c>
      <c r="D552" s="55">
        <v>240</v>
      </c>
      <c r="E552" s="53">
        <v>11</v>
      </c>
      <c r="F552" s="53">
        <v>2</v>
      </c>
      <c r="G552" s="55">
        <v>0.18181818181818199</v>
      </c>
      <c r="H552" s="55">
        <v>21.818181818181799</v>
      </c>
      <c r="I552" s="55">
        <v>120</v>
      </c>
      <c r="J552" s="53" t="s">
        <v>5024</v>
      </c>
      <c r="K552" s="53" t="s">
        <v>5025</v>
      </c>
      <c r="L552" s="53" t="s">
        <v>4256</v>
      </c>
    </row>
    <row r="553" spans="1:12" ht="15" customHeight="1" x14ac:dyDescent="0.35">
      <c r="A553" s="53" t="s">
        <v>2587</v>
      </c>
      <c r="B553" s="53" t="s">
        <v>921</v>
      </c>
      <c r="C553" s="55">
        <v>4</v>
      </c>
      <c r="D553" s="55">
        <v>240</v>
      </c>
      <c r="E553" s="53">
        <v>7</v>
      </c>
      <c r="F553" s="53">
        <v>3</v>
      </c>
      <c r="G553" s="55">
        <v>0.42857142857142899</v>
      </c>
      <c r="H553" s="55">
        <v>34.285714285714299</v>
      </c>
      <c r="I553" s="55">
        <v>90</v>
      </c>
      <c r="J553" s="53" t="s">
        <v>4281</v>
      </c>
      <c r="K553" s="53" t="s">
        <v>5026</v>
      </c>
      <c r="L553" s="53" t="s">
        <v>3941</v>
      </c>
    </row>
    <row r="554" spans="1:12" ht="15" customHeight="1" x14ac:dyDescent="0.35">
      <c r="A554" s="53" t="s">
        <v>2589</v>
      </c>
      <c r="B554" s="53" t="s">
        <v>1646</v>
      </c>
      <c r="C554" s="55">
        <v>4</v>
      </c>
      <c r="D554" s="55">
        <v>240</v>
      </c>
      <c r="E554" s="53">
        <v>4</v>
      </c>
      <c r="F554" s="53">
        <v>2</v>
      </c>
      <c r="G554" s="55">
        <v>0.5</v>
      </c>
      <c r="H554" s="55">
        <v>60</v>
      </c>
      <c r="I554" s="55">
        <v>210</v>
      </c>
      <c r="J554" s="53" t="s">
        <v>5027</v>
      </c>
      <c r="K554" s="53" t="s">
        <v>5028</v>
      </c>
      <c r="L554" s="53" t="s">
        <v>4253</v>
      </c>
    </row>
    <row r="555" spans="1:12" ht="15" customHeight="1" x14ac:dyDescent="0.35">
      <c r="A555" s="53" t="s">
        <v>2592</v>
      </c>
      <c r="B555" s="53" t="s">
        <v>1697</v>
      </c>
      <c r="C555" s="55">
        <v>4</v>
      </c>
      <c r="D555" s="55">
        <v>240</v>
      </c>
      <c r="E555" s="53">
        <v>4</v>
      </c>
      <c r="F555" s="53">
        <v>2</v>
      </c>
      <c r="G555" s="55">
        <v>0.5</v>
      </c>
      <c r="H555" s="55">
        <v>60</v>
      </c>
      <c r="I555" s="55">
        <v>240</v>
      </c>
      <c r="J555" s="53" t="s">
        <v>5029</v>
      </c>
      <c r="K555" s="53" t="s">
        <v>5030</v>
      </c>
      <c r="L555" s="53" t="s">
        <v>5031</v>
      </c>
    </row>
    <row r="556" spans="1:12" ht="15" customHeight="1" x14ac:dyDescent="0.35">
      <c r="A556" s="53" t="s">
        <v>2594</v>
      </c>
      <c r="B556" s="53" t="s">
        <v>1690</v>
      </c>
      <c r="C556" s="55">
        <v>4</v>
      </c>
      <c r="D556" s="55">
        <v>240</v>
      </c>
      <c r="E556" s="53">
        <v>3</v>
      </c>
      <c r="F556" s="53">
        <v>1</v>
      </c>
      <c r="G556" s="55">
        <v>0.33333333333333298</v>
      </c>
      <c r="H556" s="55">
        <v>80</v>
      </c>
      <c r="I556" s="55">
        <v>240</v>
      </c>
      <c r="J556" s="53" t="s">
        <v>5032</v>
      </c>
      <c r="K556" s="53" t="s">
        <v>5033</v>
      </c>
      <c r="L556" s="53" t="s">
        <v>4360</v>
      </c>
    </row>
    <row r="557" spans="1:12" ht="15" customHeight="1" x14ac:dyDescent="0.35">
      <c r="A557" s="53" t="s">
        <v>2597</v>
      </c>
      <c r="B557" s="53" t="s">
        <v>2598</v>
      </c>
      <c r="C557" s="55">
        <v>4</v>
      </c>
      <c r="D557" s="55">
        <v>240</v>
      </c>
      <c r="E557" s="53">
        <v>2</v>
      </c>
      <c r="F557" s="53">
        <v>1</v>
      </c>
      <c r="G557" s="55">
        <v>0.5</v>
      </c>
      <c r="H557" s="55">
        <v>120</v>
      </c>
      <c r="I557" s="55">
        <v>240</v>
      </c>
      <c r="J557" s="53" t="s">
        <v>5034</v>
      </c>
      <c r="K557" s="53" t="s">
        <v>5035</v>
      </c>
      <c r="L557" s="53" t="s">
        <v>4673</v>
      </c>
    </row>
    <row r="558" spans="1:12" ht="15" customHeight="1" x14ac:dyDescent="0.35">
      <c r="A558" s="53" t="s">
        <v>2601</v>
      </c>
      <c r="B558" s="53" t="s">
        <v>2602</v>
      </c>
      <c r="C558" s="55">
        <v>4</v>
      </c>
      <c r="D558" s="55">
        <v>240</v>
      </c>
      <c r="E558" s="53">
        <v>1</v>
      </c>
      <c r="F558" s="53">
        <v>1</v>
      </c>
      <c r="G558" s="55">
        <v>1</v>
      </c>
      <c r="H558" s="55">
        <v>240</v>
      </c>
      <c r="I558" s="55">
        <v>240</v>
      </c>
      <c r="J558" s="53" t="s">
        <v>4770</v>
      </c>
      <c r="K558" s="53" t="s">
        <v>5036</v>
      </c>
      <c r="L558" s="53" t="s">
        <v>4686</v>
      </c>
    </row>
    <row r="559" spans="1:12" ht="15" customHeight="1" x14ac:dyDescent="0.35">
      <c r="A559" s="53" t="s">
        <v>2604</v>
      </c>
      <c r="B559" s="53" t="s">
        <v>1077</v>
      </c>
      <c r="C559" s="55">
        <v>4</v>
      </c>
      <c r="D559" s="55">
        <v>240</v>
      </c>
      <c r="E559" s="53">
        <v>1</v>
      </c>
      <c r="F559" s="53">
        <v>1</v>
      </c>
      <c r="G559" s="55">
        <v>1</v>
      </c>
      <c r="H559" s="55">
        <v>240</v>
      </c>
      <c r="I559" s="55">
        <v>240</v>
      </c>
      <c r="J559" s="53" t="s">
        <v>4770</v>
      </c>
      <c r="K559" s="53" t="s">
        <v>5037</v>
      </c>
      <c r="L559" s="53" t="s">
        <v>4871</v>
      </c>
    </row>
    <row r="560" spans="1:12" ht="15" customHeight="1" x14ac:dyDescent="0.35">
      <c r="A560" s="53" t="s">
        <v>2605</v>
      </c>
      <c r="B560" s="53" t="s">
        <v>1070</v>
      </c>
      <c r="C560" s="55">
        <v>3.8333333333333299</v>
      </c>
      <c r="D560" s="55">
        <v>230</v>
      </c>
      <c r="E560" s="53">
        <v>22</v>
      </c>
      <c r="F560" s="53">
        <v>4</v>
      </c>
      <c r="G560" s="55">
        <v>0.18181818181818199</v>
      </c>
      <c r="H560" s="55">
        <v>10.454545454545499</v>
      </c>
      <c r="I560" s="55">
        <v>80</v>
      </c>
      <c r="J560" s="53" t="s">
        <v>5038</v>
      </c>
      <c r="K560" s="53" t="s">
        <v>5039</v>
      </c>
      <c r="L560" s="53" t="s">
        <v>3907</v>
      </c>
    </row>
    <row r="561" spans="1:12" ht="15" customHeight="1" x14ac:dyDescent="0.35">
      <c r="A561" s="53" t="s">
        <v>2608</v>
      </c>
      <c r="B561" s="53" t="s">
        <v>963</v>
      </c>
      <c r="C561" s="55">
        <v>3.8333333333333299</v>
      </c>
      <c r="D561" s="55">
        <v>230</v>
      </c>
      <c r="E561" s="53">
        <v>7</v>
      </c>
      <c r="F561" s="53">
        <v>3</v>
      </c>
      <c r="G561" s="55">
        <v>0.42857142857142899</v>
      </c>
      <c r="H561" s="55">
        <v>32.857142857142897</v>
      </c>
      <c r="I561" s="55">
        <v>150</v>
      </c>
      <c r="J561" s="53" t="s">
        <v>4549</v>
      </c>
      <c r="K561" s="53" t="s">
        <v>5040</v>
      </c>
      <c r="L561" s="53" t="s">
        <v>3924</v>
      </c>
    </row>
    <row r="562" spans="1:12" ht="15" customHeight="1" x14ac:dyDescent="0.35">
      <c r="A562" s="53" t="s">
        <v>2610</v>
      </c>
      <c r="B562" s="53" t="s">
        <v>1143</v>
      </c>
      <c r="C562" s="55">
        <v>3.6666666666666701</v>
      </c>
      <c r="D562" s="55">
        <v>220</v>
      </c>
      <c r="E562" s="53">
        <v>14</v>
      </c>
      <c r="F562" s="53">
        <v>1</v>
      </c>
      <c r="G562" s="55">
        <v>7.1428571428571397E-2</v>
      </c>
      <c r="H562" s="55">
        <v>15.714285714285699</v>
      </c>
      <c r="I562" s="55">
        <v>220</v>
      </c>
      <c r="J562" s="53" t="s">
        <v>5041</v>
      </c>
      <c r="K562" s="53" t="s">
        <v>5042</v>
      </c>
      <c r="L562" s="53" t="s">
        <v>4253</v>
      </c>
    </row>
    <row r="563" spans="1:12" ht="15" customHeight="1" x14ac:dyDescent="0.35">
      <c r="A563" s="53" t="s">
        <v>2613</v>
      </c>
      <c r="B563" s="53" t="s">
        <v>921</v>
      </c>
      <c r="C563" s="55">
        <v>3.6666666666666701</v>
      </c>
      <c r="D563" s="55">
        <v>220</v>
      </c>
      <c r="E563" s="53">
        <v>13</v>
      </c>
      <c r="F563" s="53">
        <v>3</v>
      </c>
      <c r="G563" s="55">
        <v>0.230769230769231</v>
      </c>
      <c r="H563" s="55">
        <v>16.923076923076898</v>
      </c>
      <c r="I563" s="55">
        <v>100</v>
      </c>
      <c r="J563" s="53" t="s">
        <v>5043</v>
      </c>
      <c r="K563" s="53" t="s">
        <v>5044</v>
      </c>
      <c r="L563" s="53" t="s">
        <v>4571</v>
      </c>
    </row>
    <row r="564" spans="1:12" ht="15" customHeight="1" x14ac:dyDescent="0.35">
      <c r="A564" s="53" t="s">
        <v>2616</v>
      </c>
      <c r="B564" s="53" t="s">
        <v>1659</v>
      </c>
      <c r="C564" s="55">
        <v>3.6666666666666701</v>
      </c>
      <c r="D564" s="55">
        <v>220</v>
      </c>
      <c r="E564" s="53">
        <v>7</v>
      </c>
      <c r="F564" s="53">
        <v>4</v>
      </c>
      <c r="G564" s="55">
        <v>0.57142857142857095</v>
      </c>
      <c r="H564" s="55">
        <v>31.428571428571399</v>
      </c>
      <c r="I564" s="55">
        <v>90</v>
      </c>
      <c r="J564" s="53" t="s">
        <v>5045</v>
      </c>
      <c r="K564" s="53" t="s">
        <v>5046</v>
      </c>
      <c r="L564" s="53" t="s">
        <v>4253</v>
      </c>
    </row>
    <row r="565" spans="1:12" ht="15" customHeight="1" x14ac:dyDescent="0.35">
      <c r="A565" s="53" t="s">
        <v>2619</v>
      </c>
      <c r="B565" s="53" t="s">
        <v>1077</v>
      </c>
      <c r="C565" s="55">
        <v>3.6</v>
      </c>
      <c r="D565" s="55">
        <v>216</v>
      </c>
      <c r="E565" s="53">
        <v>2</v>
      </c>
      <c r="F565" s="53">
        <v>1</v>
      </c>
      <c r="G565" s="55">
        <v>0.5</v>
      </c>
      <c r="H565" s="55">
        <v>108</v>
      </c>
      <c r="I565" s="55">
        <v>216</v>
      </c>
      <c r="J565" s="53" t="s">
        <v>5047</v>
      </c>
      <c r="K565" s="53" t="s">
        <v>5048</v>
      </c>
      <c r="L565" s="53" t="s">
        <v>4214</v>
      </c>
    </row>
    <row r="566" spans="1:12" ht="15" customHeight="1" x14ac:dyDescent="0.35">
      <c r="A566" s="53" t="s">
        <v>2622</v>
      </c>
      <c r="B566" s="53" t="s">
        <v>1077</v>
      </c>
      <c r="C566" s="55">
        <v>3.5833333333333299</v>
      </c>
      <c r="D566" s="55">
        <v>215</v>
      </c>
      <c r="E566" s="53">
        <v>29</v>
      </c>
      <c r="F566" s="53">
        <v>3</v>
      </c>
      <c r="G566" s="55">
        <v>0.10344827586206901</v>
      </c>
      <c r="H566" s="55">
        <v>7.4137931034482802</v>
      </c>
      <c r="I566" s="55">
        <v>140</v>
      </c>
      <c r="J566" s="53" t="s">
        <v>5049</v>
      </c>
      <c r="K566" s="53" t="s">
        <v>5050</v>
      </c>
      <c r="L566" s="53" t="s">
        <v>3941</v>
      </c>
    </row>
    <row r="567" spans="1:12" ht="15" customHeight="1" x14ac:dyDescent="0.35">
      <c r="A567" s="53" t="s">
        <v>2625</v>
      </c>
      <c r="B567" s="53" t="s">
        <v>921</v>
      </c>
      <c r="C567" s="55">
        <v>3.5</v>
      </c>
      <c r="D567" s="55">
        <v>210</v>
      </c>
      <c r="E567" s="53">
        <v>8</v>
      </c>
      <c r="F567" s="53">
        <v>3</v>
      </c>
      <c r="G567" s="55">
        <v>0.375</v>
      </c>
      <c r="H567" s="55">
        <v>26.25</v>
      </c>
      <c r="I567" s="55">
        <v>90</v>
      </c>
      <c r="J567" s="53" t="s">
        <v>5051</v>
      </c>
      <c r="K567" s="53" t="s">
        <v>5052</v>
      </c>
      <c r="L567" s="53" t="s">
        <v>3907</v>
      </c>
    </row>
    <row r="568" spans="1:12" ht="15" customHeight="1" x14ac:dyDescent="0.35">
      <c r="A568" s="53" t="s">
        <v>2628</v>
      </c>
      <c r="B568" s="53" t="s">
        <v>1118</v>
      </c>
      <c r="C568" s="55">
        <v>3.5</v>
      </c>
      <c r="D568" s="55">
        <v>210</v>
      </c>
      <c r="E568" s="53">
        <v>4</v>
      </c>
      <c r="F568" s="53">
        <v>2</v>
      </c>
      <c r="G568" s="55">
        <v>0.5</v>
      </c>
      <c r="H568" s="55">
        <v>52.5</v>
      </c>
      <c r="I568" s="55">
        <v>120</v>
      </c>
      <c r="J568" s="53" t="s">
        <v>5053</v>
      </c>
      <c r="K568" s="53" t="s">
        <v>5054</v>
      </c>
      <c r="L568" s="53" t="s">
        <v>4214</v>
      </c>
    </row>
    <row r="569" spans="1:12" ht="15" customHeight="1" x14ac:dyDescent="0.35">
      <c r="A569" s="53" t="s">
        <v>2631</v>
      </c>
      <c r="B569" s="53" t="s">
        <v>989</v>
      </c>
      <c r="C569" s="55">
        <v>3.3333333333333299</v>
      </c>
      <c r="D569" s="55">
        <v>200</v>
      </c>
      <c r="E569" s="53">
        <v>27</v>
      </c>
      <c r="F569" s="53">
        <v>4</v>
      </c>
      <c r="G569" s="55">
        <v>0.148148148148148</v>
      </c>
      <c r="H569" s="55">
        <v>7.4074074074074101</v>
      </c>
      <c r="I569" s="55">
        <v>120</v>
      </c>
      <c r="J569" s="53" t="s">
        <v>5055</v>
      </c>
      <c r="K569" s="53" t="s">
        <v>5056</v>
      </c>
      <c r="L569" s="53" t="s">
        <v>3907</v>
      </c>
    </row>
    <row r="570" spans="1:12" ht="15" customHeight="1" x14ac:dyDescent="0.35">
      <c r="A570" s="53" t="s">
        <v>2634</v>
      </c>
      <c r="B570" s="53" t="s">
        <v>1768</v>
      </c>
      <c r="C570" s="55">
        <v>3.3333333333333299</v>
      </c>
      <c r="D570" s="55">
        <v>200</v>
      </c>
      <c r="E570" s="53">
        <v>5</v>
      </c>
      <c r="F570" s="53">
        <v>1</v>
      </c>
      <c r="G570" s="55">
        <v>0.2</v>
      </c>
      <c r="H570" s="55">
        <v>40</v>
      </c>
      <c r="I570" s="55">
        <v>200</v>
      </c>
      <c r="J570" s="53" t="s">
        <v>5057</v>
      </c>
      <c r="K570" s="53" t="s">
        <v>5058</v>
      </c>
      <c r="L570" s="53" t="s">
        <v>4763</v>
      </c>
    </row>
    <row r="571" spans="1:12" ht="15" customHeight="1" x14ac:dyDescent="0.35">
      <c r="A571" s="53" t="s">
        <v>2637</v>
      </c>
      <c r="B571" s="53" t="s">
        <v>1077</v>
      </c>
      <c r="C571" s="55">
        <v>3.3333333333333299</v>
      </c>
      <c r="D571" s="55">
        <v>200</v>
      </c>
      <c r="E571" s="53">
        <v>5</v>
      </c>
      <c r="F571" s="53">
        <v>1</v>
      </c>
      <c r="G571" s="55">
        <v>0.2</v>
      </c>
      <c r="H571" s="55">
        <v>40</v>
      </c>
      <c r="I571" s="55">
        <v>200</v>
      </c>
      <c r="J571" s="53" t="s">
        <v>5059</v>
      </c>
      <c r="K571" s="53" t="s">
        <v>5060</v>
      </c>
      <c r="L571" s="53" t="s">
        <v>4360</v>
      </c>
    </row>
    <row r="572" spans="1:12" ht="15" customHeight="1" x14ac:dyDescent="0.35">
      <c r="A572" s="53" t="s">
        <v>2639</v>
      </c>
      <c r="B572" s="53" t="s">
        <v>929</v>
      </c>
      <c r="C572" s="55">
        <v>3.3333333333333299</v>
      </c>
      <c r="D572" s="55">
        <v>200</v>
      </c>
      <c r="E572" s="53">
        <v>4</v>
      </c>
      <c r="F572" s="53">
        <v>2</v>
      </c>
      <c r="G572" s="55">
        <v>0.5</v>
      </c>
      <c r="H572" s="55">
        <v>50</v>
      </c>
      <c r="I572" s="55">
        <v>200</v>
      </c>
      <c r="J572" s="53" t="s">
        <v>5061</v>
      </c>
      <c r="K572" s="53" t="s">
        <v>5062</v>
      </c>
      <c r="L572" s="53" t="s">
        <v>3941</v>
      </c>
    </row>
    <row r="573" spans="1:12" ht="15" customHeight="1" x14ac:dyDescent="0.35">
      <c r="A573" s="53" t="s">
        <v>2642</v>
      </c>
      <c r="B573" s="53" t="s">
        <v>1817</v>
      </c>
      <c r="C573" s="55">
        <v>3.3333333333333299</v>
      </c>
      <c r="D573" s="55">
        <v>200</v>
      </c>
      <c r="E573" s="53">
        <v>3</v>
      </c>
      <c r="F573" s="53">
        <v>1</v>
      </c>
      <c r="G573" s="55">
        <v>0.33333333333333298</v>
      </c>
      <c r="H573" s="55">
        <v>66.6666666666667</v>
      </c>
      <c r="I573" s="55">
        <v>200</v>
      </c>
      <c r="J573" s="53" t="s">
        <v>4869</v>
      </c>
      <c r="K573" s="53" t="s">
        <v>5063</v>
      </c>
      <c r="L573" s="53" t="s">
        <v>4214</v>
      </c>
    </row>
    <row r="574" spans="1:12" ht="15" customHeight="1" x14ac:dyDescent="0.35">
      <c r="A574" s="53" t="s">
        <v>2644</v>
      </c>
      <c r="B574" s="53" t="s">
        <v>905</v>
      </c>
      <c r="C574" s="55">
        <v>3.3333333333333299</v>
      </c>
      <c r="D574" s="55">
        <v>200</v>
      </c>
      <c r="E574" s="53">
        <v>3</v>
      </c>
      <c r="F574" s="53">
        <v>2</v>
      </c>
      <c r="G574" s="55">
        <v>0.66666666666666696</v>
      </c>
      <c r="H574" s="55">
        <v>66.6666666666667</v>
      </c>
      <c r="I574" s="55">
        <v>180</v>
      </c>
      <c r="J574" s="53" t="s">
        <v>5064</v>
      </c>
      <c r="K574" s="53" t="s">
        <v>5065</v>
      </c>
      <c r="L574" s="53" t="s">
        <v>4772</v>
      </c>
    </row>
    <row r="575" spans="1:12" ht="15" customHeight="1" x14ac:dyDescent="0.35">
      <c r="A575" s="53" t="s">
        <v>2646</v>
      </c>
      <c r="B575" s="53" t="s">
        <v>1817</v>
      </c>
      <c r="C575" s="55">
        <v>3.3333333333333299</v>
      </c>
      <c r="D575" s="55">
        <v>200</v>
      </c>
      <c r="E575" s="53">
        <v>1</v>
      </c>
      <c r="F575" s="53">
        <v>1</v>
      </c>
      <c r="G575" s="55">
        <v>1</v>
      </c>
      <c r="H575" s="55">
        <v>200</v>
      </c>
      <c r="I575" s="55">
        <v>200</v>
      </c>
      <c r="J575" s="53" t="s">
        <v>4927</v>
      </c>
      <c r="K575" s="53" t="s">
        <v>5066</v>
      </c>
      <c r="L575" s="53" t="s">
        <v>4360</v>
      </c>
    </row>
    <row r="576" spans="1:12" ht="15" customHeight="1" x14ac:dyDescent="0.35">
      <c r="A576" s="53" t="s">
        <v>2648</v>
      </c>
      <c r="B576" s="53" t="s">
        <v>1212</v>
      </c>
      <c r="C576" s="55">
        <v>3.3333333333333299</v>
      </c>
      <c r="D576" s="55">
        <v>200</v>
      </c>
      <c r="E576" s="53">
        <v>1</v>
      </c>
      <c r="F576" s="53">
        <v>1</v>
      </c>
      <c r="G576" s="55">
        <v>1</v>
      </c>
      <c r="H576" s="55">
        <v>200</v>
      </c>
      <c r="I576" s="55">
        <v>200</v>
      </c>
      <c r="J576" s="53" t="s">
        <v>5067</v>
      </c>
      <c r="K576" s="53" t="s">
        <v>5068</v>
      </c>
      <c r="L576" s="53" t="s">
        <v>4673</v>
      </c>
    </row>
    <row r="577" spans="1:12" ht="15" customHeight="1" x14ac:dyDescent="0.35">
      <c r="A577" s="53" t="s">
        <v>2650</v>
      </c>
      <c r="B577" s="53" t="s">
        <v>989</v>
      </c>
      <c r="C577" s="55">
        <v>3.0833333333333299</v>
      </c>
      <c r="D577" s="55">
        <v>185</v>
      </c>
      <c r="E577" s="53">
        <v>17</v>
      </c>
      <c r="F577" s="53">
        <v>3</v>
      </c>
      <c r="G577" s="55">
        <v>0.17647058823529399</v>
      </c>
      <c r="H577" s="55">
        <v>10.882352941176499</v>
      </c>
      <c r="I577" s="55">
        <v>120</v>
      </c>
      <c r="J577" s="53" t="s">
        <v>5069</v>
      </c>
      <c r="K577" s="53" t="s">
        <v>5070</v>
      </c>
      <c r="L577" s="53" t="s">
        <v>3907</v>
      </c>
    </row>
    <row r="578" spans="1:12" ht="15" customHeight="1" x14ac:dyDescent="0.35">
      <c r="A578" s="53" t="s">
        <v>2653</v>
      </c>
      <c r="B578" s="53" t="s">
        <v>1050</v>
      </c>
      <c r="C578" s="55">
        <v>3.0333333333333301</v>
      </c>
      <c r="D578" s="55">
        <v>182</v>
      </c>
      <c r="E578" s="53">
        <v>9</v>
      </c>
      <c r="F578" s="53">
        <v>4</v>
      </c>
      <c r="G578" s="55">
        <v>0.44444444444444398</v>
      </c>
      <c r="H578" s="55">
        <v>20.2222222222222</v>
      </c>
      <c r="I578" s="55">
        <v>60</v>
      </c>
      <c r="J578" s="53" t="s">
        <v>5071</v>
      </c>
      <c r="K578" s="53" t="s">
        <v>5072</v>
      </c>
      <c r="L578" s="53" t="s">
        <v>4256</v>
      </c>
    </row>
    <row r="579" spans="1:12" ht="15" customHeight="1" x14ac:dyDescent="0.35">
      <c r="A579" s="53" t="s">
        <v>2656</v>
      </c>
      <c r="B579" s="53" t="s">
        <v>913</v>
      </c>
      <c r="C579" s="55">
        <v>3.0166666666666702</v>
      </c>
      <c r="D579" s="55">
        <v>181</v>
      </c>
      <c r="E579" s="53">
        <v>10</v>
      </c>
      <c r="F579" s="53">
        <v>4</v>
      </c>
      <c r="G579" s="55">
        <v>0.4</v>
      </c>
      <c r="H579" s="55">
        <v>18.100000000000001</v>
      </c>
      <c r="I579" s="55">
        <v>60</v>
      </c>
      <c r="J579" s="53" t="s">
        <v>5073</v>
      </c>
      <c r="K579" s="53" t="s">
        <v>5074</v>
      </c>
      <c r="L579" s="53" t="s">
        <v>3907</v>
      </c>
    </row>
    <row r="580" spans="1:12" ht="15" customHeight="1" x14ac:dyDescent="0.35">
      <c r="A580" s="53" t="s">
        <v>2659</v>
      </c>
      <c r="B580" s="53" t="s">
        <v>1077</v>
      </c>
      <c r="C580" s="55">
        <v>3</v>
      </c>
      <c r="D580" s="55">
        <v>180</v>
      </c>
      <c r="E580" s="53">
        <v>33</v>
      </c>
      <c r="F580" s="53">
        <v>1</v>
      </c>
      <c r="G580" s="55">
        <v>3.03030303030303E-2</v>
      </c>
      <c r="H580" s="55">
        <v>5.4545454545454497</v>
      </c>
      <c r="I580" s="55">
        <v>180</v>
      </c>
      <c r="J580" s="53" t="s">
        <v>5075</v>
      </c>
      <c r="K580" s="53" t="s">
        <v>5076</v>
      </c>
      <c r="L580" s="53" t="s">
        <v>3924</v>
      </c>
    </row>
    <row r="581" spans="1:12" ht="15" customHeight="1" x14ac:dyDescent="0.35">
      <c r="A581" s="53" t="s">
        <v>2662</v>
      </c>
      <c r="B581" s="53" t="s">
        <v>959</v>
      </c>
      <c r="C581" s="55">
        <v>3</v>
      </c>
      <c r="D581" s="55">
        <v>180</v>
      </c>
      <c r="E581" s="53">
        <v>27</v>
      </c>
      <c r="F581" s="53">
        <v>1</v>
      </c>
      <c r="G581" s="55">
        <v>3.7037037037037E-2</v>
      </c>
      <c r="H581" s="55">
        <v>6.6666666666666696</v>
      </c>
      <c r="I581" s="55">
        <v>180</v>
      </c>
      <c r="J581" s="53" t="s">
        <v>5077</v>
      </c>
      <c r="K581" s="53" t="s">
        <v>5078</v>
      </c>
      <c r="L581" s="53" t="s">
        <v>3941</v>
      </c>
    </row>
    <row r="582" spans="1:12" ht="15" customHeight="1" x14ac:dyDescent="0.35">
      <c r="A582" s="53" t="s">
        <v>2665</v>
      </c>
      <c r="B582" s="53" t="s">
        <v>1118</v>
      </c>
      <c r="C582" s="55">
        <v>3</v>
      </c>
      <c r="D582" s="55">
        <v>180</v>
      </c>
      <c r="E582" s="53">
        <v>12</v>
      </c>
      <c r="F582" s="53">
        <v>2</v>
      </c>
      <c r="G582" s="55">
        <v>0.16666666666666699</v>
      </c>
      <c r="H582" s="55">
        <v>15</v>
      </c>
      <c r="I582" s="55">
        <v>120</v>
      </c>
      <c r="J582" s="53" t="s">
        <v>5079</v>
      </c>
      <c r="K582" s="53" t="s">
        <v>5080</v>
      </c>
      <c r="L582" s="53" t="s">
        <v>3941</v>
      </c>
    </row>
    <row r="583" spans="1:12" ht="15" customHeight="1" x14ac:dyDescent="0.35">
      <c r="A583" s="53" t="s">
        <v>2668</v>
      </c>
      <c r="B583" s="53" t="s">
        <v>1122</v>
      </c>
      <c r="C583" s="55">
        <v>3</v>
      </c>
      <c r="D583" s="55">
        <v>180</v>
      </c>
      <c r="E583" s="53">
        <v>8</v>
      </c>
      <c r="F583" s="53">
        <v>2</v>
      </c>
      <c r="G583" s="55">
        <v>0.25</v>
      </c>
      <c r="H583" s="55">
        <v>22.5</v>
      </c>
      <c r="I583" s="55">
        <v>120</v>
      </c>
      <c r="J583" s="53" t="s">
        <v>5081</v>
      </c>
      <c r="K583" s="53" t="s">
        <v>5082</v>
      </c>
      <c r="L583" s="53" t="s">
        <v>3907</v>
      </c>
    </row>
    <row r="584" spans="1:12" ht="15" customHeight="1" x14ac:dyDescent="0.35">
      <c r="A584" s="53" t="s">
        <v>2671</v>
      </c>
      <c r="B584" s="53" t="s">
        <v>1077</v>
      </c>
      <c r="C584" s="55">
        <v>3</v>
      </c>
      <c r="D584" s="55">
        <v>180</v>
      </c>
      <c r="E584" s="53">
        <v>8</v>
      </c>
      <c r="F584" s="53">
        <v>1</v>
      </c>
      <c r="G584" s="55">
        <v>0.125</v>
      </c>
      <c r="H584" s="55">
        <v>22.5</v>
      </c>
      <c r="I584" s="55">
        <v>180</v>
      </c>
      <c r="J584" s="53" t="s">
        <v>4719</v>
      </c>
      <c r="K584" s="53" t="s">
        <v>5083</v>
      </c>
      <c r="L584" s="53" t="s">
        <v>4604</v>
      </c>
    </row>
    <row r="585" spans="1:12" ht="15" customHeight="1" x14ac:dyDescent="0.35">
      <c r="A585" s="53" t="s">
        <v>2672</v>
      </c>
      <c r="B585" s="53" t="s">
        <v>921</v>
      </c>
      <c r="C585" s="55">
        <v>3</v>
      </c>
      <c r="D585" s="55">
        <v>180</v>
      </c>
      <c r="E585" s="53">
        <v>7</v>
      </c>
      <c r="F585" s="53">
        <v>1</v>
      </c>
      <c r="G585" s="55">
        <v>0.14285714285714299</v>
      </c>
      <c r="H585" s="55">
        <v>25.714285714285701</v>
      </c>
      <c r="I585" s="55">
        <v>180</v>
      </c>
      <c r="J585" s="53" t="s">
        <v>5084</v>
      </c>
      <c r="K585" s="53" t="s">
        <v>5085</v>
      </c>
      <c r="L585" s="53" t="s">
        <v>3924</v>
      </c>
    </row>
    <row r="586" spans="1:12" ht="15" customHeight="1" x14ac:dyDescent="0.35">
      <c r="A586" s="53" t="s">
        <v>2675</v>
      </c>
      <c r="B586" s="53" t="s">
        <v>1070</v>
      </c>
      <c r="C586" s="55">
        <v>3</v>
      </c>
      <c r="D586" s="55">
        <v>180</v>
      </c>
      <c r="E586" s="53">
        <v>7</v>
      </c>
      <c r="F586" s="53">
        <v>2</v>
      </c>
      <c r="G586" s="55">
        <v>0.28571428571428598</v>
      </c>
      <c r="H586" s="55">
        <v>25.714285714285701</v>
      </c>
      <c r="I586" s="55">
        <v>90</v>
      </c>
      <c r="J586" s="53" t="s">
        <v>5086</v>
      </c>
      <c r="K586" s="53" t="s">
        <v>5087</v>
      </c>
      <c r="L586" s="53" t="s">
        <v>5088</v>
      </c>
    </row>
    <row r="587" spans="1:12" ht="15" customHeight="1" x14ac:dyDescent="0.35">
      <c r="A587" s="53" t="s">
        <v>2677</v>
      </c>
      <c r="B587" s="53" t="s">
        <v>2598</v>
      </c>
      <c r="C587" s="55">
        <v>3</v>
      </c>
      <c r="D587" s="55">
        <v>180</v>
      </c>
      <c r="E587" s="53">
        <v>6</v>
      </c>
      <c r="F587" s="53">
        <v>4</v>
      </c>
      <c r="G587" s="55">
        <v>0.66666666666666696</v>
      </c>
      <c r="H587" s="55">
        <v>30</v>
      </c>
      <c r="I587" s="55">
        <v>180</v>
      </c>
      <c r="J587" s="53" t="s">
        <v>5089</v>
      </c>
      <c r="K587" s="53" t="s">
        <v>5090</v>
      </c>
      <c r="L587" s="53" t="s">
        <v>3924</v>
      </c>
    </row>
    <row r="588" spans="1:12" ht="15" customHeight="1" x14ac:dyDescent="0.35">
      <c r="A588" s="53" t="s">
        <v>2680</v>
      </c>
      <c r="B588" s="53" t="s">
        <v>921</v>
      </c>
      <c r="C588" s="55">
        <v>3</v>
      </c>
      <c r="D588" s="55">
        <v>180</v>
      </c>
      <c r="E588" s="53">
        <v>6</v>
      </c>
      <c r="F588" s="53">
        <v>3</v>
      </c>
      <c r="G588" s="55">
        <v>0.5</v>
      </c>
      <c r="H588" s="55">
        <v>30</v>
      </c>
      <c r="I588" s="55">
        <v>60</v>
      </c>
      <c r="J588" s="53" t="s">
        <v>5091</v>
      </c>
      <c r="K588" s="53" t="s">
        <v>5092</v>
      </c>
      <c r="L588" s="53" t="s">
        <v>3924</v>
      </c>
    </row>
    <row r="589" spans="1:12" ht="15" customHeight="1" x14ac:dyDescent="0.35">
      <c r="A589" s="53" t="s">
        <v>2682</v>
      </c>
      <c r="B589" s="53" t="s">
        <v>1490</v>
      </c>
      <c r="C589" s="55">
        <v>3</v>
      </c>
      <c r="D589" s="55">
        <v>180</v>
      </c>
      <c r="E589" s="53">
        <v>5</v>
      </c>
      <c r="F589" s="53">
        <v>1</v>
      </c>
      <c r="G589" s="55">
        <v>0.2</v>
      </c>
      <c r="H589" s="55">
        <v>36</v>
      </c>
      <c r="I589" s="55">
        <v>180</v>
      </c>
      <c r="J589" s="53" t="s">
        <v>5020</v>
      </c>
      <c r="K589" s="53" t="s">
        <v>5093</v>
      </c>
      <c r="L589" s="53" t="s">
        <v>4052</v>
      </c>
    </row>
    <row r="590" spans="1:12" ht="15" customHeight="1" x14ac:dyDescent="0.35">
      <c r="A590" s="53" t="s">
        <v>2684</v>
      </c>
      <c r="B590" s="53" t="s">
        <v>1077</v>
      </c>
      <c r="C590" s="55">
        <v>3</v>
      </c>
      <c r="D590" s="55">
        <v>180</v>
      </c>
      <c r="E590" s="53">
        <v>5</v>
      </c>
      <c r="F590" s="53">
        <v>1</v>
      </c>
      <c r="G590" s="55">
        <v>0.2</v>
      </c>
      <c r="H590" s="55">
        <v>36</v>
      </c>
      <c r="I590" s="55">
        <v>180</v>
      </c>
      <c r="J590" s="53" t="s">
        <v>4982</v>
      </c>
      <c r="K590" s="53" t="s">
        <v>5094</v>
      </c>
      <c r="L590" s="53" t="s">
        <v>4360</v>
      </c>
    </row>
    <row r="591" spans="1:12" ht="15" customHeight="1" x14ac:dyDescent="0.35">
      <c r="A591" s="53" t="s">
        <v>2685</v>
      </c>
      <c r="B591" s="53" t="s">
        <v>1212</v>
      </c>
      <c r="C591" s="55">
        <v>3</v>
      </c>
      <c r="D591" s="55">
        <v>180</v>
      </c>
      <c r="E591" s="53">
        <v>5</v>
      </c>
      <c r="F591" s="53">
        <v>3</v>
      </c>
      <c r="G591" s="55">
        <v>0.6</v>
      </c>
      <c r="H591" s="55">
        <v>36</v>
      </c>
      <c r="I591" s="55">
        <v>120</v>
      </c>
      <c r="J591" s="53" t="s">
        <v>5095</v>
      </c>
      <c r="K591" s="53" t="s">
        <v>5096</v>
      </c>
      <c r="L591" s="53" t="s">
        <v>4673</v>
      </c>
    </row>
    <row r="592" spans="1:12" ht="15" customHeight="1" x14ac:dyDescent="0.35">
      <c r="A592" s="53" t="s">
        <v>2687</v>
      </c>
      <c r="B592" s="53" t="s">
        <v>989</v>
      </c>
      <c r="C592" s="55">
        <v>3</v>
      </c>
      <c r="D592" s="55">
        <v>180</v>
      </c>
      <c r="E592" s="53">
        <v>3</v>
      </c>
      <c r="F592" s="53">
        <v>2</v>
      </c>
      <c r="G592" s="55">
        <v>0.66666666666666696</v>
      </c>
      <c r="H592" s="55">
        <v>60</v>
      </c>
      <c r="I592" s="55">
        <v>120</v>
      </c>
      <c r="J592" s="53" t="s">
        <v>5097</v>
      </c>
      <c r="K592" s="53" t="s">
        <v>5098</v>
      </c>
      <c r="L592" s="53" t="s">
        <v>4253</v>
      </c>
    </row>
    <row r="593" spans="1:12" ht="15" customHeight="1" x14ac:dyDescent="0.35">
      <c r="A593" s="53" t="s">
        <v>2690</v>
      </c>
      <c r="B593" s="53" t="s">
        <v>913</v>
      </c>
      <c r="C593" s="55">
        <v>3</v>
      </c>
      <c r="D593" s="55">
        <v>180</v>
      </c>
      <c r="E593" s="53">
        <v>1</v>
      </c>
      <c r="F593" s="53">
        <v>1</v>
      </c>
      <c r="G593" s="55">
        <v>1</v>
      </c>
      <c r="H593" s="55">
        <v>180</v>
      </c>
      <c r="I593" s="55">
        <v>180</v>
      </c>
      <c r="J593" s="53" t="s">
        <v>5099</v>
      </c>
      <c r="K593" s="53" t="s">
        <v>5100</v>
      </c>
      <c r="L593" s="53" t="s">
        <v>4360</v>
      </c>
    </row>
    <row r="594" spans="1:12" ht="15" customHeight="1" x14ac:dyDescent="0.35">
      <c r="A594" s="53" t="s">
        <v>2693</v>
      </c>
      <c r="B594" s="53" t="s">
        <v>1111</v>
      </c>
      <c r="C594" s="55">
        <v>2.75</v>
      </c>
      <c r="D594" s="55">
        <v>165</v>
      </c>
      <c r="E594" s="53">
        <v>14</v>
      </c>
      <c r="F594" s="53">
        <v>2</v>
      </c>
      <c r="G594" s="55">
        <v>0.14285714285714299</v>
      </c>
      <c r="H594" s="55">
        <v>11.785714285714301</v>
      </c>
      <c r="I594" s="55">
        <v>120</v>
      </c>
      <c r="J594" s="53" t="s">
        <v>5101</v>
      </c>
      <c r="K594" s="53" t="s">
        <v>5102</v>
      </c>
      <c r="L594" s="53" t="s">
        <v>3907</v>
      </c>
    </row>
    <row r="595" spans="1:12" ht="15" customHeight="1" x14ac:dyDescent="0.35">
      <c r="A595" s="53" t="s">
        <v>2696</v>
      </c>
      <c r="B595" s="53" t="s">
        <v>1731</v>
      </c>
      <c r="C595" s="55">
        <v>2.75</v>
      </c>
      <c r="D595" s="55">
        <v>165</v>
      </c>
      <c r="E595" s="53">
        <v>8</v>
      </c>
      <c r="F595" s="53">
        <v>2</v>
      </c>
      <c r="G595" s="55">
        <v>0.25</v>
      </c>
      <c r="H595" s="55">
        <v>20.625</v>
      </c>
      <c r="I595" s="55">
        <v>90</v>
      </c>
      <c r="J595" s="53" t="s">
        <v>5103</v>
      </c>
      <c r="K595" s="53" t="s">
        <v>5104</v>
      </c>
      <c r="L595" s="53" t="s">
        <v>5088</v>
      </c>
    </row>
    <row r="596" spans="1:12" ht="15" customHeight="1" x14ac:dyDescent="0.35">
      <c r="A596" s="53" t="s">
        <v>2699</v>
      </c>
      <c r="B596" s="53" t="s">
        <v>1136</v>
      </c>
      <c r="C596" s="55">
        <v>2.75</v>
      </c>
      <c r="D596" s="55">
        <v>165</v>
      </c>
      <c r="E596" s="53">
        <v>6</v>
      </c>
      <c r="F596" s="53">
        <v>2</v>
      </c>
      <c r="G596" s="55">
        <v>0.33333333333333298</v>
      </c>
      <c r="H596" s="55">
        <v>27.5</v>
      </c>
      <c r="I596" s="55">
        <v>120</v>
      </c>
      <c r="J596" s="53" t="s">
        <v>5105</v>
      </c>
      <c r="K596" s="53" t="s">
        <v>5106</v>
      </c>
      <c r="L596" s="53" t="s">
        <v>4763</v>
      </c>
    </row>
    <row r="597" spans="1:12" ht="15" customHeight="1" x14ac:dyDescent="0.35">
      <c r="A597" s="53" t="s">
        <v>2702</v>
      </c>
      <c r="B597" s="53" t="s">
        <v>913</v>
      </c>
      <c r="C597" s="55">
        <v>2.75</v>
      </c>
      <c r="D597" s="55">
        <v>165</v>
      </c>
      <c r="E597" s="53">
        <v>5</v>
      </c>
      <c r="F597" s="53">
        <v>3</v>
      </c>
      <c r="G597" s="55">
        <v>0.6</v>
      </c>
      <c r="H597" s="55">
        <v>33</v>
      </c>
      <c r="I597" s="55">
        <v>90</v>
      </c>
      <c r="J597" s="53" t="s">
        <v>5107</v>
      </c>
      <c r="K597" s="53" t="s">
        <v>5108</v>
      </c>
      <c r="L597" s="53" t="s">
        <v>4052</v>
      </c>
    </row>
    <row r="598" spans="1:12" ht="15" customHeight="1" x14ac:dyDescent="0.35">
      <c r="A598" s="53" t="s">
        <v>2705</v>
      </c>
      <c r="B598" s="53" t="s">
        <v>1077</v>
      </c>
      <c r="C598" s="55">
        <v>2.7166666666666699</v>
      </c>
      <c r="D598" s="55">
        <v>163</v>
      </c>
      <c r="E598" s="53">
        <v>13</v>
      </c>
      <c r="F598" s="53">
        <v>1</v>
      </c>
      <c r="G598" s="55">
        <v>7.69230769230769E-2</v>
      </c>
      <c r="H598" s="55">
        <v>12.538461538461499</v>
      </c>
      <c r="I598" s="55">
        <v>163</v>
      </c>
      <c r="J598" s="53" t="s">
        <v>5109</v>
      </c>
      <c r="K598" s="53" t="s">
        <v>5110</v>
      </c>
      <c r="L598" s="53" t="s">
        <v>4360</v>
      </c>
    </row>
    <row r="599" spans="1:12" ht="15" customHeight="1" x14ac:dyDescent="0.35">
      <c r="A599" s="53" t="s">
        <v>2708</v>
      </c>
      <c r="B599" s="53" t="s">
        <v>1009</v>
      </c>
      <c r="C599" s="55">
        <v>2.5833333333333299</v>
      </c>
      <c r="D599" s="55">
        <v>155</v>
      </c>
      <c r="E599" s="53">
        <v>27</v>
      </c>
      <c r="F599" s="53">
        <v>5</v>
      </c>
      <c r="G599" s="55">
        <v>0.18518518518518501</v>
      </c>
      <c r="H599" s="55">
        <v>5.7407407407407396</v>
      </c>
      <c r="I599" s="55">
        <v>120</v>
      </c>
      <c r="J599" s="53" t="s">
        <v>5111</v>
      </c>
      <c r="K599" s="53" t="s">
        <v>5112</v>
      </c>
      <c r="L599" s="53" t="s">
        <v>3907</v>
      </c>
    </row>
    <row r="600" spans="1:12" ht="15" customHeight="1" x14ac:dyDescent="0.35">
      <c r="A600" s="53" t="s">
        <v>2711</v>
      </c>
      <c r="B600" s="53" t="s">
        <v>959</v>
      </c>
      <c r="C600" s="55">
        <v>2.5</v>
      </c>
      <c r="D600" s="55">
        <v>150</v>
      </c>
      <c r="E600" s="53">
        <v>12</v>
      </c>
      <c r="F600" s="53">
        <v>1</v>
      </c>
      <c r="G600" s="55">
        <v>8.3333333333333301E-2</v>
      </c>
      <c r="H600" s="55">
        <v>12.5</v>
      </c>
      <c r="I600" s="55">
        <v>150</v>
      </c>
      <c r="J600" s="53" t="s">
        <v>5113</v>
      </c>
      <c r="K600" s="53" t="s">
        <v>5114</v>
      </c>
      <c r="L600" s="53" t="s">
        <v>3941</v>
      </c>
    </row>
    <row r="601" spans="1:12" ht="15" customHeight="1" x14ac:dyDescent="0.35">
      <c r="A601" s="53" t="s">
        <v>2714</v>
      </c>
      <c r="B601" s="53" t="s">
        <v>1136</v>
      </c>
      <c r="C601" s="55">
        <v>2.5</v>
      </c>
      <c r="D601" s="55">
        <v>150</v>
      </c>
      <c r="E601" s="53">
        <v>6</v>
      </c>
      <c r="F601" s="53">
        <v>3</v>
      </c>
      <c r="G601" s="55">
        <v>0.5</v>
      </c>
      <c r="H601" s="55">
        <v>25</v>
      </c>
      <c r="I601" s="55">
        <v>120</v>
      </c>
      <c r="J601" s="53" t="s">
        <v>5105</v>
      </c>
      <c r="K601" s="53" t="s">
        <v>5115</v>
      </c>
      <c r="L601" s="53" t="s">
        <v>3941</v>
      </c>
    </row>
    <row r="602" spans="1:12" ht="15" customHeight="1" x14ac:dyDescent="0.35">
      <c r="A602" s="53" t="s">
        <v>2716</v>
      </c>
      <c r="B602" s="53" t="s">
        <v>921</v>
      </c>
      <c r="C602" s="55">
        <v>2.5</v>
      </c>
      <c r="D602" s="55">
        <v>150</v>
      </c>
      <c r="E602" s="53">
        <v>5</v>
      </c>
      <c r="F602" s="53">
        <v>1</v>
      </c>
      <c r="G602" s="55">
        <v>0.2</v>
      </c>
      <c r="H602" s="55">
        <v>30</v>
      </c>
      <c r="I602" s="55">
        <v>150</v>
      </c>
      <c r="J602" s="53" t="s">
        <v>5057</v>
      </c>
      <c r="K602" s="53" t="s">
        <v>5116</v>
      </c>
      <c r="L602" s="53" t="s">
        <v>4165</v>
      </c>
    </row>
    <row r="603" spans="1:12" ht="15" customHeight="1" x14ac:dyDescent="0.35">
      <c r="A603" s="53" t="s">
        <v>2718</v>
      </c>
      <c r="B603" s="53" t="s">
        <v>921</v>
      </c>
      <c r="C603" s="55">
        <v>2.5</v>
      </c>
      <c r="D603" s="55">
        <v>150</v>
      </c>
      <c r="E603" s="53">
        <v>3</v>
      </c>
      <c r="F603" s="53">
        <v>2</v>
      </c>
      <c r="G603" s="55">
        <v>0.66666666666666696</v>
      </c>
      <c r="H603" s="55">
        <v>50</v>
      </c>
      <c r="I603" s="55">
        <v>90</v>
      </c>
      <c r="J603" s="53" t="s">
        <v>5117</v>
      </c>
      <c r="K603" s="53" t="s">
        <v>5118</v>
      </c>
      <c r="L603" s="53" t="s">
        <v>4772</v>
      </c>
    </row>
    <row r="604" spans="1:12" ht="15" customHeight="1" x14ac:dyDescent="0.35">
      <c r="A604" s="53" t="s">
        <v>2721</v>
      </c>
      <c r="B604" s="53" t="s">
        <v>1084</v>
      </c>
      <c r="C604" s="55">
        <v>2.5</v>
      </c>
      <c r="D604" s="55">
        <v>150</v>
      </c>
      <c r="E604" s="53">
        <v>3</v>
      </c>
      <c r="F604" s="53">
        <v>1</v>
      </c>
      <c r="G604" s="55">
        <v>0.33333333333333298</v>
      </c>
      <c r="H604" s="55">
        <v>50</v>
      </c>
      <c r="I604" s="55">
        <v>150</v>
      </c>
      <c r="J604" s="53" t="s">
        <v>5119</v>
      </c>
      <c r="K604" s="53" t="s">
        <v>5120</v>
      </c>
      <c r="L604" s="53" t="s">
        <v>4604</v>
      </c>
    </row>
    <row r="605" spans="1:12" ht="15" customHeight="1" x14ac:dyDescent="0.35">
      <c r="A605" s="53" t="s">
        <v>2723</v>
      </c>
      <c r="B605" s="53" t="s">
        <v>1659</v>
      </c>
      <c r="C605" s="55">
        <v>2.5</v>
      </c>
      <c r="D605" s="55">
        <v>150</v>
      </c>
      <c r="E605" s="53">
        <v>2</v>
      </c>
      <c r="F605" s="53">
        <v>1</v>
      </c>
      <c r="G605" s="55">
        <v>0.5</v>
      </c>
      <c r="H605" s="55">
        <v>75</v>
      </c>
      <c r="I605" s="55">
        <v>150</v>
      </c>
      <c r="J605" s="53" t="s">
        <v>5121</v>
      </c>
      <c r="K605" s="53" t="s">
        <v>5122</v>
      </c>
      <c r="L605" s="53" t="s">
        <v>4253</v>
      </c>
    </row>
    <row r="606" spans="1:12" ht="15" customHeight="1" x14ac:dyDescent="0.35">
      <c r="A606" s="53" t="s">
        <v>2726</v>
      </c>
      <c r="B606" s="53" t="s">
        <v>921</v>
      </c>
      <c r="C606" s="55">
        <v>2.43333333333333</v>
      </c>
      <c r="D606" s="55">
        <v>146</v>
      </c>
      <c r="E606" s="53">
        <v>2</v>
      </c>
      <c r="F606" s="53">
        <v>1</v>
      </c>
      <c r="G606" s="55">
        <v>0.5</v>
      </c>
      <c r="H606" s="55">
        <v>73</v>
      </c>
      <c r="I606" s="55">
        <v>146</v>
      </c>
      <c r="J606" s="53" t="s">
        <v>5123</v>
      </c>
      <c r="K606" s="53" t="s">
        <v>5124</v>
      </c>
      <c r="L606" s="53" t="s">
        <v>4686</v>
      </c>
    </row>
    <row r="607" spans="1:12" ht="15" customHeight="1" x14ac:dyDescent="0.35">
      <c r="A607" s="53" t="s">
        <v>2729</v>
      </c>
      <c r="B607" s="53" t="s">
        <v>1490</v>
      </c>
      <c r="C607" s="55">
        <v>2.3333333333333299</v>
      </c>
      <c r="D607" s="55">
        <v>140</v>
      </c>
      <c r="E607" s="53">
        <v>7</v>
      </c>
      <c r="F607" s="53">
        <v>1</v>
      </c>
      <c r="G607" s="55">
        <v>0.14285714285714299</v>
      </c>
      <c r="H607" s="55">
        <v>20</v>
      </c>
      <c r="I607" s="55">
        <v>140</v>
      </c>
      <c r="J607" s="53" t="s">
        <v>5125</v>
      </c>
      <c r="K607" s="53" t="s">
        <v>5126</v>
      </c>
      <c r="L607" s="53" t="s">
        <v>4491</v>
      </c>
    </row>
    <row r="608" spans="1:12" ht="15" customHeight="1" x14ac:dyDescent="0.35">
      <c r="A608" s="53" t="s">
        <v>2732</v>
      </c>
      <c r="B608" s="53" t="s">
        <v>989</v>
      </c>
      <c r="C608" s="55">
        <v>2.25</v>
      </c>
      <c r="D608" s="55">
        <v>135</v>
      </c>
      <c r="E608" s="53">
        <v>2</v>
      </c>
      <c r="F608" s="53">
        <v>2</v>
      </c>
      <c r="G608" s="55">
        <v>1</v>
      </c>
      <c r="H608" s="55">
        <v>67.5</v>
      </c>
      <c r="I608" s="55">
        <v>120</v>
      </c>
      <c r="J608" s="53" t="s">
        <v>5127</v>
      </c>
      <c r="K608" s="53" t="s">
        <v>5128</v>
      </c>
      <c r="L608" s="53" t="s">
        <v>4491</v>
      </c>
    </row>
    <row r="609" spans="1:12" ht="15" customHeight="1" x14ac:dyDescent="0.35">
      <c r="A609" s="53" t="s">
        <v>2735</v>
      </c>
      <c r="B609" s="53" t="s">
        <v>929</v>
      </c>
      <c r="C609" s="55">
        <v>2.2000000000000002</v>
      </c>
      <c r="D609" s="55">
        <v>132</v>
      </c>
      <c r="E609" s="53">
        <v>1</v>
      </c>
      <c r="F609" s="53">
        <v>1</v>
      </c>
      <c r="G609" s="55">
        <v>1</v>
      </c>
      <c r="H609" s="55">
        <v>132</v>
      </c>
      <c r="I609" s="55">
        <v>132</v>
      </c>
      <c r="J609" s="53" t="s">
        <v>4770</v>
      </c>
      <c r="K609" s="53" t="s">
        <v>5129</v>
      </c>
      <c r="L609" s="53" t="s">
        <v>4772</v>
      </c>
    </row>
    <row r="610" spans="1:12" ht="15" customHeight="1" x14ac:dyDescent="0.35">
      <c r="A610" s="53" t="s">
        <v>2737</v>
      </c>
      <c r="B610" s="53" t="s">
        <v>1136</v>
      </c>
      <c r="C610" s="55">
        <v>2.1666666666666701</v>
      </c>
      <c r="D610" s="55">
        <v>130</v>
      </c>
      <c r="E610" s="53">
        <v>8</v>
      </c>
      <c r="F610" s="53">
        <v>3</v>
      </c>
      <c r="G610" s="55">
        <v>0.375</v>
      </c>
      <c r="H610" s="55">
        <v>16.25</v>
      </c>
      <c r="I610" s="55">
        <v>130</v>
      </c>
      <c r="J610" s="53" t="s">
        <v>4719</v>
      </c>
      <c r="K610" s="53" t="s">
        <v>5130</v>
      </c>
      <c r="L610" s="53" t="s">
        <v>4349</v>
      </c>
    </row>
    <row r="611" spans="1:12" ht="15" customHeight="1" x14ac:dyDescent="0.35">
      <c r="A611" s="53" t="s">
        <v>2739</v>
      </c>
      <c r="B611" s="53" t="s">
        <v>913</v>
      </c>
      <c r="C611" s="55">
        <v>2.1666666666666701</v>
      </c>
      <c r="D611" s="55">
        <v>130</v>
      </c>
      <c r="E611" s="53">
        <v>4</v>
      </c>
      <c r="F611" s="53">
        <v>1</v>
      </c>
      <c r="G611" s="55">
        <v>0.25</v>
      </c>
      <c r="H611" s="55">
        <v>32.5</v>
      </c>
      <c r="I611" s="55">
        <v>130</v>
      </c>
      <c r="J611" s="53" t="s">
        <v>5131</v>
      </c>
      <c r="K611" s="53" t="s">
        <v>5132</v>
      </c>
      <c r="L611" s="53" t="s">
        <v>4253</v>
      </c>
    </row>
    <row r="612" spans="1:12" ht="15" customHeight="1" x14ac:dyDescent="0.35">
      <c r="A612" s="53" t="s">
        <v>2742</v>
      </c>
      <c r="B612" s="53" t="s">
        <v>1050</v>
      </c>
      <c r="C612" s="55">
        <v>2.1333333333333302</v>
      </c>
      <c r="D612" s="55">
        <v>128</v>
      </c>
      <c r="E612" s="53">
        <v>2</v>
      </c>
      <c r="F612" s="53">
        <v>2</v>
      </c>
      <c r="G612" s="55">
        <v>1</v>
      </c>
      <c r="H612" s="55">
        <v>64</v>
      </c>
      <c r="I612" s="55">
        <v>90</v>
      </c>
      <c r="J612" s="53" t="s">
        <v>5127</v>
      </c>
      <c r="K612" s="53" t="s">
        <v>5133</v>
      </c>
      <c r="L612" s="53" t="s">
        <v>4253</v>
      </c>
    </row>
    <row r="613" spans="1:12" ht="15" customHeight="1" x14ac:dyDescent="0.35">
      <c r="A613" s="53" t="s">
        <v>2744</v>
      </c>
      <c r="B613" s="53" t="s">
        <v>1646</v>
      </c>
      <c r="C613" s="55">
        <v>2.0333333333333301</v>
      </c>
      <c r="D613" s="55">
        <v>122</v>
      </c>
      <c r="E613" s="53">
        <v>6</v>
      </c>
      <c r="F613" s="53">
        <v>1</v>
      </c>
      <c r="G613" s="55">
        <v>0.16666666666666699</v>
      </c>
      <c r="H613" s="55">
        <v>20.3333333333333</v>
      </c>
      <c r="I613" s="55">
        <v>122</v>
      </c>
      <c r="J613" s="53" t="s">
        <v>5134</v>
      </c>
      <c r="K613" s="53" t="s">
        <v>5135</v>
      </c>
      <c r="L613" s="53" t="s">
        <v>4253</v>
      </c>
    </row>
    <row r="614" spans="1:12" ht="15" customHeight="1" x14ac:dyDescent="0.35">
      <c r="A614" s="53" t="s">
        <v>2747</v>
      </c>
      <c r="B614" s="53" t="s">
        <v>1136</v>
      </c>
      <c r="C614" s="55">
        <v>2.0166666666666702</v>
      </c>
      <c r="D614" s="55">
        <v>121</v>
      </c>
      <c r="E614" s="53">
        <v>11</v>
      </c>
      <c r="F614" s="53">
        <v>3</v>
      </c>
      <c r="G614" s="55">
        <v>0.27272727272727298</v>
      </c>
      <c r="H614" s="55">
        <v>11</v>
      </c>
      <c r="I614" s="55">
        <v>120</v>
      </c>
      <c r="J614" s="53" t="s">
        <v>4979</v>
      </c>
      <c r="K614" s="53" t="s">
        <v>5136</v>
      </c>
      <c r="L614" s="53" t="s">
        <v>4214</v>
      </c>
    </row>
    <row r="615" spans="1:12" ht="15" customHeight="1" x14ac:dyDescent="0.35">
      <c r="A615" s="53" t="s">
        <v>2749</v>
      </c>
      <c r="B615" s="53" t="s">
        <v>1009</v>
      </c>
      <c r="C615" s="55">
        <v>2</v>
      </c>
      <c r="D615" s="55">
        <v>120</v>
      </c>
      <c r="E615" s="53">
        <v>28</v>
      </c>
      <c r="F615" s="53">
        <v>9</v>
      </c>
      <c r="G615" s="55">
        <v>0.32142857142857201</v>
      </c>
      <c r="H615" s="55">
        <v>4.28571428571429</v>
      </c>
      <c r="I615" s="55">
        <v>120</v>
      </c>
      <c r="J615" s="53" t="s">
        <v>5137</v>
      </c>
      <c r="K615" s="53" t="s">
        <v>5138</v>
      </c>
      <c r="L615" s="53" t="s">
        <v>3907</v>
      </c>
    </row>
    <row r="616" spans="1:12" ht="15" customHeight="1" x14ac:dyDescent="0.35">
      <c r="A616" s="53" t="s">
        <v>2752</v>
      </c>
      <c r="B616" s="53" t="s">
        <v>1077</v>
      </c>
      <c r="C616" s="55">
        <v>2</v>
      </c>
      <c r="D616" s="55">
        <v>120</v>
      </c>
      <c r="E616" s="53">
        <v>24</v>
      </c>
      <c r="F616" s="53">
        <v>1</v>
      </c>
      <c r="G616" s="55">
        <v>4.1666666666666699E-2</v>
      </c>
      <c r="H616" s="55">
        <v>5</v>
      </c>
      <c r="I616" s="55">
        <v>120</v>
      </c>
      <c r="J616" s="53" t="s">
        <v>5139</v>
      </c>
      <c r="K616" s="53" t="s">
        <v>5140</v>
      </c>
      <c r="L616" s="53" t="s">
        <v>4360</v>
      </c>
    </row>
    <row r="617" spans="1:12" ht="15" customHeight="1" x14ac:dyDescent="0.35">
      <c r="A617" s="53" t="s">
        <v>2755</v>
      </c>
      <c r="B617" s="53" t="s">
        <v>1077</v>
      </c>
      <c r="C617" s="55">
        <v>2</v>
      </c>
      <c r="D617" s="55">
        <v>120</v>
      </c>
      <c r="E617" s="53">
        <v>18</v>
      </c>
      <c r="F617" s="53">
        <v>1</v>
      </c>
      <c r="G617" s="55">
        <v>5.5555555555555601E-2</v>
      </c>
      <c r="H617" s="55">
        <v>6.6666666666666696</v>
      </c>
      <c r="I617" s="55">
        <v>120</v>
      </c>
      <c r="J617" s="53" t="s">
        <v>5141</v>
      </c>
      <c r="K617" s="53" t="s">
        <v>5142</v>
      </c>
      <c r="L617" s="53" t="s">
        <v>4360</v>
      </c>
    </row>
    <row r="618" spans="1:12" ht="15" customHeight="1" x14ac:dyDescent="0.35">
      <c r="A618" s="53" t="s">
        <v>2758</v>
      </c>
      <c r="B618" s="53" t="s">
        <v>917</v>
      </c>
      <c r="C618" s="55">
        <v>2</v>
      </c>
      <c r="D618" s="55">
        <v>120</v>
      </c>
      <c r="E618" s="53">
        <v>16</v>
      </c>
      <c r="F618" s="53">
        <v>1</v>
      </c>
      <c r="G618" s="55">
        <v>6.25E-2</v>
      </c>
      <c r="H618" s="55">
        <v>7.5</v>
      </c>
      <c r="I618" s="55">
        <v>120</v>
      </c>
      <c r="J618" s="53" t="s">
        <v>5143</v>
      </c>
      <c r="K618" s="53" t="s">
        <v>5144</v>
      </c>
      <c r="L618" s="53" t="s">
        <v>3907</v>
      </c>
    </row>
    <row r="619" spans="1:12" ht="15" customHeight="1" x14ac:dyDescent="0.35">
      <c r="A619" s="53" t="s">
        <v>2761</v>
      </c>
      <c r="B619" s="53" t="s">
        <v>946</v>
      </c>
      <c r="C619" s="55">
        <v>2</v>
      </c>
      <c r="D619" s="55">
        <v>120</v>
      </c>
      <c r="E619" s="53">
        <v>15</v>
      </c>
      <c r="F619" s="53">
        <v>3</v>
      </c>
      <c r="G619" s="55">
        <v>0.2</v>
      </c>
      <c r="H619" s="55">
        <v>8</v>
      </c>
      <c r="I619" s="55">
        <v>120</v>
      </c>
      <c r="J619" s="53" t="s">
        <v>5145</v>
      </c>
      <c r="K619" s="53" t="s">
        <v>5146</v>
      </c>
      <c r="L619" s="53" t="s">
        <v>3907</v>
      </c>
    </row>
    <row r="620" spans="1:12" ht="15" customHeight="1" x14ac:dyDescent="0.35">
      <c r="A620" s="53" t="s">
        <v>2764</v>
      </c>
      <c r="B620" s="53" t="s">
        <v>1077</v>
      </c>
      <c r="C620" s="55">
        <v>2</v>
      </c>
      <c r="D620" s="55">
        <v>120</v>
      </c>
      <c r="E620" s="53">
        <v>11</v>
      </c>
      <c r="F620" s="53">
        <v>1</v>
      </c>
      <c r="G620" s="55">
        <v>9.0909090909090898E-2</v>
      </c>
      <c r="H620" s="55">
        <v>10.909090909090899</v>
      </c>
      <c r="I620" s="55">
        <v>120</v>
      </c>
      <c r="J620" s="53" t="s">
        <v>5147</v>
      </c>
      <c r="K620" s="53" t="s">
        <v>5148</v>
      </c>
      <c r="L620" s="53" t="s">
        <v>3941</v>
      </c>
    </row>
    <row r="621" spans="1:12" ht="15" customHeight="1" x14ac:dyDescent="0.35">
      <c r="A621" s="53" t="s">
        <v>2766</v>
      </c>
      <c r="B621" s="53" t="s">
        <v>1077</v>
      </c>
      <c r="C621" s="55">
        <v>2</v>
      </c>
      <c r="D621" s="55">
        <v>120</v>
      </c>
      <c r="E621" s="53">
        <v>8</v>
      </c>
      <c r="F621" s="53">
        <v>1</v>
      </c>
      <c r="G621" s="55">
        <v>0.125</v>
      </c>
      <c r="H621" s="55">
        <v>15</v>
      </c>
      <c r="I621" s="55">
        <v>120</v>
      </c>
      <c r="J621" s="53" t="s">
        <v>5149</v>
      </c>
      <c r="K621" s="53" t="s">
        <v>5150</v>
      </c>
      <c r="L621" s="53" t="s">
        <v>3924</v>
      </c>
    </row>
    <row r="622" spans="1:12" ht="15" customHeight="1" x14ac:dyDescent="0.35">
      <c r="A622" s="53" t="s">
        <v>2769</v>
      </c>
      <c r="B622" s="53" t="s">
        <v>1122</v>
      </c>
      <c r="C622" s="55">
        <v>2</v>
      </c>
      <c r="D622" s="55">
        <v>120</v>
      </c>
      <c r="E622" s="53">
        <v>6</v>
      </c>
      <c r="F622" s="53">
        <v>1</v>
      </c>
      <c r="G622" s="55">
        <v>0.16666666666666699</v>
      </c>
      <c r="H622" s="55">
        <v>20</v>
      </c>
      <c r="I622" s="55">
        <v>120</v>
      </c>
      <c r="J622" s="53" t="s">
        <v>5151</v>
      </c>
      <c r="K622" s="53" t="s">
        <v>5152</v>
      </c>
      <c r="L622" s="53" t="s">
        <v>4256</v>
      </c>
    </row>
    <row r="623" spans="1:12" ht="15" customHeight="1" x14ac:dyDescent="0.35">
      <c r="A623" s="53" t="s">
        <v>2771</v>
      </c>
      <c r="B623" s="53" t="s">
        <v>1143</v>
      </c>
      <c r="C623" s="55">
        <v>2</v>
      </c>
      <c r="D623" s="55">
        <v>120</v>
      </c>
      <c r="E623" s="53">
        <v>5</v>
      </c>
      <c r="F623" s="53">
        <v>4</v>
      </c>
      <c r="G623" s="55">
        <v>0.8</v>
      </c>
      <c r="H623" s="55">
        <v>24</v>
      </c>
      <c r="I623" s="55">
        <v>120</v>
      </c>
      <c r="J623" s="53" t="s">
        <v>5153</v>
      </c>
      <c r="K623" s="53" t="s">
        <v>5154</v>
      </c>
      <c r="L623" s="53" t="s">
        <v>4349</v>
      </c>
    </row>
    <row r="624" spans="1:12" ht="15" customHeight="1" x14ac:dyDescent="0.35">
      <c r="A624" s="53" t="s">
        <v>2774</v>
      </c>
      <c r="B624" s="53" t="s">
        <v>1009</v>
      </c>
      <c r="C624" s="55">
        <v>2</v>
      </c>
      <c r="D624" s="55">
        <v>120</v>
      </c>
      <c r="E624" s="53">
        <v>5</v>
      </c>
      <c r="F624" s="53">
        <v>2</v>
      </c>
      <c r="G624" s="55">
        <v>0.4</v>
      </c>
      <c r="H624" s="55">
        <v>24</v>
      </c>
      <c r="I624" s="55">
        <v>120</v>
      </c>
      <c r="J624" s="53" t="s">
        <v>5004</v>
      </c>
      <c r="K624" s="53" t="s">
        <v>5155</v>
      </c>
      <c r="L624" s="53" t="s">
        <v>4534</v>
      </c>
    </row>
    <row r="625" spans="1:12" ht="15" customHeight="1" x14ac:dyDescent="0.35">
      <c r="A625" s="53" t="s">
        <v>2775</v>
      </c>
      <c r="B625" s="53" t="s">
        <v>1077</v>
      </c>
      <c r="C625" s="55">
        <v>2</v>
      </c>
      <c r="D625" s="55">
        <v>120</v>
      </c>
      <c r="E625" s="53">
        <v>5</v>
      </c>
      <c r="F625" s="53">
        <v>1</v>
      </c>
      <c r="G625" s="55">
        <v>0.2</v>
      </c>
      <c r="H625" s="55">
        <v>24</v>
      </c>
      <c r="I625" s="55">
        <v>120</v>
      </c>
      <c r="J625" s="53" t="s">
        <v>5156</v>
      </c>
      <c r="K625" s="53" t="s">
        <v>5157</v>
      </c>
      <c r="L625" s="53" t="s">
        <v>4360</v>
      </c>
    </row>
    <row r="626" spans="1:12" ht="15" customHeight="1" x14ac:dyDescent="0.35">
      <c r="A626" s="53" t="s">
        <v>2777</v>
      </c>
      <c r="B626" s="53" t="s">
        <v>1659</v>
      </c>
      <c r="C626" s="55">
        <v>2</v>
      </c>
      <c r="D626" s="55">
        <v>120</v>
      </c>
      <c r="E626" s="53">
        <v>4</v>
      </c>
      <c r="F626" s="53">
        <v>2</v>
      </c>
      <c r="G626" s="55">
        <v>0.5</v>
      </c>
      <c r="H626" s="55">
        <v>30</v>
      </c>
      <c r="I626" s="55">
        <v>90</v>
      </c>
      <c r="J626" s="53" t="s">
        <v>5158</v>
      </c>
      <c r="K626" s="53" t="s">
        <v>5159</v>
      </c>
      <c r="L626" s="53" t="s">
        <v>4253</v>
      </c>
    </row>
    <row r="627" spans="1:12" ht="15" customHeight="1" x14ac:dyDescent="0.35">
      <c r="A627" s="53" t="s">
        <v>2780</v>
      </c>
      <c r="B627" s="53" t="s">
        <v>1490</v>
      </c>
      <c r="C627" s="55">
        <v>2</v>
      </c>
      <c r="D627" s="55">
        <v>120</v>
      </c>
      <c r="E627" s="53">
        <v>4</v>
      </c>
      <c r="F627" s="53">
        <v>1</v>
      </c>
      <c r="G627" s="55">
        <v>0.25</v>
      </c>
      <c r="H627" s="55">
        <v>30</v>
      </c>
      <c r="I627" s="55">
        <v>120</v>
      </c>
      <c r="J627" s="53" t="s">
        <v>5160</v>
      </c>
      <c r="K627" s="53" t="s">
        <v>5161</v>
      </c>
      <c r="L627" s="53" t="s">
        <v>4491</v>
      </c>
    </row>
    <row r="628" spans="1:12" ht="15" customHeight="1" x14ac:dyDescent="0.35">
      <c r="A628" s="53" t="s">
        <v>2782</v>
      </c>
      <c r="B628" s="53" t="s">
        <v>1582</v>
      </c>
      <c r="C628" s="55">
        <v>2</v>
      </c>
      <c r="D628" s="55">
        <v>120</v>
      </c>
      <c r="E628" s="53">
        <v>4</v>
      </c>
      <c r="F628" s="53">
        <v>2</v>
      </c>
      <c r="G628" s="55">
        <v>0.5</v>
      </c>
      <c r="H628" s="55">
        <v>30</v>
      </c>
      <c r="I628" s="55">
        <v>60</v>
      </c>
      <c r="J628" s="53" t="s">
        <v>4923</v>
      </c>
      <c r="K628" s="53" t="s">
        <v>5162</v>
      </c>
      <c r="L628" s="53" t="s">
        <v>4491</v>
      </c>
    </row>
    <row r="629" spans="1:12" ht="15" customHeight="1" x14ac:dyDescent="0.35">
      <c r="A629" s="53" t="s">
        <v>2783</v>
      </c>
      <c r="B629" s="53" t="s">
        <v>1136</v>
      </c>
      <c r="C629" s="55">
        <v>2</v>
      </c>
      <c r="D629" s="55">
        <v>120</v>
      </c>
      <c r="E629" s="53">
        <v>3</v>
      </c>
      <c r="F629" s="53">
        <v>1</v>
      </c>
      <c r="G629" s="55">
        <v>0.33333333333333298</v>
      </c>
      <c r="H629" s="55">
        <v>40</v>
      </c>
      <c r="I629" s="55">
        <v>120</v>
      </c>
      <c r="J629" s="53" t="s">
        <v>5163</v>
      </c>
      <c r="K629" s="53" t="s">
        <v>5164</v>
      </c>
      <c r="L629" s="53" t="s">
        <v>4604</v>
      </c>
    </row>
    <row r="630" spans="1:12" ht="15" customHeight="1" x14ac:dyDescent="0.35">
      <c r="A630" s="53" t="s">
        <v>2786</v>
      </c>
      <c r="B630" s="53" t="s">
        <v>1009</v>
      </c>
      <c r="C630" s="55">
        <v>2</v>
      </c>
      <c r="D630" s="55">
        <v>120</v>
      </c>
      <c r="E630" s="53">
        <v>3</v>
      </c>
      <c r="F630" s="53">
        <v>1</v>
      </c>
      <c r="G630" s="55">
        <v>0.33333333333333298</v>
      </c>
      <c r="H630" s="55">
        <v>40</v>
      </c>
      <c r="I630" s="55">
        <v>120</v>
      </c>
      <c r="J630" s="53" t="s">
        <v>5165</v>
      </c>
      <c r="K630" s="53" t="s">
        <v>5166</v>
      </c>
      <c r="L630" s="53" t="s">
        <v>4604</v>
      </c>
    </row>
    <row r="631" spans="1:12" ht="15" customHeight="1" x14ac:dyDescent="0.35">
      <c r="A631" s="53" t="s">
        <v>2788</v>
      </c>
      <c r="B631" s="53" t="s">
        <v>1490</v>
      </c>
      <c r="C631" s="55">
        <v>2</v>
      </c>
      <c r="D631" s="55">
        <v>120</v>
      </c>
      <c r="E631" s="53">
        <v>3</v>
      </c>
      <c r="F631" s="53">
        <v>1</v>
      </c>
      <c r="G631" s="55">
        <v>0.33333333333333298</v>
      </c>
      <c r="H631" s="55">
        <v>40</v>
      </c>
      <c r="I631" s="55">
        <v>120</v>
      </c>
      <c r="J631" s="53" t="s">
        <v>5117</v>
      </c>
      <c r="K631" s="53" t="s">
        <v>5167</v>
      </c>
      <c r="L631" s="53" t="s">
        <v>4871</v>
      </c>
    </row>
    <row r="632" spans="1:12" ht="15" customHeight="1" x14ac:dyDescent="0.35">
      <c r="A632" s="53" t="s">
        <v>2789</v>
      </c>
      <c r="B632" s="53" t="s">
        <v>921</v>
      </c>
      <c r="C632" s="55">
        <v>2</v>
      </c>
      <c r="D632" s="55">
        <v>120</v>
      </c>
      <c r="E632" s="53">
        <v>3</v>
      </c>
      <c r="F632" s="53">
        <v>2</v>
      </c>
      <c r="G632" s="55">
        <v>0.66666666666666696</v>
      </c>
      <c r="H632" s="55">
        <v>40</v>
      </c>
      <c r="I632" s="55">
        <v>60</v>
      </c>
      <c r="J632" s="53" t="s">
        <v>5168</v>
      </c>
      <c r="K632" s="53" t="s">
        <v>5169</v>
      </c>
      <c r="L632" s="53" t="s">
        <v>4534</v>
      </c>
    </row>
    <row r="633" spans="1:12" ht="15" customHeight="1" x14ac:dyDescent="0.35">
      <c r="A633" s="53" t="s">
        <v>2791</v>
      </c>
      <c r="B633" s="53" t="s">
        <v>2792</v>
      </c>
      <c r="C633" s="55">
        <v>2</v>
      </c>
      <c r="D633" s="55">
        <v>120</v>
      </c>
      <c r="E633" s="53">
        <v>2</v>
      </c>
      <c r="F633" s="53">
        <v>2</v>
      </c>
      <c r="G633" s="55">
        <v>1</v>
      </c>
      <c r="H633" s="55">
        <v>60</v>
      </c>
      <c r="I633" s="55">
        <v>120</v>
      </c>
      <c r="J633" s="53" t="s">
        <v>5170</v>
      </c>
      <c r="K633" s="53" t="s">
        <v>5171</v>
      </c>
      <c r="L633" s="53" t="s">
        <v>4772</v>
      </c>
    </row>
    <row r="634" spans="1:12" ht="15" customHeight="1" x14ac:dyDescent="0.35">
      <c r="A634" s="53" t="s">
        <v>2795</v>
      </c>
      <c r="B634" s="53" t="s">
        <v>1050</v>
      </c>
      <c r="C634" s="55">
        <v>2</v>
      </c>
      <c r="D634" s="55">
        <v>120</v>
      </c>
      <c r="E634" s="53">
        <v>2</v>
      </c>
      <c r="F634" s="53">
        <v>1</v>
      </c>
      <c r="G634" s="55">
        <v>0.5</v>
      </c>
      <c r="H634" s="55">
        <v>60</v>
      </c>
      <c r="I634" s="55">
        <v>120</v>
      </c>
      <c r="J634" s="53" t="s">
        <v>5127</v>
      </c>
      <c r="K634" s="53" t="s">
        <v>5172</v>
      </c>
      <c r="L634" s="53" t="s">
        <v>4253</v>
      </c>
    </row>
    <row r="635" spans="1:12" ht="15" customHeight="1" x14ac:dyDescent="0.35">
      <c r="A635" s="53" t="s">
        <v>2796</v>
      </c>
      <c r="B635" s="53" t="s">
        <v>1077</v>
      </c>
      <c r="C635" s="55">
        <v>2</v>
      </c>
      <c r="D635" s="55">
        <v>120</v>
      </c>
      <c r="E635" s="53">
        <v>2</v>
      </c>
      <c r="F635" s="53">
        <v>1</v>
      </c>
      <c r="G635" s="55">
        <v>0.5</v>
      </c>
      <c r="H635" s="55">
        <v>60</v>
      </c>
      <c r="I635" s="55">
        <v>120</v>
      </c>
      <c r="J635" s="53" t="s">
        <v>5047</v>
      </c>
      <c r="K635" s="53" t="s">
        <v>5173</v>
      </c>
      <c r="L635" s="53" t="s">
        <v>4214</v>
      </c>
    </row>
    <row r="636" spans="1:12" ht="15" customHeight="1" x14ac:dyDescent="0.35">
      <c r="A636" s="53" t="s">
        <v>2797</v>
      </c>
      <c r="B636" s="53" t="s">
        <v>1077</v>
      </c>
      <c r="C636" s="55">
        <v>2</v>
      </c>
      <c r="D636" s="55">
        <v>120</v>
      </c>
      <c r="E636" s="53">
        <v>2</v>
      </c>
      <c r="F636" s="53">
        <v>1</v>
      </c>
      <c r="G636" s="55">
        <v>0.5</v>
      </c>
      <c r="H636" s="55">
        <v>60</v>
      </c>
      <c r="I636" s="55">
        <v>120</v>
      </c>
      <c r="J636" s="53" t="s">
        <v>5174</v>
      </c>
      <c r="K636" s="53" t="s">
        <v>5175</v>
      </c>
      <c r="L636" s="53" t="s">
        <v>4360</v>
      </c>
    </row>
    <row r="637" spans="1:12" ht="15" customHeight="1" x14ac:dyDescent="0.35">
      <c r="A637" s="53" t="s">
        <v>2799</v>
      </c>
      <c r="B637" s="53" t="s">
        <v>1768</v>
      </c>
      <c r="C637" s="55">
        <v>2</v>
      </c>
      <c r="D637" s="55">
        <v>120</v>
      </c>
      <c r="E637" s="53">
        <v>2</v>
      </c>
      <c r="F637" s="53">
        <v>1</v>
      </c>
      <c r="G637" s="55">
        <v>0.5</v>
      </c>
      <c r="H637" s="55">
        <v>60</v>
      </c>
      <c r="I637" s="55">
        <v>120</v>
      </c>
      <c r="J637" s="53" t="s">
        <v>5176</v>
      </c>
      <c r="K637" s="53" t="s">
        <v>5177</v>
      </c>
      <c r="L637" s="53" t="s">
        <v>4491</v>
      </c>
    </row>
    <row r="638" spans="1:12" ht="15" customHeight="1" x14ac:dyDescent="0.35">
      <c r="A638" s="53" t="s">
        <v>2801</v>
      </c>
      <c r="B638" s="53" t="s">
        <v>963</v>
      </c>
      <c r="C638" s="55">
        <v>2</v>
      </c>
      <c r="D638" s="55">
        <v>120</v>
      </c>
      <c r="E638" s="53">
        <v>1</v>
      </c>
      <c r="F638" s="53">
        <v>1</v>
      </c>
      <c r="G638" s="55">
        <v>1</v>
      </c>
      <c r="H638" s="55">
        <v>120</v>
      </c>
      <c r="I638" s="55">
        <v>120</v>
      </c>
      <c r="J638" s="53" t="s">
        <v>5178</v>
      </c>
      <c r="K638" s="53" t="s">
        <v>5179</v>
      </c>
      <c r="L638" s="53" t="s">
        <v>4686</v>
      </c>
    </row>
    <row r="639" spans="1:12" ht="15" customHeight="1" x14ac:dyDescent="0.35">
      <c r="A639" s="53" t="s">
        <v>2804</v>
      </c>
      <c r="B639" s="53" t="s">
        <v>1143</v>
      </c>
      <c r="C639" s="55">
        <v>2</v>
      </c>
      <c r="D639" s="55">
        <v>120</v>
      </c>
      <c r="E639" s="53">
        <v>1</v>
      </c>
      <c r="F639" s="53">
        <v>1</v>
      </c>
      <c r="G639" s="55">
        <v>1</v>
      </c>
      <c r="H639" s="55">
        <v>120</v>
      </c>
      <c r="I639" s="55">
        <v>120</v>
      </c>
      <c r="J639" s="53" t="s">
        <v>4770</v>
      </c>
      <c r="K639" s="53" t="s">
        <v>5180</v>
      </c>
      <c r="L639" s="53" t="s">
        <v>4686</v>
      </c>
    </row>
    <row r="640" spans="1:12" ht="15" customHeight="1" x14ac:dyDescent="0.35">
      <c r="A640" s="53" t="s">
        <v>2805</v>
      </c>
      <c r="B640" s="53" t="s">
        <v>963</v>
      </c>
      <c r="C640" s="55">
        <v>1.88333333333333</v>
      </c>
      <c r="D640" s="55">
        <v>113</v>
      </c>
      <c r="E640" s="53">
        <v>7</v>
      </c>
      <c r="F640" s="53">
        <v>1</v>
      </c>
      <c r="G640" s="55">
        <v>0.14285714285714299</v>
      </c>
      <c r="H640" s="55">
        <v>16.1428571428571</v>
      </c>
      <c r="I640" s="55">
        <v>113</v>
      </c>
      <c r="J640" s="53" t="s">
        <v>4549</v>
      </c>
      <c r="K640" s="53" t="s">
        <v>5181</v>
      </c>
      <c r="L640" s="53" t="s">
        <v>4571</v>
      </c>
    </row>
    <row r="641" spans="1:12" ht="15" customHeight="1" x14ac:dyDescent="0.35">
      <c r="A641" s="53" t="s">
        <v>2807</v>
      </c>
      <c r="B641" s="53" t="s">
        <v>1050</v>
      </c>
      <c r="C641" s="55">
        <v>1.86666666666667</v>
      </c>
      <c r="D641" s="55">
        <v>112</v>
      </c>
      <c r="E641" s="53">
        <v>7</v>
      </c>
      <c r="F641" s="53">
        <v>2</v>
      </c>
      <c r="G641" s="55">
        <v>0.28571428571428598</v>
      </c>
      <c r="H641" s="55">
        <v>16</v>
      </c>
      <c r="I641" s="55">
        <v>100</v>
      </c>
      <c r="J641" s="53" t="s">
        <v>5182</v>
      </c>
      <c r="K641" s="53" t="s">
        <v>5183</v>
      </c>
      <c r="L641" s="53" t="s">
        <v>3941</v>
      </c>
    </row>
    <row r="642" spans="1:12" ht="15" customHeight="1" x14ac:dyDescent="0.35">
      <c r="A642" s="53" t="s">
        <v>2809</v>
      </c>
      <c r="B642" s="53" t="s">
        <v>1659</v>
      </c>
      <c r="C642" s="55">
        <v>1.8333333333333299</v>
      </c>
      <c r="D642" s="55">
        <v>110</v>
      </c>
      <c r="E642" s="53">
        <v>13</v>
      </c>
      <c r="F642" s="53">
        <v>2</v>
      </c>
      <c r="G642" s="55">
        <v>0.15384615384615399</v>
      </c>
      <c r="H642" s="55">
        <v>8.4615384615384599</v>
      </c>
      <c r="I642" s="55">
        <v>70</v>
      </c>
      <c r="J642" s="53" t="s">
        <v>5184</v>
      </c>
      <c r="K642" s="53" t="s">
        <v>5185</v>
      </c>
      <c r="L642" s="53" t="s">
        <v>4253</v>
      </c>
    </row>
    <row r="643" spans="1:12" ht="15" customHeight="1" x14ac:dyDescent="0.35">
      <c r="A643" s="53" t="s">
        <v>2812</v>
      </c>
      <c r="B643" s="53" t="s">
        <v>989</v>
      </c>
      <c r="C643" s="55">
        <v>1.75</v>
      </c>
      <c r="D643" s="55">
        <v>105</v>
      </c>
      <c r="E643" s="53">
        <v>4</v>
      </c>
      <c r="F643" s="53">
        <v>2</v>
      </c>
      <c r="G643" s="55">
        <v>0.5</v>
      </c>
      <c r="H643" s="55">
        <v>26.25</v>
      </c>
      <c r="I643" s="55">
        <v>90</v>
      </c>
      <c r="J643" s="53" t="s">
        <v>5186</v>
      </c>
      <c r="K643" s="53" t="s">
        <v>5187</v>
      </c>
      <c r="L643" s="53" t="s">
        <v>4905</v>
      </c>
    </row>
    <row r="644" spans="1:12" ht="15" customHeight="1" x14ac:dyDescent="0.35">
      <c r="A644" s="53" t="s">
        <v>2815</v>
      </c>
      <c r="B644" s="53" t="s">
        <v>921</v>
      </c>
      <c r="C644" s="55">
        <v>1.7</v>
      </c>
      <c r="D644" s="55">
        <v>102</v>
      </c>
      <c r="E644" s="53">
        <v>3</v>
      </c>
      <c r="F644" s="53">
        <v>1</v>
      </c>
      <c r="G644" s="55">
        <v>0.33333333333333298</v>
      </c>
      <c r="H644" s="55">
        <v>34</v>
      </c>
      <c r="I644" s="55">
        <v>102</v>
      </c>
      <c r="J644" s="53" t="s">
        <v>5188</v>
      </c>
      <c r="K644" s="53" t="s">
        <v>5189</v>
      </c>
      <c r="L644" s="53" t="s">
        <v>4839</v>
      </c>
    </row>
    <row r="645" spans="1:12" ht="15" customHeight="1" x14ac:dyDescent="0.35">
      <c r="A645" s="53" t="s">
        <v>2818</v>
      </c>
      <c r="B645" s="53" t="s">
        <v>1077</v>
      </c>
      <c r="C645" s="55">
        <v>1.6666666666666701</v>
      </c>
      <c r="D645" s="55">
        <v>100</v>
      </c>
      <c r="E645" s="53">
        <v>29</v>
      </c>
      <c r="F645" s="53">
        <v>1</v>
      </c>
      <c r="G645" s="55">
        <v>3.4482758620689703E-2</v>
      </c>
      <c r="H645" s="55">
        <v>3.4482758620689702</v>
      </c>
      <c r="I645" s="55">
        <v>100</v>
      </c>
      <c r="J645" s="53" t="s">
        <v>5190</v>
      </c>
      <c r="K645" s="53" t="s">
        <v>5191</v>
      </c>
      <c r="L645" s="53" t="s">
        <v>3941</v>
      </c>
    </row>
    <row r="646" spans="1:12" ht="15" customHeight="1" x14ac:dyDescent="0.35">
      <c r="A646" s="53" t="s">
        <v>2821</v>
      </c>
      <c r="B646" s="53" t="s">
        <v>1768</v>
      </c>
      <c r="C646" s="55">
        <v>1.6666666666666701</v>
      </c>
      <c r="D646" s="55">
        <v>100</v>
      </c>
      <c r="E646" s="53">
        <v>9</v>
      </c>
      <c r="F646" s="53">
        <v>1</v>
      </c>
      <c r="G646" s="55">
        <v>0.11111111111111099</v>
      </c>
      <c r="H646" s="55">
        <v>11.1111111111111</v>
      </c>
      <c r="I646" s="55">
        <v>100</v>
      </c>
      <c r="J646" s="53" t="s">
        <v>5071</v>
      </c>
      <c r="K646" s="53" t="s">
        <v>5192</v>
      </c>
      <c r="L646" s="53" t="s">
        <v>4571</v>
      </c>
    </row>
    <row r="647" spans="1:12" ht="15" customHeight="1" x14ac:dyDescent="0.35">
      <c r="A647" s="53" t="s">
        <v>2823</v>
      </c>
      <c r="B647" s="53" t="s">
        <v>1101</v>
      </c>
      <c r="C647" s="55">
        <v>1.6666666666666701</v>
      </c>
      <c r="D647" s="55">
        <v>100</v>
      </c>
      <c r="E647" s="53">
        <v>2</v>
      </c>
      <c r="F647" s="53">
        <v>2</v>
      </c>
      <c r="G647" s="55">
        <v>1</v>
      </c>
      <c r="H647" s="55">
        <v>50</v>
      </c>
      <c r="I647" s="55">
        <v>60</v>
      </c>
      <c r="J647" s="53" t="s">
        <v>5193</v>
      </c>
      <c r="K647" s="53" t="s">
        <v>5194</v>
      </c>
      <c r="L647" s="53" t="s">
        <v>4673</v>
      </c>
    </row>
    <row r="648" spans="1:12" ht="15" customHeight="1" x14ac:dyDescent="0.35">
      <c r="A648" s="53" t="s">
        <v>2826</v>
      </c>
      <c r="B648" s="53" t="s">
        <v>989</v>
      </c>
      <c r="C648" s="55">
        <v>1.6666666666666701</v>
      </c>
      <c r="D648" s="55">
        <v>100</v>
      </c>
      <c r="E648" s="53">
        <v>1</v>
      </c>
      <c r="F648" s="53">
        <v>1</v>
      </c>
      <c r="G648" s="55">
        <v>1</v>
      </c>
      <c r="H648" s="55">
        <v>100</v>
      </c>
      <c r="I648" s="55">
        <v>100</v>
      </c>
      <c r="J648" s="53" t="s">
        <v>5099</v>
      </c>
      <c r="K648" s="53" t="s">
        <v>5195</v>
      </c>
      <c r="L648" s="53" t="s">
        <v>4360</v>
      </c>
    </row>
    <row r="649" spans="1:12" ht="15" customHeight="1" x14ac:dyDescent="0.35">
      <c r="A649" s="53" t="s">
        <v>2828</v>
      </c>
      <c r="B649" s="53" t="s">
        <v>1731</v>
      </c>
      <c r="C649" s="55">
        <v>1.6666666666666701</v>
      </c>
      <c r="D649" s="55">
        <v>100</v>
      </c>
      <c r="E649" s="53">
        <v>1</v>
      </c>
      <c r="F649" s="53">
        <v>1</v>
      </c>
      <c r="G649" s="55">
        <v>1</v>
      </c>
      <c r="H649" s="55">
        <v>100</v>
      </c>
      <c r="I649" s="55">
        <v>100</v>
      </c>
      <c r="J649" s="53" t="s">
        <v>5196</v>
      </c>
      <c r="K649" s="53" t="s">
        <v>5197</v>
      </c>
      <c r="L649" s="53" t="s">
        <v>4673</v>
      </c>
    </row>
    <row r="650" spans="1:12" ht="15" customHeight="1" x14ac:dyDescent="0.35">
      <c r="A650" s="53" t="s">
        <v>2830</v>
      </c>
      <c r="B650" s="53" t="s">
        <v>1136</v>
      </c>
      <c r="C650" s="55">
        <v>1.5166666666666699</v>
      </c>
      <c r="D650" s="55">
        <v>91</v>
      </c>
      <c r="E650" s="53">
        <v>7</v>
      </c>
      <c r="F650" s="53">
        <v>2</v>
      </c>
      <c r="G650" s="55">
        <v>0.28571428571428598</v>
      </c>
      <c r="H650" s="55">
        <v>13</v>
      </c>
      <c r="I650" s="55">
        <v>90</v>
      </c>
      <c r="J650" s="53" t="s">
        <v>4791</v>
      </c>
      <c r="K650" s="53" t="s">
        <v>5198</v>
      </c>
      <c r="L650" s="53" t="s">
        <v>4763</v>
      </c>
    </row>
    <row r="651" spans="1:12" ht="15" customHeight="1" x14ac:dyDescent="0.35">
      <c r="A651" s="53" t="s">
        <v>2832</v>
      </c>
      <c r="B651" s="53" t="s">
        <v>1299</v>
      </c>
      <c r="C651" s="55">
        <v>1.5</v>
      </c>
      <c r="D651" s="55">
        <v>90</v>
      </c>
      <c r="E651" s="53">
        <v>20</v>
      </c>
      <c r="F651" s="53">
        <v>2</v>
      </c>
      <c r="G651" s="55">
        <v>0.1</v>
      </c>
      <c r="H651" s="55">
        <v>4.5</v>
      </c>
      <c r="I651" s="55">
        <v>60</v>
      </c>
      <c r="J651" s="53" t="s">
        <v>5199</v>
      </c>
      <c r="K651" s="53" t="s">
        <v>5200</v>
      </c>
      <c r="L651" s="53" t="s">
        <v>4253</v>
      </c>
    </row>
    <row r="652" spans="1:12" ht="15" customHeight="1" x14ac:dyDescent="0.35">
      <c r="A652" s="53" t="s">
        <v>2835</v>
      </c>
      <c r="B652" s="53" t="s">
        <v>921</v>
      </c>
      <c r="C652" s="55">
        <v>1.5</v>
      </c>
      <c r="D652" s="55">
        <v>90</v>
      </c>
      <c r="E652" s="53">
        <v>18</v>
      </c>
      <c r="F652" s="53">
        <v>3</v>
      </c>
      <c r="G652" s="55">
        <v>0.16666666666666699</v>
      </c>
      <c r="H652" s="55">
        <v>5</v>
      </c>
      <c r="I652" s="55">
        <v>60</v>
      </c>
      <c r="J652" s="53" t="s">
        <v>5201</v>
      </c>
      <c r="K652" s="53" t="s">
        <v>5202</v>
      </c>
      <c r="L652" s="53" t="s">
        <v>3907</v>
      </c>
    </row>
    <row r="653" spans="1:12" ht="15" customHeight="1" x14ac:dyDescent="0.35">
      <c r="A653" s="53" t="s">
        <v>2838</v>
      </c>
      <c r="B653" s="53" t="s">
        <v>909</v>
      </c>
      <c r="C653" s="55">
        <v>1.5</v>
      </c>
      <c r="D653" s="55">
        <v>90</v>
      </c>
      <c r="E653" s="53">
        <v>5</v>
      </c>
      <c r="F653" s="53">
        <v>2</v>
      </c>
      <c r="G653" s="55">
        <v>0.4</v>
      </c>
      <c r="H653" s="55">
        <v>18</v>
      </c>
      <c r="I653" s="55">
        <v>90</v>
      </c>
      <c r="J653" s="53" t="s">
        <v>5203</v>
      </c>
      <c r="K653" s="53" t="s">
        <v>5204</v>
      </c>
      <c r="L653" s="53" t="s">
        <v>4604</v>
      </c>
    </row>
    <row r="654" spans="1:12" ht="15" customHeight="1" x14ac:dyDescent="0.35">
      <c r="A654" s="53" t="s">
        <v>2841</v>
      </c>
      <c r="B654" s="53" t="s">
        <v>989</v>
      </c>
      <c r="C654" s="55">
        <v>1.5</v>
      </c>
      <c r="D654" s="55">
        <v>90</v>
      </c>
      <c r="E654" s="53">
        <v>5</v>
      </c>
      <c r="F654" s="53">
        <v>2</v>
      </c>
      <c r="G654" s="55">
        <v>0.4</v>
      </c>
      <c r="H654" s="55">
        <v>18</v>
      </c>
      <c r="I654" s="55">
        <v>90</v>
      </c>
      <c r="J654" s="53" t="s">
        <v>5205</v>
      </c>
      <c r="K654" s="53" t="s">
        <v>5206</v>
      </c>
      <c r="L654" s="53" t="s">
        <v>3924</v>
      </c>
    </row>
    <row r="655" spans="1:12" ht="15" customHeight="1" x14ac:dyDescent="0.35">
      <c r="A655" s="53" t="s">
        <v>2843</v>
      </c>
      <c r="B655" s="53" t="s">
        <v>989</v>
      </c>
      <c r="C655" s="55">
        <v>1.5</v>
      </c>
      <c r="D655" s="55">
        <v>90</v>
      </c>
      <c r="E655" s="53">
        <v>2</v>
      </c>
      <c r="F655" s="53">
        <v>1</v>
      </c>
      <c r="G655" s="55">
        <v>0.5</v>
      </c>
      <c r="H655" s="55">
        <v>45</v>
      </c>
      <c r="I655" s="55">
        <v>90</v>
      </c>
      <c r="J655" s="53" t="s">
        <v>4973</v>
      </c>
      <c r="K655" s="53" t="s">
        <v>5207</v>
      </c>
      <c r="L655" s="53" t="s">
        <v>4253</v>
      </c>
    </row>
    <row r="656" spans="1:12" ht="15" customHeight="1" x14ac:dyDescent="0.35">
      <c r="A656" s="53" t="s">
        <v>2845</v>
      </c>
      <c r="B656" s="53" t="s">
        <v>1101</v>
      </c>
      <c r="C656" s="55">
        <v>1.5</v>
      </c>
      <c r="D656" s="55">
        <v>90</v>
      </c>
      <c r="E656" s="53">
        <v>1</v>
      </c>
      <c r="F656" s="53">
        <v>1</v>
      </c>
      <c r="G656" s="55">
        <v>1</v>
      </c>
      <c r="H656" s="55">
        <v>90</v>
      </c>
      <c r="I656" s="55">
        <v>90</v>
      </c>
      <c r="J656" s="53" t="s">
        <v>4684</v>
      </c>
      <c r="K656" s="53" t="s">
        <v>5208</v>
      </c>
      <c r="L656" s="53" t="s">
        <v>4871</v>
      </c>
    </row>
    <row r="657" spans="1:12" ht="15" customHeight="1" x14ac:dyDescent="0.35">
      <c r="A657" s="53" t="s">
        <v>2847</v>
      </c>
      <c r="B657" s="53" t="s">
        <v>909</v>
      </c>
      <c r="C657" s="55">
        <v>1.5</v>
      </c>
      <c r="D657" s="55">
        <v>90</v>
      </c>
      <c r="E657" s="53">
        <v>1</v>
      </c>
      <c r="F657" s="53">
        <v>1</v>
      </c>
      <c r="G657" s="55">
        <v>1</v>
      </c>
      <c r="H657" s="55">
        <v>90</v>
      </c>
      <c r="I657" s="55">
        <v>90</v>
      </c>
      <c r="J657" s="53" t="s">
        <v>5067</v>
      </c>
      <c r="K657" s="53" t="s">
        <v>5209</v>
      </c>
      <c r="L657" s="53" t="s">
        <v>4360</v>
      </c>
    </row>
    <row r="658" spans="1:12" ht="15" customHeight="1" x14ac:dyDescent="0.35">
      <c r="A658" s="53" t="s">
        <v>2848</v>
      </c>
      <c r="B658" s="53" t="s">
        <v>946</v>
      </c>
      <c r="C658" s="55">
        <v>1.4833333333333301</v>
      </c>
      <c r="D658" s="55">
        <v>89</v>
      </c>
      <c r="E658" s="53">
        <v>22</v>
      </c>
      <c r="F658" s="53">
        <v>7</v>
      </c>
      <c r="G658" s="55">
        <v>0.31818181818181801</v>
      </c>
      <c r="H658" s="55">
        <v>4.0454545454545503</v>
      </c>
      <c r="I658" s="55">
        <v>89</v>
      </c>
      <c r="J658" s="53" t="s">
        <v>5210</v>
      </c>
      <c r="K658" s="53" t="s">
        <v>5211</v>
      </c>
      <c r="L658" s="53" t="s">
        <v>3907</v>
      </c>
    </row>
    <row r="659" spans="1:12" ht="15" customHeight="1" x14ac:dyDescent="0.35">
      <c r="A659" s="53" t="s">
        <v>2851</v>
      </c>
      <c r="B659" s="53" t="s">
        <v>1136</v>
      </c>
      <c r="C659" s="55">
        <v>1.4166666666666701</v>
      </c>
      <c r="D659" s="55">
        <v>85</v>
      </c>
      <c r="E659" s="53">
        <v>8</v>
      </c>
      <c r="F659" s="53">
        <v>2</v>
      </c>
      <c r="G659" s="55">
        <v>0.25</v>
      </c>
      <c r="H659" s="55">
        <v>10.625</v>
      </c>
      <c r="I659" s="55">
        <v>60</v>
      </c>
      <c r="J659" s="53" t="s">
        <v>5081</v>
      </c>
      <c r="K659" s="53" t="s">
        <v>5212</v>
      </c>
      <c r="L659" s="53" t="s">
        <v>4052</v>
      </c>
    </row>
    <row r="660" spans="1:12" ht="15" customHeight="1" x14ac:dyDescent="0.35">
      <c r="A660" s="53" t="s">
        <v>2853</v>
      </c>
      <c r="B660" s="53" t="s">
        <v>1122</v>
      </c>
      <c r="C660" s="55">
        <v>1.36666666666667</v>
      </c>
      <c r="D660" s="55">
        <v>82</v>
      </c>
      <c r="E660" s="53">
        <v>3</v>
      </c>
      <c r="F660" s="53">
        <v>2</v>
      </c>
      <c r="G660" s="55">
        <v>0.66666666666666696</v>
      </c>
      <c r="H660" s="55">
        <v>27.3333333333333</v>
      </c>
      <c r="I660" s="55">
        <v>60</v>
      </c>
      <c r="J660" s="53" t="s">
        <v>5213</v>
      </c>
      <c r="K660" s="53" t="s">
        <v>5214</v>
      </c>
      <c r="L660" s="53" t="s">
        <v>3941</v>
      </c>
    </row>
    <row r="661" spans="1:12" ht="15" customHeight="1" x14ac:dyDescent="0.35">
      <c r="A661" s="53" t="s">
        <v>2856</v>
      </c>
      <c r="B661" s="53" t="s">
        <v>946</v>
      </c>
      <c r="C661" s="55">
        <v>1.35</v>
      </c>
      <c r="D661" s="55">
        <v>81</v>
      </c>
      <c r="E661" s="53">
        <v>1</v>
      </c>
      <c r="F661" s="53">
        <v>1</v>
      </c>
      <c r="G661" s="55">
        <v>1</v>
      </c>
      <c r="H661" s="55">
        <v>81</v>
      </c>
      <c r="I661" s="55">
        <v>81</v>
      </c>
      <c r="J661" s="53" t="s">
        <v>4770</v>
      </c>
      <c r="K661" s="53" t="s">
        <v>5215</v>
      </c>
      <c r="L661" s="53" t="s">
        <v>4772</v>
      </c>
    </row>
    <row r="662" spans="1:12" ht="15" customHeight="1" x14ac:dyDescent="0.35">
      <c r="A662" s="53" t="s">
        <v>2858</v>
      </c>
      <c r="B662" s="53" t="s">
        <v>959</v>
      </c>
      <c r="C662" s="55">
        <v>1.3333333333333299</v>
      </c>
      <c r="D662" s="55">
        <v>80</v>
      </c>
      <c r="E662" s="53">
        <v>14</v>
      </c>
      <c r="F662" s="53">
        <v>2</v>
      </c>
      <c r="G662" s="55">
        <v>0.14285714285714299</v>
      </c>
      <c r="H662" s="55">
        <v>5.71428571428571</v>
      </c>
      <c r="I662" s="55">
        <v>60</v>
      </c>
      <c r="J662" s="53" t="s">
        <v>5216</v>
      </c>
      <c r="K662" s="53" t="s">
        <v>5217</v>
      </c>
      <c r="L662" s="53" t="s">
        <v>3941</v>
      </c>
    </row>
    <row r="663" spans="1:12" ht="15" customHeight="1" x14ac:dyDescent="0.35">
      <c r="A663" s="53" t="s">
        <v>2861</v>
      </c>
      <c r="B663" s="53" t="s">
        <v>1070</v>
      </c>
      <c r="C663" s="55">
        <v>1.3333333333333299</v>
      </c>
      <c r="D663" s="55">
        <v>80</v>
      </c>
      <c r="E663" s="53">
        <v>5</v>
      </c>
      <c r="F663" s="53">
        <v>3</v>
      </c>
      <c r="G663" s="55">
        <v>0.6</v>
      </c>
      <c r="H663" s="55">
        <v>16</v>
      </c>
      <c r="I663" s="55">
        <v>30</v>
      </c>
      <c r="J663" s="53" t="s">
        <v>5218</v>
      </c>
      <c r="K663" s="53" t="s">
        <v>5219</v>
      </c>
      <c r="L663" s="53" t="s">
        <v>4534</v>
      </c>
    </row>
    <row r="664" spans="1:12" ht="15" customHeight="1" x14ac:dyDescent="0.35">
      <c r="A664" s="53" t="s">
        <v>2864</v>
      </c>
      <c r="B664" s="53" t="s">
        <v>989</v>
      </c>
      <c r="C664" s="55">
        <v>1.3333333333333299</v>
      </c>
      <c r="D664" s="55">
        <v>80</v>
      </c>
      <c r="E664" s="53">
        <v>1</v>
      </c>
      <c r="F664" s="53">
        <v>1</v>
      </c>
      <c r="G664" s="55">
        <v>1</v>
      </c>
      <c r="H664" s="55">
        <v>80</v>
      </c>
      <c r="I664" s="55">
        <v>80</v>
      </c>
      <c r="J664" s="53" t="s">
        <v>5220</v>
      </c>
      <c r="K664" s="53" t="s">
        <v>5221</v>
      </c>
      <c r="L664" s="53" t="s">
        <v>4360</v>
      </c>
    </row>
    <row r="665" spans="1:12" ht="15" customHeight="1" x14ac:dyDescent="0.35">
      <c r="A665" s="53" t="s">
        <v>2867</v>
      </c>
      <c r="B665" s="53" t="s">
        <v>959</v>
      </c>
      <c r="C665" s="55">
        <v>1.25</v>
      </c>
      <c r="D665" s="55">
        <v>75</v>
      </c>
      <c r="E665" s="53">
        <v>15</v>
      </c>
      <c r="F665" s="53">
        <v>2</v>
      </c>
      <c r="G665" s="55">
        <v>0.133333333333333</v>
      </c>
      <c r="H665" s="55">
        <v>5</v>
      </c>
      <c r="I665" s="55">
        <v>60</v>
      </c>
      <c r="J665" s="53" t="s">
        <v>5222</v>
      </c>
      <c r="K665" s="53" t="s">
        <v>5223</v>
      </c>
      <c r="L665" s="53" t="s">
        <v>3941</v>
      </c>
    </row>
    <row r="666" spans="1:12" ht="15" customHeight="1" x14ac:dyDescent="0.35">
      <c r="A666" s="53" t="s">
        <v>2870</v>
      </c>
      <c r="B666" s="53" t="s">
        <v>1646</v>
      </c>
      <c r="C666" s="55">
        <v>1.25</v>
      </c>
      <c r="D666" s="55">
        <v>75</v>
      </c>
      <c r="E666" s="53">
        <v>3</v>
      </c>
      <c r="F666" s="53">
        <v>2</v>
      </c>
      <c r="G666" s="55">
        <v>0.66666666666666696</v>
      </c>
      <c r="H666" s="55">
        <v>25</v>
      </c>
      <c r="I666" s="55">
        <v>60</v>
      </c>
      <c r="J666" s="53" t="s">
        <v>5224</v>
      </c>
      <c r="K666" s="53" t="s">
        <v>5225</v>
      </c>
      <c r="L666" s="53" t="s">
        <v>4253</v>
      </c>
    </row>
    <row r="667" spans="1:12" ht="15" customHeight="1" x14ac:dyDescent="0.35">
      <c r="A667" s="53" t="s">
        <v>2873</v>
      </c>
      <c r="B667" s="53" t="s">
        <v>1077</v>
      </c>
      <c r="C667" s="55">
        <v>1.18333333333333</v>
      </c>
      <c r="D667" s="55">
        <v>71</v>
      </c>
      <c r="E667" s="53">
        <v>25</v>
      </c>
      <c r="F667" s="53">
        <v>1</v>
      </c>
      <c r="G667" s="55">
        <v>0.04</v>
      </c>
      <c r="H667" s="55">
        <v>2.84</v>
      </c>
      <c r="I667" s="55">
        <v>71</v>
      </c>
      <c r="J667" s="53" t="s">
        <v>5226</v>
      </c>
      <c r="K667" s="53" t="s">
        <v>5227</v>
      </c>
      <c r="L667" s="53" t="s">
        <v>3941</v>
      </c>
    </row>
    <row r="668" spans="1:12" ht="15" customHeight="1" x14ac:dyDescent="0.35">
      <c r="A668" s="53" t="s">
        <v>2876</v>
      </c>
      <c r="B668" s="53" t="s">
        <v>989</v>
      </c>
      <c r="C668" s="55">
        <v>1.1666666666666701</v>
      </c>
      <c r="D668" s="55">
        <v>70</v>
      </c>
      <c r="E668" s="53">
        <v>8</v>
      </c>
      <c r="F668" s="53">
        <v>1</v>
      </c>
      <c r="G668" s="55">
        <v>0.125</v>
      </c>
      <c r="H668" s="55">
        <v>8.75</v>
      </c>
      <c r="I668" s="55">
        <v>70</v>
      </c>
      <c r="J668" s="53" t="s">
        <v>5228</v>
      </c>
      <c r="K668" s="53" t="s">
        <v>5229</v>
      </c>
      <c r="L668" s="53" t="s">
        <v>4165</v>
      </c>
    </row>
    <row r="669" spans="1:12" ht="15" customHeight="1" x14ac:dyDescent="0.35">
      <c r="A669" s="53" t="s">
        <v>2879</v>
      </c>
      <c r="B669" s="53" t="s">
        <v>909</v>
      </c>
      <c r="C669" s="55">
        <v>1.0833333333333299</v>
      </c>
      <c r="D669" s="55">
        <v>65</v>
      </c>
      <c r="E669" s="53">
        <v>1</v>
      </c>
      <c r="F669" s="53">
        <v>1</v>
      </c>
      <c r="G669" s="55">
        <v>1</v>
      </c>
      <c r="H669" s="55">
        <v>65</v>
      </c>
      <c r="I669" s="55">
        <v>65</v>
      </c>
      <c r="J669" s="53" t="s">
        <v>4927</v>
      </c>
      <c r="K669" s="53" t="s">
        <v>5230</v>
      </c>
      <c r="L669" s="53" t="s">
        <v>4871</v>
      </c>
    </row>
    <row r="670" spans="1:12" ht="15" customHeight="1" x14ac:dyDescent="0.35">
      <c r="A670" s="53" t="s">
        <v>2881</v>
      </c>
      <c r="B670" s="53" t="s">
        <v>1143</v>
      </c>
      <c r="C670" s="55">
        <v>1.0166666666666699</v>
      </c>
      <c r="D670" s="55">
        <v>61</v>
      </c>
      <c r="E670" s="53">
        <v>12</v>
      </c>
      <c r="F670" s="53">
        <v>3</v>
      </c>
      <c r="G670" s="55">
        <v>0.25</v>
      </c>
      <c r="H670" s="55">
        <v>5.0833333333333304</v>
      </c>
      <c r="I670" s="55">
        <v>60</v>
      </c>
      <c r="J670" s="53" t="s">
        <v>5231</v>
      </c>
      <c r="K670" s="53" t="s">
        <v>5232</v>
      </c>
      <c r="L670" s="53" t="s">
        <v>3907</v>
      </c>
    </row>
    <row r="671" spans="1:12" ht="15" customHeight="1" x14ac:dyDescent="0.35">
      <c r="A671" s="53" t="s">
        <v>2884</v>
      </c>
      <c r="B671" s="53" t="s">
        <v>989</v>
      </c>
      <c r="C671" s="55">
        <v>1</v>
      </c>
      <c r="D671" s="55">
        <v>60</v>
      </c>
      <c r="E671" s="53">
        <v>22</v>
      </c>
      <c r="F671" s="53">
        <v>1</v>
      </c>
      <c r="G671" s="55">
        <v>4.5454545454545497E-2</v>
      </c>
      <c r="H671" s="55">
        <v>2.7272727272727302</v>
      </c>
      <c r="I671" s="55">
        <v>60</v>
      </c>
      <c r="J671" s="53" t="s">
        <v>5233</v>
      </c>
      <c r="K671" s="53" t="s">
        <v>5234</v>
      </c>
      <c r="L671" s="53" t="s">
        <v>3907</v>
      </c>
    </row>
    <row r="672" spans="1:12" ht="15" customHeight="1" x14ac:dyDescent="0.35">
      <c r="A672" s="53" t="s">
        <v>2887</v>
      </c>
      <c r="B672" s="53" t="s">
        <v>917</v>
      </c>
      <c r="C672" s="55">
        <v>1</v>
      </c>
      <c r="D672" s="55">
        <v>60</v>
      </c>
      <c r="E672" s="53">
        <v>14</v>
      </c>
      <c r="F672" s="53">
        <v>1</v>
      </c>
      <c r="G672" s="55">
        <v>7.1428571428571397E-2</v>
      </c>
      <c r="H672" s="55">
        <v>4.28571428571429</v>
      </c>
      <c r="I672" s="55">
        <v>60</v>
      </c>
      <c r="J672" s="53" t="s">
        <v>5235</v>
      </c>
      <c r="K672" s="53" t="s">
        <v>5236</v>
      </c>
      <c r="L672" s="53" t="s">
        <v>3907</v>
      </c>
    </row>
    <row r="673" spans="1:12" ht="15" customHeight="1" x14ac:dyDescent="0.35">
      <c r="A673" s="53" t="s">
        <v>2890</v>
      </c>
      <c r="B673" s="53" t="s">
        <v>913</v>
      </c>
      <c r="C673" s="55">
        <v>1</v>
      </c>
      <c r="D673" s="55">
        <v>60</v>
      </c>
      <c r="E673" s="53">
        <v>13</v>
      </c>
      <c r="F673" s="53">
        <v>1</v>
      </c>
      <c r="G673" s="55">
        <v>7.69230769230769E-2</v>
      </c>
      <c r="H673" s="55">
        <v>4.6153846153846203</v>
      </c>
      <c r="I673" s="55">
        <v>60</v>
      </c>
      <c r="J673" s="53" t="s">
        <v>5237</v>
      </c>
      <c r="K673" s="53" t="s">
        <v>5238</v>
      </c>
      <c r="L673" s="53" t="s">
        <v>3907</v>
      </c>
    </row>
    <row r="674" spans="1:12" ht="15" customHeight="1" x14ac:dyDescent="0.35">
      <c r="A674" s="53" t="s">
        <v>2893</v>
      </c>
      <c r="B674" s="53" t="s">
        <v>1077</v>
      </c>
      <c r="C674" s="55">
        <v>1</v>
      </c>
      <c r="D674" s="55">
        <v>60</v>
      </c>
      <c r="E674" s="53">
        <v>13</v>
      </c>
      <c r="F674" s="53">
        <v>1</v>
      </c>
      <c r="G674" s="55">
        <v>7.69230769230769E-2</v>
      </c>
      <c r="H674" s="55">
        <v>4.6153846153846203</v>
      </c>
      <c r="I674" s="55">
        <v>60</v>
      </c>
      <c r="J674" s="53" t="s">
        <v>5239</v>
      </c>
      <c r="K674" s="53" t="s">
        <v>5240</v>
      </c>
      <c r="L674" s="53" t="s">
        <v>4360</v>
      </c>
    </row>
    <row r="675" spans="1:12" ht="15" customHeight="1" x14ac:dyDescent="0.35">
      <c r="A675" s="53" t="s">
        <v>2895</v>
      </c>
      <c r="B675" s="53" t="s">
        <v>1084</v>
      </c>
      <c r="C675" s="55">
        <v>1</v>
      </c>
      <c r="D675" s="55">
        <v>60</v>
      </c>
      <c r="E675" s="53">
        <v>12</v>
      </c>
      <c r="F675" s="53">
        <v>1</v>
      </c>
      <c r="G675" s="55">
        <v>8.3333333333333301E-2</v>
      </c>
      <c r="H675" s="55">
        <v>5</v>
      </c>
      <c r="I675" s="55">
        <v>60</v>
      </c>
      <c r="J675" s="53" t="s">
        <v>5241</v>
      </c>
      <c r="K675" s="53" t="s">
        <v>5242</v>
      </c>
      <c r="L675" s="53" t="s">
        <v>3941</v>
      </c>
    </row>
    <row r="676" spans="1:12" ht="15" customHeight="1" x14ac:dyDescent="0.35">
      <c r="A676" s="53" t="s">
        <v>2897</v>
      </c>
      <c r="B676" s="53" t="s">
        <v>1077</v>
      </c>
      <c r="C676" s="55">
        <v>1</v>
      </c>
      <c r="D676" s="55">
        <v>60</v>
      </c>
      <c r="E676" s="53">
        <v>12</v>
      </c>
      <c r="F676" s="53">
        <v>1</v>
      </c>
      <c r="G676" s="55">
        <v>8.3333333333333301E-2</v>
      </c>
      <c r="H676" s="55">
        <v>5</v>
      </c>
      <c r="I676" s="55">
        <v>60</v>
      </c>
      <c r="J676" s="53" t="s">
        <v>5243</v>
      </c>
      <c r="K676" s="53" t="s">
        <v>5244</v>
      </c>
      <c r="L676" s="53" t="s">
        <v>3941</v>
      </c>
    </row>
    <row r="677" spans="1:12" ht="15" customHeight="1" x14ac:dyDescent="0.35">
      <c r="A677" s="53" t="s">
        <v>2899</v>
      </c>
      <c r="B677" s="53" t="s">
        <v>1077</v>
      </c>
      <c r="C677" s="55">
        <v>1</v>
      </c>
      <c r="D677" s="55">
        <v>60</v>
      </c>
      <c r="E677" s="53">
        <v>12</v>
      </c>
      <c r="F677" s="53">
        <v>1</v>
      </c>
      <c r="G677" s="55">
        <v>8.3333333333333301E-2</v>
      </c>
      <c r="H677" s="55">
        <v>5</v>
      </c>
      <c r="I677" s="55">
        <v>60</v>
      </c>
      <c r="J677" s="53" t="s">
        <v>5245</v>
      </c>
      <c r="K677" s="53" t="s">
        <v>5246</v>
      </c>
      <c r="L677" s="53" t="s">
        <v>4360</v>
      </c>
    </row>
    <row r="678" spans="1:12" ht="15" customHeight="1" x14ac:dyDescent="0.35">
      <c r="A678" s="53" t="s">
        <v>2901</v>
      </c>
      <c r="B678" s="53" t="s">
        <v>1122</v>
      </c>
      <c r="C678" s="55">
        <v>1</v>
      </c>
      <c r="D678" s="55">
        <v>60</v>
      </c>
      <c r="E678" s="53">
        <v>11</v>
      </c>
      <c r="F678" s="53">
        <v>1</v>
      </c>
      <c r="G678" s="55">
        <v>9.0909090909090898E-2</v>
      </c>
      <c r="H678" s="55">
        <v>5.4545454545454497</v>
      </c>
      <c r="I678" s="55">
        <v>60</v>
      </c>
      <c r="J678" s="53" t="s">
        <v>5247</v>
      </c>
      <c r="K678" s="53" t="s">
        <v>5248</v>
      </c>
      <c r="L678" s="53" t="s">
        <v>3941</v>
      </c>
    </row>
    <row r="679" spans="1:12" ht="15" customHeight="1" x14ac:dyDescent="0.35">
      <c r="A679" s="53" t="s">
        <v>2904</v>
      </c>
      <c r="B679" s="53" t="s">
        <v>1157</v>
      </c>
      <c r="C679" s="55">
        <v>1</v>
      </c>
      <c r="D679" s="55">
        <v>60</v>
      </c>
      <c r="E679" s="53">
        <v>10</v>
      </c>
      <c r="F679" s="53">
        <v>1</v>
      </c>
      <c r="G679" s="55">
        <v>0.1</v>
      </c>
      <c r="H679" s="55">
        <v>6</v>
      </c>
      <c r="I679" s="55">
        <v>60</v>
      </c>
      <c r="J679" s="53" t="s">
        <v>5249</v>
      </c>
      <c r="K679" s="53" t="s">
        <v>5250</v>
      </c>
      <c r="L679" s="53" t="s">
        <v>4253</v>
      </c>
    </row>
    <row r="680" spans="1:12" ht="15" customHeight="1" x14ac:dyDescent="0.35">
      <c r="A680" s="53" t="s">
        <v>2907</v>
      </c>
      <c r="B680" s="53" t="s">
        <v>1129</v>
      </c>
      <c r="C680" s="55">
        <v>1</v>
      </c>
      <c r="D680" s="55">
        <v>60</v>
      </c>
      <c r="E680" s="53">
        <v>8</v>
      </c>
      <c r="F680" s="53">
        <v>1</v>
      </c>
      <c r="G680" s="55">
        <v>0.125</v>
      </c>
      <c r="H680" s="55">
        <v>7.5</v>
      </c>
      <c r="I680" s="55">
        <v>60</v>
      </c>
      <c r="J680" s="53" t="s">
        <v>5251</v>
      </c>
      <c r="K680" s="53" t="s">
        <v>5252</v>
      </c>
      <c r="L680" s="53" t="s">
        <v>4256</v>
      </c>
    </row>
    <row r="681" spans="1:12" ht="15" customHeight="1" x14ac:dyDescent="0.35">
      <c r="A681" s="53" t="s">
        <v>2910</v>
      </c>
      <c r="B681" s="53" t="s">
        <v>921</v>
      </c>
      <c r="C681" s="55">
        <v>1</v>
      </c>
      <c r="D681" s="55">
        <v>60</v>
      </c>
      <c r="E681" s="53">
        <v>8</v>
      </c>
      <c r="F681" s="53">
        <v>1</v>
      </c>
      <c r="G681" s="55">
        <v>0.125</v>
      </c>
      <c r="H681" s="55">
        <v>7.5</v>
      </c>
      <c r="I681" s="55">
        <v>60</v>
      </c>
      <c r="J681" s="53" t="s">
        <v>5253</v>
      </c>
      <c r="K681" s="53" t="s">
        <v>5254</v>
      </c>
      <c r="L681" s="53" t="s">
        <v>4571</v>
      </c>
    </row>
    <row r="682" spans="1:12" ht="15" customHeight="1" x14ac:dyDescent="0.35">
      <c r="A682" s="53" t="s">
        <v>2912</v>
      </c>
      <c r="B682" s="53" t="s">
        <v>921</v>
      </c>
      <c r="C682" s="55">
        <v>1</v>
      </c>
      <c r="D682" s="55">
        <v>60</v>
      </c>
      <c r="E682" s="53">
        <v>7</v>
      </c>
      <c r="F682" s="53">
        <v>1</v>
      </c>
      <c r="G682" s="55">
        <v>0.14285714285714299</v>
      </c>
      <c r="H682" s="55">
        <v>8.5714285714285694</v>
      </c>
      <c r="I682" s="55">
        <v>60</v>
      </c>
      <c r="J682" s="53" t="s">
        <v>4549</v>
      </c>
      <c r="K682" s="53" t="s">
        <v>5255</v>
      </c>
      <c r="L682" s="53" t="s">
        <v>4052</v>
      </c>
    </row>
    <row r="683" spans="1:12" ht="15" customHeight="1" x14ac:dyDescent="0.35">
      <c r="A683" s="53" t="s">
        <v>2914</v>
      </c>
      <c r="B683" s="53" t="s">
        <v>921</v>
      </c>
      <c r="C683" s="55">
        <v>1</v>
      </c>
      <c r="D683" s="55">
        <v>60</v>
      </c>
      <c r="E683" s="53">
        <v>7</v>
      </c>
      <c r="F683" s="53">
        <v>1</v>
      </c>
      <c r="G683" s="55">
        <v>0.14285714285714299</v>
      </c>
      <c r="H683" s="55">
        <v>8.5714285714285694</v>
      </c>
      <c r="I683" s="55">
        <v>60</v>
      </c>
      <c r="J683" s="53" t="s">
        <v>5256</v>
      </c>
      <c r="K683" s="53" t="s">
        <v>5257</v>
      </c>
      <c r="L683" s="53" t="s">
        <v>3924</v>
      </c>
    </row>
    <row r="684" spans="1:12" ht="15" customHeight="1" x14ac:dyDescent="0.35">
      <c r="A684" s="53" t="s">
        <v>2916</v>
      </c>
      <c r="B684" s="53" t="s">
        <v>1077</v>
      </c>
      <c r="C684" s="55">
        <v>1</v>
      </c>
      <c r="D684" s="55">
        <v>60</v>
      </c>
      <c r="E684" s="53">
        <v>7</v>
      </c>
      <c r="F684" s="53">
        <v>1</v>
      </c>
      <c r="G684" s="55">
        <v>0.14285714285714299</v>
      </c>
      <c r="H684" s="55">
        <v>8.5714285714285694</v>
      </c>
      <c r="I684" s="55">
        <v>60</v>
      </c>
      <c r="J684" s="53" t="s">
        <v>5015</v>
      </c>
      <c r="K684" s="53" t="s">
        <v>5258</v>
      </c>
      <c r="L684" s="53" t="s">
        <v>4360</v>
      </c>
    </row>
    <row r="685" spans="1:12" ht="15" customHeight="1" x14ac:dyDescent="0.35">
      <c r="A685" s="53" t="s">
        <v>2917</v>
      </c>
      <c r="B685" s="53" t="s">
        <v>1212</v>
      </c>
      <c r="C685" s="55">
        <v>1</v>
      </c>
      <c r="D685" s="55">
        <v>60</v>
      </c>
      <c r="E685" s="53">
        <v>6</v>
      </c>
      <c r="F685" s="53">
        <v>4</v>
      </c>
      <c r="G685" s="55">
        <v>0.66666666666666696</v>
      </c>
      <c r="H685" s="55">
        <v>10</v>
      </c>
      <c r="I685" s="55">
        <v>30</v>
      </c>
      <c r="J685" s="53" t="s">
        <v>4892</v>
      </c>
      <c r="K685" s="53" t="s">
        <v>5259</v>
      </c>
      <c r="L685" s="53" t="s">
        <v>4673</v>
      </c>
    </row>
    <row r="686" spans="1:12" ht="15" customHeight="1" x14ac:dyDescent="0.35">
      <c r="A686" s="53" t="s">
        <v>2919</v>
      </c>
      <c r="B686" s="53" t="s">
        <v>1009</v>
      </c>
      <c r="C686" s="55">
        <v>1</v>
      </c>
      <c r="D686" s="55">
        <v>60</v>
      </c>
      <c r="E686" s="53">
        <v>6</v>
      </c>
      <c r="F686" s="53">
        <v>2</v>
      </c>
      <c r="G686" s="55">
        <v>0.33333333333333298</v>
      </c>
      <c r="H686" s="55">
        <v>10</v>
      </c>
      <c r="I686" s="55">
        <v>60</v>
      </c>
      <c r="J686" s="53" t="s">
        <v>5260</v>
      </c>
      <c r="K686" s="53" t="s">
        <v>5261</v>
      </c>
      <c r="L686" s="53" t="s">
        <v>3924</v>
      </c>
    </row>
    <row r="687" spans="1:12" ht="15" customHeight="1" x14ac:dyDescent="0.35">
      <c r="A687" s="53" t="s">
        <v>2921</v>
      </c>
      <c r="B687" s="53" t="s">
        <v>921</v>
      </c>
      <c r="C687" s="55">
        <v>1</v>
      </c>
      <c r="D687" s="55">
        <v>60</v>
      </c>
      <c r="E687" s="53">
        <v>6</v>
      </c>
      <c r="F687" s="53">
        <v>1</v>
      </c>
      <c r="G687" s="55">
        <v>0.16666666666666699</v>
      </c>
      <c r="H687" s="55">
        <v>10</v>
      </c>
      <c r="I687" s="55">
        <v>60</v>
      </c>
      <c r="J687" s="53" t="s">
        <v>5262</v>
      </c>
      <c r="K687" s="53" t="s">
        <v>5263</v>
      </c>
      <c r="L687" s="53" t="s">
        <v>4349</v>
      </c>
    </row>
    <row r="688" spans="1:12" ht="15" customHeight="1" x14ac:dyDescent="0.35">
      <c r="A688" s="53" t="s">
        <v>2923</v>
      </c>
      <c r="B688" s="53" t="s">
        <v>1122</v>
      </c>
      <c r="C688" s="55">
        <v>1</v>
      </c>
      <c r="D688" s="55">
        <v>60</v>
      </c>
      <c r="E688" s="53">
        <v>6</v>
      </c>
      <c r="F688" s="53">
        <v>1</v>
      </c>
      <c r="G688" s="55">
        <v>0.16666666666666699</v>
      </c>
      <c r="H688" s="55">
        <v>10</v>
      </c>
      <c r="I688" s="55">
        <v>60</v>
      </c>
      <c r="J688" s="53" t="s">
        <v>5264</v>
      </c>
      <c r="K688" s="53" t="s">
        <v>5265</v>
      </c>
      <c r="L688" s="53" t="s">
        <v>3941</v>
      </c>
    </row>
    <row r="689" spans="1:12" ht="15" customHeight="1" x14ac:dyDescent="0.35">
      <c r="A689" s="53" t="s">
        <v>2925</v>
      </c>
      <c r="B689" s="53" t="s">
        <v>921</v>
      </c>
      <c r="C689" s="55">
        <v>1</v>
      </c>
      <c r="D689" s="55">
        <v>60</v>
      </c>
      <c r="E689" s="53">
        <v>6</v>
      </c>
      <c r="F689" s="53">
        <v>1</v>
      </c>
      <c r="G689" s="55">
        <v>0.16666666666666699</v>
      </c>
      <c r="H689" s="55">
        <v>10</v>
      </c>
      <c r="I689" s="55">
        <v>60</v>
      </c>
      <c r="J689" s="53" t="s">
        <v>5266</v>
      </c>
      <c r="K689" s="53" t="s">
        <v>5267</v>
      </c>
      <c r="L689" s="53" t="s">
        <v>4763</v>
      </c>
    </row>
    <row r="690" spans="1:12" ht="15" customHeight="1" x14ac:dyDescent="0.35">
      <c r="A690" s="53" t="s">
        <v>2927</v>
      </c>
      <c r="B690" s="53" t="s">
        <v>1582</v>
      </c>
      <c r="C690" s="55">
        <v>1</v>
      </c>
      <c r="D690" s="55">
        <v>60</v>
      </c>
      <c r="E690" s="53">
        <v>5</v>
      </c>
      <c r="F690" s="53">
        <v>2</v>
      </c>
      <c r="G690" s="55">
        <v>0.4</v>
      </c>
      <c r="H690" s="55">
        <v>12</v>
      </c>
      <c r="I690" s="55">
        <v>60</v>
      </c>
      <c r="J690" s="53" t="s">
        <v>4733</v>
      </c>
      <c r="K690" s="53" t="s">
        <v>5268</v>
      </c>
      <c r="L690" s="53" t="s">
        <v>4673</v>
      </c>
    </row>
    <row r="691" spans="1:12" ht="15" customHeight="1" x14ac:dyDescent="0.35">
      <c r="A691" s="53" t="s">
        <v>2929</v>
      </c>
      <c r="B691" s="53" t="s">
        <v>905</v>
      </c>
      <c r="C691" s="55">
        <v>1</v>
      </c>
      <c r="D691" s="55">
        <v>60</v>
      </c>
      <c r="E691" s="53">
        <v>5</v>
      </c>
      <c r="F691" s="53">
        <v>1</v>
      </c>
      <c r="G691" s="55">
        <v>0.2</v>
      </c>
      <c r="H691" s="55">
        <v>12</v>
      </c>
      <c r="I691" s="55">
        <v>60</v>
      </c>
      <c r="J691" s="53" t="s">
        <v>5020</v>
      </c>
      <c r="K691" s="53" t="s">
        <v>5269</v>
      </c>
      <c r="L691" s="53" t="s">
        <v>3941</v>
      </c>
    </row>
    <row r="692" spans="1:12" ht="15" customHeight="1" x14ac:dyDescent="0.35">
      <c r="A692" s="53" t="s">
        <v>2930</v>
      </c>
      <c r="B692" s="53" t="s">
        <v>989</v>
      </c>
      <c r="C692" s="55">
        <v>1</v>
      </c>
      <c r="D692" s="55">
        <v>60</v>
      </c>
      <c r="E692" s="53">
        <v>5</v>
      </c>
      <c r="F692" s="53">
        <v>1</v>
      </c>
      <c r="G692" s="55">
        <v>0.2</v>
      </c>
      <c r="H692" s="55">
        <v>12</v>
      </c>
      <c r="I692" s="55">
        <v>60</v>
      </c>
      <c r="J692" s="53" t="s">
        <v>5270</v>
      </c>
      <c r="K692" s="53" t="s">
        <v>5271</v>
      </c>
      <c r="L692" s="53" t="s">
        <v>4763</v>
      </c>
    </row>
    <row r="693" spans="1:12" ht="15" customHeight="1" x14ac:dyDescent="0.35">
      <c r="A693" s="53" t="s">
        <v>2932</v>
      </c>
      <c r="B693" s="53" t="s">
        <v>1077</v>
      </c>
      <c r="C693" s="55">
        <v>1</v>
      </c>
      <c r="D693" s="55">
        <v>60</v>
      </c>
      <c r="E693" s="53">
        <v>4</v>
      </c>
      <c r="F693" s="53">
        <v>1</v>
      </c>
      <c r="G693" s="55">
        <v>0.25</v>
      </c>
      <c r="H693" s="55">
        <v>15</v>
      </c>
      <c r="I693" s="55">
        <v>60</v>
      </c>
      <c r="J693" s="53" t="s">
        <v>4923</v>
      </c>
      <c r="K693" s="53" t="s">
        <v>5272</v>
      </c>
      <c r="L693" s="53" t="s">
        <v>3941</v>
      </c>
    </row>
    <row r="694" spans="1:12" ht="15" customHeight="1" x14ac:dyDescent="0.35">
      <c r="A694" s="53" t="s">
        <v>2934</v>
      </c>
      <c r="B694" s="53" t="s">
        <v>898</v>
      </c>
      <c r="C694" s="55">
        <v>1</v>
      </c>
      <c r="D694" s="55">
        <v>60</v>
      </c>
      <c r="E694" s="53">
        <v>4</v>
      </c>
      <c r="F694" s="53">
        <v>1</v>
      </c>
      <c r="G694" s="55">
        <v>0.25</v>
      </c>
      <c r="H694" s="55">
        <v>15</v>
      </c>
      <c r="I694" s="55">
        <v>60</v>
      </c>
      <c r="J694" s="53" t="s">
        <v>5273</v>
      </c>
      <c r="K694" s="53" t="s">
        <v>5274</v>
      </c>
      <c r="L694" s="53" t="s">
        <v>4052</v>
      </c>
    </row>
    <row r="695" spans="1:12" ht="15" customHeight="1" x14ac:dyDescent="0.35">
      <c r="A695" s="53" t="s">
        <v>2936</v>
      </c>
      <c r="B695" s="53" t="s">
        <v>1212</v>
      </c>
      <c r="C695" s="55">
        <v>1</v>
      </c>
      <c r="D695" s="55">
        <v>60</v>
      </c>
      <c r="E695" s="53">
        <v>4</v>
      </c>
      <c r="F695" s="53">
        <v>1</v>
      </c>
      <c r="G695" s="55">
        <v>0.25</v>
      </c>
      <c r="H695" s="55">
        <v>15</v>
      </c>
      <c r="I695" s="55">
        <v>60</v>
      </c>
      <c r="J695" s="53" t="s">
        <v>5275</v>
      </c>
      <c r="K695" s="53" t="s">
        <v>5276</v>
      </c>
      <c r="L695" s="53" t="s">
        <v>4673</v>
      </c>
    </row>
    <row r="696" spans="1:12" ht="15" customHeight="1" x14ac:dyDescent="0.35">
      <c r="A696" s="53" t="s">
        <v>2938</v>
      </c>
      <c r="B696" s="53" t="s">
        <v>963</v>
      </c>
      <c r="C696" s="55">
        <v>1</v>
      </c>
      <c r="D696" s="55">
        <v>60</v>
      </c>
      <c r="E696" s="53">
        <v>3</v>
      </c>
      <c r="F696" s="53">
        <v>1</v>
      </c>
      <c r="G696" s="55">
        <v>0.33333333333333298</v>
      </c>
      <c r="H696" s="55">
        <v>20</v>
      </c>
      <c r="I696" s="55">
        <v>60</v>
      </c>
      <c r="J696" s="53" t="s">
        <v>5277</v>
      </c>
      <c r="K696" s="53" t="s">
        <v>5278</v>
      </c>
      <c r="L696" s="53" t="s">
        <v>4604</v>
      </c>
    </row>
    <row r="697" spans="1:12" ht="15" customHeight="1" x14ac:dyDescent="0.35">
      <c r="A697" s="53" t="s">
        <v>2941</v>
      </c>
      <c r="B697" s="53" t="s">
        <v>989</v>
      </c>
      <c r="C697" s="55">
        <v>1</v>
      </c>
      <c r="D697" s="55">
        <v>60</v>
      </c>
      <c r="E697" s="53">
        <v>3</v>
      </c>
      <c r="F697" s="53">
        <v>1</v>
      </c>
      <c r="G697" s="55">
        <v>0.33333333333333298</v>
      </c>
      <c r="H697" s="55">
        <v>20</v>
      </c>
      <c r="I697" s="55">
        <v>60</v>
      </c>
      <c r="J697" s="53" t="s">
        <v>5279</v>
      </c>
      <c r="K697" s="53" t="s">
        <v>5280</v>
      </c>
      <c r="L697" s="53" t="s">
        <v>4052</v>
      </c>
    </row>
    <row r="698" spans="1:12" ht="15" customHeight="1" x14ac:dyDescent="0.35">
      <c r="A698" s="53" t="s">
        <v>2943</v>
      </c>
      <c r="B698" s="53" t="s">
        <v>1136</v>
      </c>
      <c r="C698" s="55">
        <v>1</v>
      </c>
      <c r="D698" s="55">
        <v>60</v>
      </c>
      <c r="E698" s="53">
        <v>3</v>
      </c>
      <c r="F698" s="53">
        <v>2</v>
      </c>
      <c r="G698" s="55">
        <v>0.66666666666666696</v>
      </c>
      <c r="H698" s="55">
        <v>20</v>
      </c>
      <c r="I698" s="55">
        <v>60</v>
      </c>
      <c r="J698" s="53" t="s">
        <v>4856</v>
      </c>
      <c r="K698" s="53" t="s">
        <v>5281</v>
      </c>
      <c r="L698" s="53" t="s">
        <v>4253</v>
      </c>
    </row>
    <row r="699" spans="1:12" ht="15" customHeight="1" x14ac:dyDescent="0.35">
      <c r="A699" s="53" t="s">
        <v>2944</v>
      </c>
      <c r="B699" s="53" t="s">
        <v>959</v>
      </c>
      <c r="C699" s="55">
        <v>1</v>
      </c>
      <c r="D699" s="55">
        <v>60</v>
      </c>
      <c r="E699" s="53">
        <v>3</v>
      </c>
      <c r="F699" s="53">
        <v>1</v>
      </c>
      <c r="G699" s="55">
        <v>0.33333333333333298</v>
      </c>
      <c r="H699" s="55">
        <v>20</v>
      </c>
      <c r="I699" s="55">
        <v>60</v>
      </c>
      <c r="J699" s="53" t="s">
        <v>5282</v>
      </c>
      <c r="K699" s="53" t="s">
        <v>5283</v>
      </c>
      <c r="L699" s="53" t="s">
        <v>3941</v>
      </c>
    </row>
    <row r="700" spans="1:12" ht="15" customHeight="1" x14ac:dyDescent="0.35">
      <c r="A700" s="53" t="s">
        <v>2946</v>
      </c>
      <c r="B700" s="53" t="s">
        <v>921</v>
      </c>
      <c r="C700" s="55">
        <v>1</v>
      </c>
      <c r="D700" s="55">
        <v>60</v>
      </c>
      <c r="E700" s="53">
        <v>3</v>
      </c>
      <c r="F700" s="53">
        <v>1</v>
      </c>
      <c r="G700" s="55">
        <v>0.33333333333333298</v>
      </c>
      <c r="H700" s="55">
        <v>20</v>
      </c>
      <c r="I700" s="55">
        <v>60</v>
      </c>
      <c r="J700" s="53" t="s">
        <v>5284</v>
      </c>
      <c r="K700" s="53" t="s">
        <v>5285</v>
      </c>
      <c r="L700" s="53" t="s">
        <v>4349</v>
      </c>
    </row>
    <row r="701" spans="1:12" ht="15" customHeight="1" x14ac:dyDescent="0.35">
      <c r="A701" s="53" t="s">
        <v>2948</v>
      </c>
      <c r="B701" s="53" t="s">
        <v>1136</v>
      </c>
      <c r="C701" s="55">
        <v>1</v>
      </c>
      <c r="D701" s="55">
        <v>60</v>
      </c>
      <c r="E701" s="53">
        <v>3</v>
      </c>
      <c r="F701" s="53">
        <v>1</v>
      </c>
      <c r="G701" s="55">
        <v>0.33333333333333298</v>
      </c>
      <c r="H701" s="55">
        <v>20</v>
      </c>
      <c r="I701" s="55">
        <v>60</v>
      </c>
      <c r="J701" s="53" t="s">
        <v>5286</v>
      </c>
      <c r="K701" s="53" t="s">
        <v>5287</v>
      </c>
      <c r="L701" s="53" t="s">
        <v>4253</v>
      </c>
    </row>
    <row r="702" spans="1:12" ht="15" customHeight="1" x14ac:dyDescent="0.35">
      <c r="A702" s="53" t="s">
        <v>2950</v>
      </c>
      <c r="B702" s="53" t="s">
        <v>921</v>
      </c>
      <c r="C702" s="55">
        <v>1</v>
      </c>
      <c r="D702" s="55">
        <v>60</v>
      </c>
      <c r="E702" s="53">
        <v>3</v>
      </c>
      <c r="F702" s="53">
        <v>1</v>
      </c>
      <c r="G702" s="55">
        <v>0.33333333333333298</v>
      </c>
      <c r="H702" s="55">
        <v>20</v>
      </c>
      <c r="I702" s="55">
        <v>60</v>
      </c>
      <c r="J702" s="53" t="s">
        <v>5284</v>
      </c>
      <c r="K702" s="53" t="s">
        <v>5288</v>
      </c>
      <c r="L702" s="53" t="s">
        <v>5014</v>
      </c>
    </row>
    <row r="703" spans="1:12" ht="15" customHeight="1" x14ac:dyDescent="0.35">
      <c r="A703" s="53" t="s">
        <v>2951</v>
      </c>
      <c r="B703" s="53" t="s">
        <v>1731</v>
      </c>
      <c r="C703" s="55">
        <v>1</v>
      </c>
      <c r="D703" s="55">
        <v>60</v>
      </c>
      <c r="E703" s="53">
        <v>3</v>
      </c>
      <c r="F703" s="53">
        <v>1</v>
      </c>
      <c r="G703" s="55">
        <v>0.33333333333333298</v>
      </c>
      <c r="H703" s="55">
        <v>20</v>
      </c>
      <c r="I703" s="55">
        <v>60</v>
      </c>
      <c r="J703" s="53" t="s">
        <v>4856</v>
      </c>
      <c r="K703" s="53" t="s">
        <v>5289</v>
      </c>
      <c r="L703" s="53" t="s">
        <v>4673</v>
      </c>
    </row>
    <row r="704" spans="1:12" ht="15" customHeight="1" x14ac:dyDescent="0.35">
      <c r="A704" s="53" t="s">
        <v>2952</v>
      </c>
      <c r="B704" s="53" t="s">
        <v>905</v>
      </c>
      <c r="C704" s="55">
        <v>1</v>
      </c>
      <c r="D704" s="55">
        <v>60</v>
      </c>
      <c r="E704" s="53">
        <v>2</v>
      </c>
      <c r="F704" s="53">
        <v>1</v>
      </c>
      <c r="G704" s="55">
        <v>0.5</v>
      </c>
      <c r="H704" s="55">
        <v>30</v>
      </c>
      <c r="I704" s="55">
        <v>60</v>
      </c>
      <c r="J704" s="53" t="s">
        <v>5290</v>
      </c>
      <c r="K704" s="53" t="s">
        <v>5291</v>
      </c>
      <c r="L704" s="53" t="s">
        <v>4360</v>
      </c>
    </row>
    <row r="705" spans="1:12" ht="15" customHeight="1" x14ac:dyDescent="0.35">
      <c r="A705" s="53" t="s">
        <v>2955</v>
      </c>
      <c r="B705" s="53" t="s">
        <v>905</v>
      </c>
      <c r="C705" s="55">
        <v>1</v>
      </c>
      <c r="D705" s="55">
        <v>60</v>
      </c>
      <c r="E705" s="53">
        <v>2</v>
      </c>
      <c r="F705" s="53">
        <v>1</v>
      </c>
      <c r="G705" s="55">
        <v>0.5</v>
      </c>
      <c r="H705" s="55">
        <v>30</v>
      </c>
      <c r="I705" s="55">
        <v>60</v>
      </c>
      <c r="J705" s="53" t="s">
        <v>5292</v>
      </c>
      <c r="K705" s="53" t="s">
        <v>5293</v>
      </c>
      <c r="L705" s="53" t="s">
        <v>5294</v>
      </c>
    </row>
    <row r="706" spans="1:12" ht="15" customHeight="1" x14ac:dyDescent="0.35">
      <c r="A706" s="53" t="s">
        <v>2957</v>
      </c>
      <c r="B706" s="53" t="s">
        <v>913</v>
      </c>
      <c r="C706" s="55">
        <v>1</v>
      </c>
      <c r="D706" s="55">
        <v>60</v>
      </c>
      <c r="E706" s="53">
        <v>2</v>
      </c>
      <c r="F706" s="53">
        <v>1</v>
      </c>
      <c r="G706" s="55">
        <v>0.5</v>
      </c>
      <c r="H706" s="55">
        <v>30</v>
      </c>
      <c r="I706" s="55">
        <v>60</v>
      </c>
      <c r="J706" s="53" t="s">
        <v>5290</v>
      </c>
      <c r="K706" s="53" t="s">
        <v>5295</v>
      </c>
      <c r="L706" s="53" t="s">
        <v>4604</v>
      </c>
    </row>
    <row r="707" spans="1:12" ht="15" customHeight="1" x14ac:dyDescent="0.35">
      <c r="A707" s="53" t="s">
        <v>2958</v>
      </c>
      <c r="B707" s="53" t="s">
        <v>1009</v>
      </c>
      <c r="C707" s="55">
        <v>1</v>
      </c>
      <c r="D707" s="55">
        <v>60</v>
      </c>
      <c r="E707" s="53">
        <v>2</v>
      </c>
      <c r="F707" s="53">
        <v>1</v>
      </c>
      <c r="G707" s="55">
        <v>0.5</v>
      </c>
      <c r="H707" s="55">
        <v>30</v>
      </c>
      <c r="I707" s="55">
        <v>60</v>
      </c>
      <c r="J707" s="53" t="s">
        <v>5296</v>
      </c>
      <c r="K707" s="53" t="s">
        <v>5297</v>
      </c>
      <c r="L707" s="53" t="s">
        <v>4214</v>
      </c>
    </row>
    <row r="708" spans="1:12" ht="15" customHeight="1" x14ac:dyDescent="0.35">
      <c r="A708" s="53" t="s">
        <v>2960</v>
      </c>
      <c r="B708" s="53" t="s">
        <v>1009</v>
      </c>
      <c r="C708" s="55">
        <v>1</v>
      </c>
      <c r="D708" s="55">
        <v>60</v>
      </c>
      <c r="E708" s="53">
        <v>2</v>
      </c>
      <c r="F708" s="53">
        <v>1</v>
      </c>
      <c r="G708" s="55">
        <v>0.5</v>
      </c>
      <c r="H708" s="55">
        <v>30</v>
      </c>
      <c r="I708" s="55">
        <v>60</v>
      </c>
      <c r="J708" s="53" t="s">
        <v>5298</v>
      </c>
      <c r="K708" s="53" t="s">
        <v>5299</v>
      </c>
      <c r="L708" s="53" t="s">
        <v>4214</v>
      </c>
    </row>
    <row r="709" spans="1:12" ht="15" customHeight="1" x14ac:dyDescent="0.35">
      <c r="A709" s="53" t="s">
        <v>2962</v>
      </c>
      <c r="B709" s="53" t="s">
        <v>1077</v>
      </c>
      <c r="C709" s="55">
        <v>1</v>
      </c>
      <c r="D709" s="55">
        <v>60</v>
      </c>
      <c r="E709" s="53">
        <v>2</v>
      </c>
      <c r="F709" s="53">
        <v>1</v>
      </c>
      <c r="G709" s="55">
        <v>0.5</v>
      </c>
      <c r="H709" s="55">
        <v>30</v>
      </c>
      <c r="I709" s="55">
        <v>60</v>
      </c>
      <c r="J709" s="53" t="s">
        <v>5047</v>
      </c>
      <c r="K709" s="53" t="s">
        <v>5300</v>
      </c>
      <c r="L709" s="53" t="s">
        <v>4360</v>
      </c>
    </row>
    <row r="710" spans="1:12" ht="15" customHeight="1" x14ac:dyDescent="0.35">
      <c r="A710" s="53" t="s">
        <v>2963</v>
      </c>
      <c r="B710" s="53" t="s">
        <v>905</v>
      </c>
      <c r="C710" s="55">
        <v>1</v>
      </c>
      <c r="D710" s="55">
        <v>60</v>
      </c>
      <c r="E710" s="53">
        <v>1</v>
      </c>
      <c r="F710" s="53">
        <v>1</v>
      </c>
      <c r="G710" s="55">
        <v>1</v>
      </c>
      <c r="H710" s="55">
        <v>60</v>
      </c>
      <c r="I710" s="55">
        <v>60</v>
      </c>
      <c r="J710" s="53" t="s">
        <v>5301</v>
      </c>
      <c r="K710" s="53" t="s">
        <v>5302</v>
      </c>
      <c r="L710" s="53" t="s">
        <v>4772</v>
      </c>
    </row>
    <row r="711" spans="1:12" ht="15" customHeight="1" x14ac:dyDescent="0.35">
      <c r="A711" s="53" t="s">
        <v>2966</v>
      </c>
      <c r="B711" s="53" t="s">
        <v>921</v>
      </c>
      <c r="C711" s="55">
        <v>1</v>
      </c>
      <c r="D711" s="55">
        <v>60</v>
      </c>
      <c r="E711" s="53">
        <v>1</v>
      </c>
      <c r="F711" s="53">
        <v>1</v>
      </c>
      <c r="G711" s="55">
        <v>1</v>
      </c>
      <c r="H711" s="55">
        <v>60</v>
      </c>
      <c r="I711" s="55">
        <v>60</v>
      </c>
      <c r="J711" s="53" t="s">
        <v>4684</v>
      </c>
      <c r="K711" s="53" t="s">
        <v>5303</v>
      </c>
      <c r="L711" s="53" t="s">
        <v>4772</v>
      </c>
    </row>
    <row r="712" spans="1:12" ht="15" customHeight="1" x14ac:dyDescent="0.35">
      <c r="A712" s="53" t="s">
        <v>2967</v>
      </c>
      <c r="B712" s="53" t="s">
        <v>921</v>
      </c>
      <c r="C712" s="55">
        <v>1</v>
      </c>
      <c r="D712" s="55">
        <v>60</v>
      </c>
      <c r="E712" s="53">
        <v>1</v>
      </c>
      <c r="F712" s="53">
        <v>1</v>
      </c>
      <c r="G712" s="55">
        <v>1</v>
      </c>
      <c r="H712" s="55">
        <v>60</v>
      </c>
      <c r="I712" s="55">
        <v>60</v>
      </c>
      <c r="J712" s="53" t="s">
        <v>4770</v>
      </c>
      <c r="K712" s="53" t="s">
        <v>5304</v>
      </c>
      <c r="L712" s="53" t="s">
        <v>4772</v>
      </c>
    </row>
    <row r="713" spans="1:12" ht="15" customHeight="1" x14ac:dyDescent="0.35">
      <c r="A713" s="53" t="s">
        <v>2968</v>
      </c>
      <c r="B713" s="53" t="s">
        <v>913</v>
      </c>
      <c r="C713" s="55">
        <v>1</v>
      </c>
      <c r="D713" s="55">
        <v>60</v>
      </c>
      <c r="E713" s="53">
        <v>1</v>
      </c>
      <c r="F713" s="53">
        <v>1</v>
      </c>
      <c r="G713" s="55">
        <v>1</v>
      </c>
      <c r="H713" s="55">
        <v>60</v>
      </c>
      <c r="I713" s="55">
        <v>60</v>
      </c>
      <c r="J713" s="53" t="s">
        <v>5099</v>
      </c>
      <c r="K713" s="53" t="s">
        <v>5305</v>
      </c>
      <c r="L713" s="53" t="s">
        <v>4686</v>
      </c>
    </row>
    <row r="714" spans="1:12" ht="15" customHeight="1" x14ac:dyDescent="0.35">
      <c r="A714" s="53" t="s">
        <v>2969</v>
      </c>
      <c r="B714" s="53" t="s">
        <v>989</v>
      </c>
      <c r="C714" s="55">
        <v>1</v>
      </c>
      <c r="D714" s="55">
        <v>60</v>
      </c>
      <c r="E714" s="53">
        <v>1</v>
      </c>
      <c r="F714" s="53">
        <v>1</v>
      </c>
      <c r="G714" s="55">
        <v>1</v>
      </c>
      <c r="H714" s="55">
        <v>60</v>
      </c>
      <c r="I714" s="55">
        <v>60</v>
      </c>
      <c r="J714" s="53" t="s">
        <v>5220</v>
      </c>
      <c r="K714" s="53" t="s">
        <v>5221</v>
      </c>
      <c r="L714" s="53" t="s">
        <v>4871</v>
      </c>
    </row>
    <row r="715" spans="1:12" ht="15" customHeight="1" x14ac:dyDescent="0.35">
      <c r="A715" s="53" t="s">
        <v>2970</v>
      </c>
      <c r="B715" s="53" t="s">
        <v>2971</v>
      </c>
      <c r="C715" s="55">
        <v>1</v>
      </c>
      <c r="D715" s="55">
        <v>60</v>
      </c>
      <c r="E715" s="53">
        <v>1</v>
      </c>
      <c r="F715" s="53">
        <v>1</v>
      </c>
      <c r="G715" s="55">
        <v>1</v>
      </c>
      <c r="H715" s="55">
        <v>60</v>
      </c>
      <c r="I715" s="55">
        <v>60</v>
      </c>
      <c r="J715" s="53" t="s">
        <v>5306</v>
      </c>
      <c r="K715" s="53" t="s">
        <v>5307</v>
      </c>
      <c r="L715" s="53" t="s">
        <v>4360</v>
      </c>
    </row>
    <row r="716" spans="1:12" ht="15" customHeight="1" x14ac:dyDescent="0.35">
      <c r="A716" s="53" t="s">
        <v>2973</v>
      </c>
      <c r="B716" s="53" t="s">
        <v>1009</v>
      </c>
      <c r="C716" s="55">
        <v>1</v>
      </c>
      <c r="D716" s="55">
        <v>60</v>
      </c>
      <c r="E716" s="53">
        <v>1</v>
      </c>
      <c r="F716" s="53">
        <v>1</v>
      </c>
      <c r="G716" s="55">
        <v>1</v>
      </c>
      <c r="H716" s="55">
        <v>60</v>
      </c>
      <c r="I716" s="55">
        <v>60</v>
      </c>
      <c r="J716" s="53" t="s">
        <v>4927</v>
      </c>
      <c r="K716" s="53" t="s">
        <v>5308</v>
      </c>
      <c r="L716" s="53" t="s">
        <v>4673</v>
      </c>
    </row>
    <row r="717" spans="1:12" ht="15" customHeight="1" x14ac:dyDescent="0.35">
      <c r="A717" s="53" t="s">
        <v>2974</v>
      </c>
      <c r="B717" s="53" t="s">
        <v>959</v>
      </c>
      <c r="C717" s="55">
        <v>0.96666666666666701</v>
      </c>
      <c r="D717" s="55">
        <v>58</v>
      </c>
      <c r="E717" s="53">
        <v>4</v>
      </c>
      <c r="F717" s="53">
        <v>1</v>
      </c>
      <c r="G717" s="55">
        <v>0.25</v>
      </c>
      <c r="H717" s="55">
        <v>14.5</v>
      </c>
      <c r="I717" s="55">
        <v>58</v>
      </c>
      <c r="J717" s="53" t="s">
        <v>5309</v>
      </c>
      <c r="K717" s="53" t="s">
        <v>5310</v>
      </c>
      <c r="L717" s="53" t="s">
        <v>4686</v>
      </c>
    </row>
    <row r="718" spans="1:12" ht="15" customHeight="1" x14ac:dyDescent="0.35">
      <c r="A718" s="53" t="s">
        <v>2976</v>
      </c>
      <c r="B718" s="53" t="s">
        <v>913</v>
      </c>
      <c r="C718" s="55">
        <v>0.83333333333333304</v>
      </c>
      <c r="D718" s="55">
        <v>50</v>
      </c>
      <c r="E718" s="53">
        <v>1</v>
      </c>
      <c r="F718" s="53">
        <v>1</v>
      </c>
      <c r="G718" s="55">
        <v>1</v>
      </c>
      <c r="H718" s="55">
        <v>50</v>
      </c>
      <c r="I718" s="55">
        <v>50</v>
      </c>
      <c r="J718" s="53" t="s">
        <v>5099</v>
      </c>
      <c r="K718" s="53" t="s">
        <v>5311</v>
      </c>
      <c r="L718" s="53" t="s">
        <v>4772</v>
      </c>
    </row>
    <row r="719" spans="1:12" ht="15" customHeight="1" x14ac:dyDescent="0.35">
      <c r="A719" s="53" t="s">
        <v>2978</v>
      </c>
      <c r="B719" s="53" t="s">
        <v>909</v>
      </c>
      <c r="C719" s="55">
        <v>0.75</v>
      </c>
      <c r="D719" s="55">
        <v>45</v>
      </c>
      <c r="E719" s="53">
        <v>1</v>
      </c>
      <c r="F719" s="53">
        <v>1</v>
      </c>
      <c r="G719" s="55">
        <v>1</v>
      </c>
      <c r="H719" s="55">
        <v>45</v>
      </c>
      <c r="I719" s="55">
        <v>45</v>
      </c>
      <c r="J719" s="53" t="s">
        <v>5099</v>
      </c>
      <c r="K719" s="53" t="s">
        <v>5312</v>
      </c>
      <c r="L719" s="53" t="s">
        <v>4772</v>
      </c>
    </row>
    <row r="720" spans="1:12" ht="15" customHeight="1" x14ac:dyDescent="0.35">
      <c r="A720" s="53" t="s">
        <v>2979</v>
      </c>
      <c r="B720" s="53" t="s">
        <v>989</v>
      </c>
      <c r="C720" s="55">
        <v>0.75</v>
      </c>
      <c r="D720" s="55">
        <v>45</v>
      </c>
      <c r="E720" s="53">
        <v>1</v>
      </c>
      <c r="F720" s="53">
        <v>1</v>
      </c>
      <c r="G720" s="55">
        <v>1</v>
      </c>
      <c r="H720" s="55">
        <v>45</v>
      </c>
      <c r="I720" s="55">
        <v>45</v>
      </c>
      <c r="J720" s="53" t="s">
        <v>5099</v>
      </c>
      <c r="K720" s="53" t="s">
        <v>5313</v>
      </c>
      <c r="L720" s="53" t="s">
        <v>4686</v>
      </c>
    </row>
    <row r="721" spans="1:12" ht="15" customHeight="1" x14ac:dyDescent="0.35">
      <c r="A721" s="53" t="s">
        <v>2980</v>
      </c>
      <c r="B721" s="53" t="s">
        <v>1143</v>
      </c>
      <c r="C721" s="55">
        <v>0.75</v>
      </c>
      <c r="D721" s="55">
        <v>45</v>
      </c>
      <c r="E721" s="53">
        <v>1</v>
      </c>
      <c r="F721" s="53">
        <v>1</v>
      </c>
      <c r="G721" s="55">
        <v>1</v>
      </c>
      <c r="H721" s="55">
        <v>45</v>
      </c>
      <c r="I721" s="55">
        <v>45</v>
      </c>
      <c r="J721" s="53" t="s">
        <v>4770</v>
      </c>
      <c r="K721" s="53" t="s">
        <v>5314</v>
      </c>
      <c r="L721" s="53" t="s">
        <v>4871</v>
      </c>
    </row>
    <row r="722" spans="1:12" ht="15" customHeight="1" x14ac:dyDescent="0.35">
      <c r="A722" s="53" t="s">
        <v>2981</v>
      </c>
      <c r="B722" s="53" t="s">
        <v>1768</v>
      </c>
      <c r="C722" s="55">
        <v>0.66666666666666696</v>
      </c>
      <c r="D722" s="55">
        <v>40</v>
      </c>
      <c r="E722" s="53">
        <v>14</v>
      </c>
      <c r="F722" s="53">
        <v>1</v>
      </c>
      <c r="G722" s="55">
        <v>7.1428571428571397E-2</v>
      </c>
      <c r="H722" s="55">
        <v>2.8571428571428599</v>
      </c>
      <c r="I722" s="55">
        <v>40</v>
      </c>
      <c r="J722" s="53" t="s">
        <v>4997</v>
      </c>
      <c r="K722" s="53" t="s">
        <v>5315</v>
      </c>
      <c r="L722" s="53" t="s">
        <v>5088</v>
      </c>
    </row>
    <row r="723" spans="1:12" ht="15" customHeight="1" x14ac:dyDescent="0.35">
      <c r="A723" s="53" t="s">
        <v>2983</v>
      </c>
      <c r="B723" s="53" t="s">
        <v>913</v>
      </c>
      <c r="C723" s="55">
        <v>0.66666666666666696</v>
      </c>
      <c r="D723" s="55">
        <v>40</v>
      </c>
      <c r="E723" s="53">
        <v>1</v>
      </c>
      <c r="F723" s="53">
        <v>1</v>
      </c>
      <c r="G723" s="55">
        <v>1</v>
      </c>
      <c r="H723" s="55">
        <v>40</v>
      </c>
      <c r="I723" s="55">
        <v>40</v>
      </c>
      <c r="J723" s="53" t="s">
        <v>5316</v>
      </c>
      <c r="K723" s="53" t="s">
        <v>5317</v>
      </c>
      <c r="L723" s="53" t="s">
        <v>4871</v>
      </c>
    </row>
    <row r="724" spans="1:12" ht="15" customHeight="1" x14ac:dyDescent="0.35">
      <c r="A724" s="53" t="s">
        <v>2986</v>
      </c>
      <c r="B724" s="53" t="s">
        <v>996</v>
      </c>
      <c r="C724" s="55">
        <v>0.66666666666666696</v>
      </c>
      <c r="D724" s="55">
        <v>40</v>
      </c>
      <c r="E724" s="53">
        <v>1</v>
      </c>
      <c r="F724" s="53">
        <v>1</v>
      </c>
      <c r="G724" s="55">
        <v>1</v>
      </c>
      <c r="H724" s="55">
        <v>40</v>
      </c>
      <c r="I724" s="55">
        <v>40</v>
      </c>
      <c r="J724" s="53" t="s">
        <v>4684</v>
      </c>
      <c r="K724" s="53" t="s">
        <v>5318</v>
      </c>
      <c r="L724" s="53" t="s">
        <v>4871</v>
      </c>
    </row>
    <row r="725" spans="1:12" ht="15" customHeight="1" x14ac:dyDescent="0.35">
      <c r="A725" s="53" t="s">
        <v>2987</v>
      </c>
      <c r="B725" s="53" t="s">
        <v>946</v>
      </c>
      <c r="C725" s="55">
        <v>0.65</v>
      </c>
      <c r="D725" s="55">
        <v>39</v>
      </c>
      <c r="E725" s="53">
        <v>1</v>
      </c>
      <c r="F725" s="53">
        <v>1</v>
      </c>
      <c r="G725" s="55">
        <v>1</v>
      </c>
      <c r="H725" s="55">
        <v>39</v>
      </c>
      <c r="I725" s="55">
        <v>39</v>
      </c>
      <c r="J725" s="53" t="s">
        <v>5306</v>
      </c>
      <c r="K725" s="53" t="s">
        <v>5319</v>
      </c>
      <c r="L725" s="53" t="s">
        <v>4360</v>
      </c>
    </row>
    <row r="726" spans="1:12" ht="15" customHeight="1" x14ac:dyDescent="0.35">
      <c r="A726" s="53" t="s">
        <v>2988</v>
      </c>
      <c r="B726" s="53" t="s">
        <v>2602</v>
      </c>
      <c r="C726" s="55">
        <v>0.51666666666666705</v>
      </c>
      <c r="D726" s="55">
        <v>31</v>
      </c>
      <c r="E726" s="53">
        <v>17</v>
      </c>
      <c r="F726" s="53">
        <v>4</v>
      </c>
      <c r="G726" s="55">
        <v>0.23529411764705899</v>
      </c>
      <c r="H726" s="55">
        <v>1.8235294117647101</v>
      </c>
      <c r="I726" s="55">
        <v>10</v>
      </c>
      <c r="J726" s="53" t="s">
        <v>5320</v>
      </c>
      <c r="K726" s="53" t="s">
        <v>5321</v>
      </c>
      <c r="L726" s="53" t="s">
        <v>4491</v>
      </c>
    </row>
    <row r="727" spans="1:12" ht="15" customHeight="1" x14ac:dyDescent="0.35">
      <c r="A727" s="53" t="s">
        <v>2991</v>
      </c>
      <c r="B727" s="53" t="s">
        <v>1077</v>
      </c>
      <c r="C727" s="55">
        <v>0.5</v>
      </c>
      <c r="D727" s="55">
        <v>30</v>
      </c>
      <c r="E727" s="53">
        <v>14</v>
      </c>
      <c r="F727" s="53">
        <v>2</v>
      </c>
      <c r="G727" s="55">
        <v>0.14285714285714299</v>
      </c>
      <c r="H727" s="55">
        <v>2.1428571428571401</v>
      </c>
      <c r="I727" s="55">
        <v>30</v>
      </c>
      <c r="J727" s="53" t="s">
        <v>5322</v>
      </c>
      <c r="K727" s="53" t="s">
        <v>5323</v>
      </c>
      <c r="L727" s="53" t="s">
        <v>4360</v>
      </c>
    </row>
    <row r="728" spans="1:12" ht="15" customHeight="1" x14ac:dyDescent="0.35">
      <c r="A728" s="53" t="s">
        <v>2994</v>
      </c>
      <c r="B728" s="53" t="s">
        <v>921</v>
      </c>
      <c r="C728" s="55">
        <v>0.5</v>
      </c>
      <c r="D728" s="55">
        <v>30</v>
      </c>
      <c r="E728" s="53">
        <v>11</v>
      </c>
      <c r="F728" s="53">
        <v>1</v>
      </c>
      <c r="G728" s="55">
        <v>9.0909090909090898E-2</v>
      </c>
      <c r="H728" s="55">
        <v>2.7272727272727302</v>
      </c>
      <c r="I728" s="55">
        <v>30</v>
      </c>
      <c r="J728" s="53" t="s">
        <v>5324</v>
      </c>
      <c r="K728" s="53" t="s">
        <v>5325</v>
      </c>
      <c r="L728" s="53" t="s">
        <v>3924</v>
      </c>
    </row>
    <row r="729" spans="1:12" ht="15" customHeight="1" x14ac:dyDescent="0.35">
      <c r="A729" s="53" t="s">
        <v>2997</v>
      </c>
      <c r="B729" s="53" t="s">
        <v>2257</v>
      </c>
      <c r="C729" s="55">
        <v>0.5</v>
      </c>
      <c r="D729" s="55">
        <v>30</v>
      </c>
      <c r="E729" s="53">
        <v>11</v>
      </c>
      <c r="F729" s="53">
        <v>6</v>
      </c>
      <c r="G729" s="55">
        <v>0.54545454545454497</v>
      </c>
      <c r="H729" s="55">
        <v>2.7272727272727302</v>
      </c>
      <c r="I729" s="55">
        <v>30</v>
      </c>
      <c r="J729" s="53" t="s">
        <v>5326</v>
      </c>
      <c r="K729" s="53" t="s">
        <v>5327</v>
      </c>
      <c r="L729" s="53" t="s">
        <v>3907</v>
      </c>
    </row>
    <row r="730" spans="1:12" ht="15" customHeight="1" x14ac:dyDescent="0.35">
      <c r="A730" s="53" t="s">
        <v>2999</v>
      </c>
      <c r="B730" s="53" t="s">
        <v>921</v>
      </c>
      <c r="C730" s="55">
        <v>0.5</v>
      </c>
      <c r="D730" s="55">
        <v>30</v>
      </c>
      <c r="E730" s="53">
        <v>8</v>
      </c>
      <c r="F730" s="53">
        <v>1</v>
      </c>
      <c r="G730" s="55">
        <v>0.125</v>
      </c>
      <c r="H730" s="55">
        <v>3.75</v>
      </c>
      <c r="I730" s="55">
        <v>30</v>
      </c>
      <c r="J730" s="53" t="s">
        <v>5328</v>
      </c>
      <c r="K730" s="53" t="s">
        <v>5329</v>
      </c>
      <c r="L730" s="53" t="s">
        <v>3924</v>
      </c>
    </row>
    <row r="731" spans="1:12" ht="15" customHeight="1" x14ac:dyDescent="0.35">
      <c r="A731" s="53" t="s">
        <v>3002</v>
      </c>
      <c r="B731" s="53" t="s">
        <v>1118</v>
      </c>
      <c r="C731" s="55">
        <v>0.5</v>
      </c>
      <c r="D731" s="55">
        <v>30</v>
      </c>
      <c r="E731" s="53">
        <v>4</v>
      </c>
      <c r="F731" s="53">
        <v>3</v>
      </c>
      <c r="G731" s="55">
        <v>0.75</v>
      </c>
      <c r="H731" s="55">
        <v>7.5</v>
      </c>
      <c r="I731" s="55">
        <v>30</v>
      </c>
      <c r="J731" s="53" t="s">
        <v>5330</v>
      </c>
      <c r="K731" s="53" t="s">
        <v>5331</v>
      </c>
      <c r="L731" s="53" t="s">
        <v>3941</v>
      </c>
    </row>
    <row r="732" spans="1:12" ht="15" customHeight="1" x14ac:dyDescent="0.35">
      <c r="A732" s="53" t="s">
        <v>3005</v>
      </c>
      <c r="B732" s="53" t="s">
        <v>905</v>
      </c>
      <c r="C732" s="55">
        <v>0.5</v>
      </c>
      <c r="D732" s="55">
        <v>30</v>
      </c>
      <c r="E732" s="53">
        <v>4</v>
      </c>
      <c r="F732" s="53">
        <v>1</v>
      </c>
      <c r="G732" s="55">
        <v>0.25</v>
      </c>
      <c r="H732" s="55">
        <v>7.5</v>
      </c>
      <c r="I732" s="55">
        <v>30</v>
      </c>
      <c r="J732" s="53" t="s">
        <v>5053</v>
      </c>
      <c r="K732" s="53" t="s">
        <v>5332</v>
      </c>
      <c r="L732" s="53" t="s">
        <v>5294</v>
      </c>
    </row>
    <row r="733" spans="1:12" ht="15" customHeight="1" x14ac:dyDescent="0.35">
      <c r="A733" s="53" t="s">
        <v>3006</v>
      </c>
      <c r="B733" s="53" t="s">
        <v>989</v>
      </c>
      <c r="C733" s="55">
        <v>0.5</v>
      </c>
      <c r="D733" s="55">
        <v>30</v>
      </c>
      <c r="E733" s="53">
        <v>4</v>
      </c>
      <c r="F733" s="53">
        <v>2</v>
      </c>
      <c r="G733" s="55">
        <v>0.5</v>
      </c>
      <c r="H733" s="55">
        <v>7.5</v>
      </c>
      <c r="I733" s="55">
        <v>20</v>
      </c>
      <c r="J733" s="53" t="s">
        <v>5012</v>
      </c>
      <c r="K733" s="53" t="s">
        <v>5333</v>
      </c>
      <c r="L733" s="53" t="s">
        <v>4534</v>
      </c>
    </row>
    <row r="734" spans="1:12" ht="15" customHeight="1" x14ac:dyDescent="0.35">
      <c r="A734" s="53" t="s">
        <v>3007</v>
      </c>
      <c r="B734" s="53" t="s">
        <v>913</v>
      </c>
      <c r="C734" s="55">
        <v>0.5</v>
      </c>
      <c r="D734" s="55">
        <v>30</v>
      </c>
      <c r="E734" s="53">
        <v>3</v>
      </c>
      <c r="F734" s="53">
        <v>1</v>
      </c>
      <c r="G734" s="55">
        <v>0.33333333333333298</v>
      </c>
      <c r="H734" s="55">
        <v>10</v>
      </c>
      <c r="I734" s="55">
        <v>30</v>
      </c>
      <c r="J734" s="53" t="s">
        <v>5117</v>
      </c>
      <c r="K734" s="53" t="s">
        <v>5334</v>
      </c>
      <c r="L734" s="53" t="s">
        <v>4604</v>
      </c>
    </row>
    <row r="735" spans="1:12" ht="15" customHeight="1" x14ac:dyDescent="0.35">
      <c r="A735" s="53" t="s">
        <v>3009</v>
      </c>
      <c r="B735" s="53" t="s">
        <v>913</v>
      </c>
      <c r="C735" s="55">
        <v>0.5</v>
      </c>
      <c r="D735" s="55">
        <v>30</v>
      </c>
      <c r="E735" s="53">
        <v>3</v>
      </c>
      <c r="F735" s="53">
        <v>1</v>
      </c>
      <c r="G735" s="55">
        <v>0.33333333333333298</v>
      </c>
      <c r="H735" s="55">
        <v>10</v>
      </c>
      <c r="I735" s="55">
        <v>30</v>
      </c>
      <c r="J735" s="53" t="s">
        <v>5335</v>
      </c>
      <c r="K735" s="53" t="s">
        <v>5336</v>
      </c>
      <c r="L735" s="53" t="s">
        <v>5017</v>
      </c>
    </row>
    <row r="736" spans="1:12" ht="15" customHeight="1" x14ac:dyDescent="0.35">
      <c r="A736" s="53" t="s">
        <v>3011</v>
      </c>
      <c r="B736" s="53" t="s">
        <v>1143</v>
      </c>
      <c r="C736" s="55">
        <v>0.5</v>
      </c>
      <c r="D736" s="55">
        <v>30</v>
      </c>
      <c r="E736" s="53">
        <v>3</v>
      </c>
      <c r="F736" s="53">
        <v>1</v>
      </c>
      <c r="G736" s="55">
        <v>0.33333333333333298</v>
      </c>
      <c r="H736" s="55">
        <v>10</v>
      </c>
      <c r="I736" s="55">
        <v>30</v>
      </c>
      <c r="J736" s="53" t="s">
        <v>5277</v>
      </c>
      <c r="K736" s="53" t="s">
        <v>5337</v>
      </c>
      <c r="L736" s="53" t="s">
        <v>4686</v>
      </c>
    </row>
    <row r="737" spans="1:12" ht="15" customHeight="1" x14ac:dyDescent="0.35">
      <c r="A737" s="53" t="s">
        <v>3012</v>
      </c>
      <c r="B737" s="53" t="s">
        <v>921</v>
      </c>
      <c r="C737" s="55">
        <v>0.5</v>
      </c>
      <c r="D737" s="55">
        <v>30</v>
      </c>
      <c r="E737" s="53">
        <v>2</v>
      </c>
      <c r="F737" s="53">
        <v>1</v>
      </c>
      <c r="G737" s="55">
        <v>0.5</v>
      </c>
      <c r="H737" s="55">
        <v>15</v>
      </c>
      <c r="I737" s="55">
        <v>30</v>
      </c>
      <c r="J737" s="53" t="s">
        <v>5047</v>
      </c>
      <c r="K737" s="53" t="s">
        <v>5338</v>
      </c>
      <c r="L737" s="53" t="s">
        <v>4925</v>
      </c>
    </row>
    <row r="738" spans="1:12" ht="15" customHeight="1" x14ac:dyDescent="0.35">
      <c r="A738" s="53" t="s">
        <v>3014</v>
      </c>
      <c r="B738" s="53" t="s">
        <v>1157</v>
      </c>
      <c r="C738" s="55">
        <v>0.5</v>
      </c>
      <c r="D738" s="55">
        <v>30</v>
      </c>
      <c r="E738" s="53">
        <v>2</v>
      </c>
      <c r="F738" s="53">
        <v>1</v>
      </c>
      <c r="G738" s="55">
        <v>0.5</v>
      </c>
      <c r="H738" s="55">
        <v>15</v>
      </c>
      <c r="I738" s="55">
        <v>30</v>
      </c>
      <c r="J738" s="53" t="s">
        <v>5339</v>
      </c>
      <c r="K738" s="53" t="s">
        <v>5340</v>
      </c>
      <c r="L738" s="53" t="s">
        <v>4253</v>
      </c>
    </row>
    <row r="739" spans="1:12" ht="15" customHeight="1" x14ac:dyDescent="0.35">
      <c r="A739" s="53" t="s">
        <v>3016</v>
      </c>
      <c r="B739" s="53" t="s">
        <v>946</v>
      </c>
      <c r="C739" s="55">
        <v>0.5</v>
      </c>
      <c r="D739" s="55">
        <v>30</v>
      </c>
      <c r="E739" s="53">
        <v>1</v>
      </c>
      <c r="F739" s="53">
        <v>1</v>
      </c>
      <c r="G739" s="55">
        <v>1</v>
      </c>
      <c r="H739" s="55">
        <v>30</v>
      </c>
      <c r="I739" s="55">
        <v>30</v>
      </c>
      <c r="J739" s="53" t="s">
        <v>4770</v>
      </c>
      <c r="K739" s="53" t="s">
        <v>5341</v>
      </c>
      <c r="L739" s="53" t="s">
        <v>4772</v>
      </c>
    </row>
    <row r="740" spans="1:12" ht="15" customHeight="1" x14ac:dyDescent="0.35">
      <c r="A740" s="53" t="s">
        <v>3018</v>
      </c>
      <c r="B740" s="53" t="s">
        <v>2792</v>
      </c>
      <c r="C740" s="55">
        <v>0.5</v>
      </c>
      <c r="D740" s="55">
        <v>30</v>
      </c>
      <c r="E740" s="53">
        <v>1</v>
      </c>
      <c r="F740" s="53">
        <v>1</v>
      </c>
      <c r="G740" s="55">
        <v>1</v>
      </c>
      <c r="H740" s="55">
        <v>30</v>
      </c>
      <c r="I740" s="55">
        <v>30</v>
      </c>
      <c r="J740" s="53" t="s">
        <v>5067</v>
      </c>
      <c r="K740" s="53" t="s">
        <v>5342</v>
      </c>
      <c r="L740" s="53" t="s">
        <v>4772</v>
      </c>
    </row>
    <row r="741" spans="1:12" ht="15" customHeight="1" x14ac:dyDescent="0.35">
      <c r="A741" s="53" t="s">
        <v>3019</v>
      </c>
      <c r="B741" s="53" t="s">
        <v>973</v>
      </c>
      <c r="C741" s="55">
        <v>0.5</v>
      </c>
      <c r="D741" s="55">
        <v>30</v>
      </c>
      <c r="E741" s="53">
        <v>1</v>
      </c>
      <c r="F741" s="53">
        <v>1</v>
      </c>
      <c r="G741" s="55">
        <v>1</v>
      </c>
      <c r="H741" s="55">
        <v>30</v>
      </c>
      <c r="I741" s="55">
        <v>30</v>
      </c>
      <c r="J741" s="53" t="s">
        <v>4684</v>
      </c>
      <c r="K741" s="53" t="s">
        <v>5343</v>
      </c>
      <c r="L741" s="53" t="s">
        <v>4686</v>
      </c>
    </row>
    <row r="742" spans="1:12" ht="15" customHeight="1" x14ac:dyDescent="0.35">
      <c r="A742" s="53" t="s">
        <v>3020</v>
      </c>
      <c r="B742" s="53" t="s">
        <v>929</v>
      </c>
      <c r="C742" s="55">
        <v>0.5</v>
      </c>
      <c r="D742" s="55">
        <v>30</v>
      </c>
      <c r="E742" s="53">
        <v>1</v>
      </c>
      <c r="F742" s="53">
        <v>1</v>
      </c>
      <c r="G742" s="55">
        <v>1</v>
      </c>
      <c r="H742" s="55">
        <v>30</v>
      </c>
      <c r="I742" s="55">
        <v>30</v>
      </c>
      <c r="J742" s="53" t="s">
        <v>5301</v>
      </c>
      <c r="K742" s="53" t="s">
        <v>5344</v>
      </c>
      <c r="L742" s="53" t="s">
        <v>4871</v>
      </c>
    </row>
    <row r="743" spans="1:12" ht="15" customHeight="1" x14ac:dyDescent="0.35">
      <c r="A743" s="53" t="s">
        <v>3021</v>
      </c>
      <c r="B743" s="53" t="s">
        <v>946</v>
      </c>
      <c r="C743" s="55">
        <v>0.483333333333333</v>
      </c>
      <c r="D743" s="55">
        <v>29</v>
      </c>
      <c r="E743" s="53">
        <v>1</v>
      </c>
      <c r="F743" s="53">
        <v>1</v>
      </c>
      <c r="G743" s="55">
        <v>1</v>
      </c>
      <c r="H743" s="55">
        <v>29</v>
      </c>
      <c r="I743" s="55">
        <v>29</v>
      </c>
      <c r="J743" s="53" t="s">
        <v>4684</v>
      </c>
      <c r="K743" s="53" t="s">
        <v>5345</v>
      </c>
      <c r="L743" s="53" t="s">
        <v>4871</v>
      </c>
    </row>
    <row r="744" spans="1:12" ht="15" customHeight="1" x14ac:dyDescent="0.35">
      <c r="A744" s="53" t="s">
        <v>3022</v>
      </c>
      <c r="B744" s="53" t="s">
        <v>1101</v>
      </c>
      <c r="C744" s="55">
        <v>0.33333333333333298</v>
      </c>
      <c r="D744" s="55">
        <v>20</v>
      </c>
      <c r="E744" s="53">
        <v>19</v>
      </c>
      <c r="F744" s="53">
        <v>9</v>
      </c>
      <c r="G744" s="55">
        <v>0.47368421052631599</v>
      </c>
      <c r="H744" s="55">
        <v>1.0526315789473699</v>
      </c>
      <c r="I744" s="55">
        <v>20</v>
      </c>
      <c r="J744" s="53" t="s">
        <v>5346</v>
      </c>
      <c r="K744" s="53" t="s">
        <v>5347</v>
      </c>
      <c r="L744" s="53" t="s">
        <v>3907</v>
      </c>
    </row>
    <row r="745" spans="1:12" ht="15" customHeight="1" x14ac:dyDescent="0.35">
      <c r="A745" s="53" t="s">
        <v>3025</v>
      </c>
      <c r="B745" s="53" t="s">
        <v>1077</v>
      </c>
      <c r="C745" s="55">
        <v>0.33333333333333298</v>
      </c>
      <c r="D745" s="55">
        <v>20</v>
      </c>
      <c r="E745" s="53">
        <v>6</v>
      </c>
      <c r="F745" s="53">
        <v>1</v>
      </c>
      <c r="G745" s="55">
        <v>0.16666666666666699</v>
      </c>
      <c r="H745" s="55">
        <v>3.3333333333333299</v>
      </c>
      <c r="I745" s="55">
        <v>20</v>
      </c>
      <c r="J745" s="53" t="s">
        <v>5348</v>
      </c>
      <c r="K745" s="53" t="s">
        <v>5349</v>
      </c>
      <c r="L745" s="53" t="s">
        <v>4360</v>
      </c>
    </row>
    <row r="746" spans="1:12" ht="15" customHeight="1" x14ac:dyDescent="0.35">
      <c r="A746" s="53" t="s">
        <v>3028</v>
      </c>
      <c r="B746" s="53" t="s">
        <v>909</v>
      </c>
      <c r="C746" s="55">
        <v>0.33333333333333298</v>
      </c>
      <c r="D746" s="55">
        <v>20</v>
      </c>
      <c r="E746" s="53">
        <v>1</v>
      </c>
      <c r="F746" s="53">
        <v>1</v>
      </c>
      <c r="G746" s="55">
        <v>1</v>
      </c>
      <c r="H746" s="55">
        <v>20</v>
      </c>
      <c r="I746" s="55">
        <v>20</v>
      </c>
      <c r="J746" s="53" t="s">
        <v>4770</v>
      </c>
      <c r="K746" s="53" t="s">
        <v>5350</v>
      </c>
      <c r="L746" s="53" t="s">
        <v>4686</v>
      </c>
    </row>
    <row r="747" spans="1:12" ht="15" customHeight="1" x14ac:dyDescent="0.35">
      <c r="A747" s="53" t="s">
        <v>3030</v>
      </c>
      <c r="B747" s="53" t="s">
        <v>1143</v>
      </c>
      <c r="C747" s="55">
        <v>0.33333333333333298</v>
      </c>
      <c r="D747" s="55">
        <v>20</v>
      </c>
      <c r="E747" s="53">
        <v>1</v>
      </c>
      <c r="F747" s="53">
        <v>1</v>
      </c>
      <c r="G747" s="55">
        <v>1</v>
      </c>
      <c r="H747" s="55">
        <v>20</v>
      </c>
      <c r="I747" s="55">
        <v>20</v>
      </c>
      <c r="J747" s="53" t="s">
        <v>4770</v>
      </c>
      <c r="K747" s="53" t="s">
        <v>5351</v>
      </c>
      <c r="L747" s="53" t="s">
        <v>4360</v>
      </c>
    </row>
    <row r="748" spans="1:12" ht="15" customHeight="1" x14ac:dyDescent="0.35">
      <c r="A748" s="53" t="s">
        <v>3031</v>
      </c>
      <c r="B748" s="53" t="s">
        <v>1136</v>
      </c>
      <c r="C748" s="55">
        <v>0.28333333333333299</v>
      </c>
      <c r="D748" s="55">
        <v>17</v>
      </c>
      <c r="E748" s="53">
        <v>2</v>
      </c>
      <c r="F748" s="53">
        <v>1</v>
      </c>
      <c r="G748" s="55">
        <v>0.5</v>
      </c>
      <c r="H748" s="55">
        <v>8.5</v>
      </c>
      <c r="I748" s="55">
        <v>17</v>
      </c>
      <c r="J748" s="53" t="s">
        <v>5352</v>
      </c>
      <c r="K748" s="53" t="s">
        <v>5353</v>
      </c>
      <c r="L748" s="53" t="s">
        <v>4871</v>
      </c>
    </row>
    <row r="749" spans="1:12" ht="15" customHeight="1" x14ac:dyDescent="0.35">
      <c r="A749" s="53" t="s">
        <v>3034</v>
      </c>
      <c r="B749" s="53" t="s">
        <v>1143</v>
      </c>
      <c r="C749" s="55">
        <v>0.25</v>
      </c>
      <c r="D749" s="55">
        <v>15</v>
      </c>
      <c r="E749" s="53">
        <v>7</v>
      </c>
      <c r="F749" s="53">
        <v>1</v>
      </c>
      <c r="G749" s="55">
        <v>0.14285714285714299</v>
      </c>
      <c r="H749" s="55">
        <v>2.1428571428571401</v>
      </c>
      <c r="I749" s="55">
        <v>15</v>
      </c>
      <c r="J749" s="53" t="s">
        <v>5354</v>
      </c>
      <c r="K749" s="53" t="s">
        <v>5355</v>
      </c>
      <c r="L749" s="53" t="s">
        <v>4165</v>
      </c>
    </row>
    <row r="750" spans="1:12" ht="15" customHeight="1" x14ac:dyDescent="0.35">
      <c r="A750" s="53" t="s">
        <v>3037</v>
      </c>
      <c r="B750" s="53" t="s">
        <v>909</v>
      </c>
      <c r="C750" s="55">
        <v>0.233333333333333</v>
      </c>
      <c r="D750" s="55">
        <v>14</v>
      </c>
      <c r="E750" s="53">
        <v>1</v>
      </c>
      <c r="F750" s="53">
        <v>1</v>
      </c>
      <c r="G750" s="55">
        <v>1</v>
      </c>
      <c r="H750" s="55">
        <v>14</v>
      </c>
      <c r="I750" s="55">
        <v>14</v>
      </c>
      <c r="J750" s="53" t="s">
        <v>4770</v>
      </c>
      <c r="K750" s="53" t="s">
        <v>5356</v>
      </c>
      <c r="L750" s="53" t="s">
        <v>4871</v>
      </c>
    </row>
    <row r="751" spans="1:12" ht="15" customHeight="1" x14ac:dyDescent="0.35">
      <c r="A751" s="53" t="s">
        <v>3039</v>
      </c>
      <c r="B751" s="53" t="s">
        <v>1009</v>
      </c>
      <c r="C751" s="55">
        <v>0.16666666666666699</v>
      </c>
      <c r="D751" s="55">
        <v>10</v>
      </c>
      <c r="E751" s="53">
        <v>2</v>
      </c>
      <c r="F751" s="53">
        <v>1</v>
      </c>
      <c r="G751" s="55">
        <v>0.5</v>
      </c>
      <c r="H751" s="55">
        <v>5</v>
      </c>
      <c r="I751" s="55">
        <v>10</v>
      </c>
      <c r="J751" s="53" t="s">
        <v>5193</v>
      </c>
      <c r="K751" s="53" t="s">
        <v>5357</v>
      </c>
      <c r="L751" s="53" t="s">
        <v>4925</v>
      </c>
    </row>
    <row r="752" spans="1:12" ht="15" customHeight="1" x14ac:dyDescent="0.35">
      <c r="A752" s="53" t="s">
        <v>3041</v>
      </c>
      <c r="B752" s="53" t="s">
        <v>1240</v>
      </c>
      <c r="C752" s="55">
        <v>0.16666666666666699</v>
      </c>
      <c r="D752" s="55">
        <v>10</v>
      </c>
      <c r="E752" s="53">
        <v>1</v>
      </c>
      <c r="F752" s="53">
        <v>1</v>
      </c>
      <c r="G752" s="55">
        <v>1</v>
      </c>
      <c r="H752" s="55">
        <v>10</v>
      </c>
      <c r="I752" s="55">
        <v>10</v>
      </c>
      <c r="J752" s="53" t="s">
        <v>5220</v>
      </c>
      <c r="K752" s="53" t="s">
        <v>5358</v>
      </c>
      <c r="L752" s="53" t="s">
        <v>4686</v>
      </c>
    </row>
    <row r="753" spans="1:12" ht="15" customHeight="1" x14ac:dyDescent="0.35">
      <c r="A753" s="53" t="s">
        <v>3042</v>
      </c>
      <c r="B753" s="53" t="s">
        <v>946</v>
      </c>
      <c r="C753" s="55">
        <v>0.133333333333333</v>
      </c>
      <c r="D753" s="55">
        <v>8</v>
      </c>
      <c r="E753" s="53">
        <v>1</v>
      </c>
      <c r="F753" s="53">
        <v>1</v>
      </c>
      <c r="G753" s="55">
        <v>1</v>
      </c>
      <c r="H753" s="55">
        <v>8</v>
      </c>
      <c r="I753" s="55">
        <v>8</v>
      </c>
      <c r="J753" s="53" t="s">
        <v>5359</v>
      </c>
      <c r="K753" s="53" t="s">
        <v>5360</v>
      </c>
      <c r="L753" s="53" t="s">
        <v>4360</v>
      </c>
    </row>
    <row r="754" spans="1:12" ht="15" customHeight="1" x14ac:dyDescent="0.35">
      <c r="A754" s="53" t="s">
        <v>3045</v>
      </c>
      <c r="B754" s="53" t="s">
        <v>1582</v>
      </c>
      <c r="C754" s="55">
        <v>8.3333333333333301E-2</v>
      </c>
      <c r="D754" s="55">
        <v>5</v>
      </c>
      <c r="E754" s="53">
        <v>3</v>
      </c>
      <c r="F754" s="53">
        <v>1</v>
      </c>
      <c r="G754" s="55">
        <v>0.33333333333333298</v>
      </c>
      <c r="H754" s="55">
        <v>1.6666666666666701</v>
      </c>
      <c r="I754" s="55">
        <v>5</v>
      </c>
      <c r="J754" s="53" t="s">
        <v>4856</v>
      </c>
      <c r="K754" s="53" t="s">
        <v>5361</v>
      </c>
      <c r="L754" s="53" t="s">
        <v>4673</v>
      </c>
    </row>
    <row r="755" spans="1:12" ht="15" customHeight="1" x14ac:dyDescent="0.35">
      <c r="A755" s="53" t="s">
        <v>3047</v>
      </c>
      <c r="B755" s="53" t="s">
        <v>905</v>
      </c>
      <c r="C755" s="55">
        <v>8.3333333333333301E-2</v>
      </c>
      <c r="D755" s="55">
        <v>5</v>
      </c>
      <c r="E755" s="53">
        <v>2</v>
      </c>
      <c r="F755" s="53">
        <v>1</v>
      </c>
      <c r="G755" s="55">
        <v>0.5</v>
      </c>
      <c r="H755" s="55">
        <v>2.5</v>
      </c>
      <c r="I755" s="55">
        <v>5</v>
      </c>
      <c r="J755" s="53" t="s">
        <v>5362</v>
      </c>
      <c r="K755" s="53" t="s">
        <v>5363</v>
      </c>
      <c r="L755" s="53" t="s">
        <v>4253</v>
      </c>
    </row>
    <row r="756" spans="1:12" ht="15" customHeight="1" x14ac:dyDescent="0.35">
      <c r="A756" s="53" t="s">
        <v>3050</v>
      </c>
      <c r="B756" s="53" t="s">
        <v>929</v>
      </c>
      <c r="C756" s="55">
        <v>8.3333333333333301E-2</v>
      </c>
      <c r="D756" s="55">
        <v>5</v>
      </c>
      <c r="E756" s="53">
        <v>1</v>
      </c>
      <c r="F756" s="53">
        <v>1</v>
      </c>
      <c r="G756" s="55">
        <v>1</v>
      </c>
      <c r="H756" s="55">
        <v>5</v>
      </c>
      <c r="I756" s="55">
        <v>5</v>
      </c>
      <c r="J756" s="53" t="s">
        <v>4684</v>
      </c>
      <c r="K756" s="53" t="s">
        <v>5364</v>
      </c>
      <c r="L756" s="53" t="s">
        <v>4772</v>
      </c>
    </row>
    <row r="757" spans="1:12" ht="15" customHeight="1" x14ac:dyDescent="0.35">
      <c r="A757" s="53" t="s">
        <v>3051</v>
      </c>
      <c r="B757" s="53" t="s">
        <v>3052</v>
      </c>
      <c r="C757" s="55">
        <v>8.3333333333333301E-2</v>
      </c>
      <c r="D757" s="55">
        <v>5</v>
      </c>
      <c r="E757" s="53">
        <v>1</v>
      </c>
      <c r="F757" s="53">
        <v>1</v>
      </c>
      <c r="G757" s="55">
        <v>1</v>
      </c>
      <c r="H757" s="55">
        <v>5</v>
      </c>
      <c r="I757" s="55">
        <v>5</v>
      </c>
      <c r="J757" s="53" t="s">
        <v>4770</v>
      </c>
      <c r="K757" s="53" t="s">
        <v>5365</v>
      </c>
      <c r="L757" s="53" t="s">
        <v>4360</v>
      </c>
    </row>
    <row r="758" spans="1:12" ht="15" customHeight="1" x14ac:dyDescent="0.35">
      <c r="A758" s="53" t="s">
        <v>3053</v>
      </c>
      <c r="B758" s="53" t="s">
        <v>1212</v>
      </c>
      <c r="C758" s="55">
        <v>8.3333333333333301E-2</v>
      </c>
      <c r="D758" s="55">
        <v>5</v>
      </c>
      <c r="E758" s="53">
        <v>1</v>
      </c>
      <c r="F758" s="53">
        <v>1</v>
      </c>
      <c r="G758" s="55">
        <v>1</v>
      </c>
      <c r="H758" s="55">
        <v>5</v>
      </c>
      <c r="I758" s="55">
        <v>5</v>
      </c>
      <c r="J758" s="53" t="s">
        <v>4684</v>
      </c>
      <c r="K758" s="53" t="s">
        <v>5366</v>
      </c>
      <c r="L758" s="53" t="s">
        <v>4673</v>
      </c>
    </row>
    <row r="759" spans="1:12" ht="15" customHeight="1" x14ac:dyDescent="0.35">
      <c r="A759" s="53" t="s">
        <v>3054</v>
      </c>
      <c r="B759" s="53" t="s">
        <v>2598</v>
      </c>
      <c r="C759" s="55">
        <v>1.6666666666666701E-2</v>
      </c>
      <c r="D759" s="55">
        <v>1</v>
      </c>
      <c r="E759" s="53">
        <v>11</v>
      </c>
      <c r="F759" s="53">
        <v>4</v>
      </c>
      <c r="G759" s="55">
        <v>0.36363636363636398</v>
      </c>
      <c r="H759" s="55">
        <v>9.0909090909090898E-2</v>
      </c>
      <c r="I759" s="55">
        <v>1</v>
      </c>
      <c r="J759" s="53" t="s">
        <v>5367</v>
      </c>
      <c r="K759" s="53" t="s">
        <v>5368</v>
      </c>
      <c r="L759" s="53" t="s">
        <v>5369</v>
      </c>
    </row>
    <row r="760" spans="1:12" ht="15" customHeight="1" x14ac:dyDescent="0.35">
      <c r="A760" s="53" t="s">
        <v>3057</v>
      </c>
      <c r="B760" s="53" t="s">
        <v>1118</v>
      </c>
      <c r="C760" s="55">
        <v>1.6666666666666701E-2</v>
      </c>
      <c r="D760" s="55">
        <v>1</v>
      </c>
      <c r="E760" s="53">
        <v>7</v>
      </c>
      <c r="F760" s="53">
        <v>2</v>
      </c>
      <c r="G760" s="55">
        <v>0.28571428571428598</v>
      </c>
      <c r="H760" s="55">
        <v>0.14285714285714299</v>
      </c>
      <c r="I760" s="55">
        <v>1</v>
      </c>
      <c r="J760" s="53" t="s">
        <v>5370</v>
      </c>
      <c r="K760" s="53" t="s">
        <v>5371</v>
      </c>
      <c r="L760" s="53" t="s">
        <v>4253</v>
      </c>
    </row>
    <row r="761" spans="1:12" ht="15" customHeight="1" x14ac:dyDescent="0.35">
      <c r="A761" s="53" t="s">
        <v>3060</v>
      </c>
      <c r="B761" s="53" t="s">
        <v>3061</v>
      </c>
      <c r="C761" s="55">
        <v>1.6666666666666701E-2</v>
      </c>
      <c r="D761" s="55">
        <v>1</v>
      </c>
      <c r="E761" s="53">
        <v>3</v>
      </c>
      <c r="F761" s="53">
        <v>2</v>
      </c>
      <c r="G761" s="55">
        <v>0.66666666666666696</v>
      </c>
      <c r="H761" s="55">
        <v>0.33333333333333298</v>
      </c>
      <c r="I761" s="55">
        <v>1</v>
      </c>
      <c r="J761" s="53" t="s">
        <v>5372</v>
      </c>
      <c r="K761" s="53" t="s">
        <v>5373</v>
      </c>
      <c r="L761" s="53" t="s">
        <v>4905</v>
      </c>
    </row>
    <row r="762" spans="1:12" ht="15" customHeight="1" x14ac:dyDescent="0.35">
      <c r="A762" s="53" t="s">
        <v>3064</v>
      </c>
      <c r="B762" s="53" t="s">
        <v>1690</v>
      </c>
      <c r="C762" s="55">
        <v>1.6666666666666701E-2</v>
      </c>
      <c r="D762" s="55">
        <v>1</v>
      </c>
      <c r="E762" s="53">
        <v>2</v>
      </c>
      <c r="F762" s="53">
        <v>1</v>
      </c>
      <c r="G762" s="55">
        <v>0.5</v>
      </c>
      <c r="H762" s="55">
        <v>0.5</v>
      </c>
      <c r="I762" s="55">
        <v>1</v>
      </c>
      <c r="J762" s="53" t="s">
        <v>5374</v>
      </c>
      <c r="K762" s="53" t="s">
        <v>5375</v>
      </c>
      <c r="L762" s="53" t="s">
        <v>5294</v>
      </c>
    </row>
    <row r="763" spans="1:12" ht="15" customHeight="1" x14ac:dyDescent="0.35">
      <c r="A763" s="53" t="s">
        <v>3067</v>
      </c>
      <c r="B763" s="53" t="s">
        <v>1690</v>
      </c>
      <c r="C763" s="55">
        <v>1.6666666666666701E-2</v>
      </c>
      <c r="D763" s="55">
        <v>1</v>
      </c>
      <c r="E763" s="53">
        <v>2</v>
      </c>
      <c r="F763" s="53">
        <v>1</v>
      </c>
      <c r="G763" s="55">
        <v>0.5</v>
      </c>
      <c r="H763" s="55">
        <v>0.5</v>
      </c>
      <c r="I763" s="55">
        <v>1</v>
      </c>
      <c r="J763" s="53" t="s">
        <v>5376</v>
      </c>
      <c r="K763" s="53" t="s">
        <v>5377</v>
      </c>
      <c r="L763" s="53" t="s">
        <v>4360</v>
      </c>
    </row>
    <row r="764" spans="1:12" ht="15" customHeight="1" x14ac:dyDescent="0.35">
      <c r="A764" s="53" t="s">
        <v>3069</v>
      </c>
      <c r="B764" s="53" t="s">
        <v>1143</v>
      </c>
      <c r="C764" s="55">
        <v>1.6666666666666701E-2</v>
      </c>
      <c r="D764" s="55">
        <v>1</v>
      </c>
      <c r="E764" s="53">
        <v>1</v>
      </c>
      <c r="F764" s="53">
        <v>1</v>
      </c>
      <c r="G764" s="55">
        <v>1</v>
      </c>
      <c r="H764" s="55">
        <v>1</v>
      </c>
      <c r="I764" s="55">
        <v>1</v>
      </c>
      <c r="J764" s="53" t="s">
        <v>4770</v>
      </c>
      <c r="K764" s="53" t="s">
        <v>5378</v>
      </c>
      <c r="L764" s="53" t="s">
        <v>4673</v>
      </c>
    </row>
    <row r="765" spans="1:12" ht="15" customHeight="1" x14ac:dyDescent="0.35">
      <c r="A765" s="53" t="s">
        <v>3071</v>
      </c>
      <c r="B765" s="53" t="s">
        <v>1494</v>
      </c>
      <c r="C765" s="55">
        <v>0</v>
      </c>
      <c r="D765" s="55">
        <v>0</v>
      </c>
      <c r="E765" s="53">
        <v>17</v>
      </c>
      <c r="F765" s="53">
        <v>0</v>
      </c>
      <c r="G765" s="55">
        <v>0</v>
      </c>
      <c r="H765" s="55">
        <v>0</v>
      </c>
      <c r="I765" s="55">
        <v>0</v>
      </c>
      <c r="J765" s="53" t="s">
        <v>5379</v>
      </c>
      <c r="K765" s="53" t="s">
        <v>5380</v>
      </c>
      <c r="L765" s="53" t="s">
        <v>5088</v>
      </c>
    </row>
    <row r="766" spans="1:12" ht="15" customHeight="1" x14ac:dyDescent="0.35">
      <c r="A766" s="53" t="s">
        <v>3074</v>
      </c>
      <c r="B766" s="53" t="s">
        <v>1122</v>
      </c>
      <c r="C766" s="55">
        <v>0</v>
      </c>
      <c r="D766" s="55">
        <v>0</v>
      </c>
      <c r="E766" s="53">
        <v>16</v>
      </c>
      <c r="F766" s="53">
        <v>0</v>
      </c>
      <c r="G766" s="55">
        <v>0</v>
      </c>
      <c r="H766" s="55">
        <v>0</v>
      </c>
      <c r="I766" s="55">
        <v>0</v>
      </c>
      <c r="J766" s="53" t="s">
        <v>5381</v>
      </c>
      <c r="K766" s="53" t="s">
        <v>5382</v>
      </c>
      <c r="L766" s="53" t="s">
        <v>3907</v>
      </c>
    </row>
    <row r="767" spans="1:12" ht="15" customHeight="1" x14ac:dyDescent="0.35">
      <c r="A767" s="53" t="s">
        <v>3077</v>
      </c>
      <c r="B767" s="53" t="s">
        <v>2598</v>
      </c>
      <c r="C767" s="55">
        <v>0</v>
      </c>
      <c r="D767" s="55">
        <v>0</v>
      </c>
      <c r="E767" s="53">
        <v>15</v>
      </c>
      <c r="F767" s="53">
        <v>6</v>
      </c>
      <c r="G767" s="55">
        <v>0.4</v>
      </c>
      <c r="H767" s="55">
        <v>0</v>
      </c>
      <c r="I767" s="55">
        <v>0</v>
      </c>
      <c r="J767" s="53" t="s">
        <v>5383</v>
      </c>
      <c r="K767" s="53" t="s">
        <v>5384</v>
      </c>
      <c r="L767" s="53" t="s">
        <v>3907</v>
      </c>
    </row>
    <row r="768" spans="1:12" ht="15" customHeight="1" x14ac:dyDescent="0.35">
      <c r="A768" s="53" t="s">
        <v>3080</v>
      </c>
      <c r="B768" s="53" t="s">
        <v>1690</v>
      </c>
      <c r="C768" s="55">
        <v>0</v>
      </c>
      <c r="D768" s="55">
        <v>0</v>
      </c>
      <c r="E768" s="53">
        <v>14</v>
      </c>
      <c r="F768" s="53">
        <v>0</v>
      </c>
      <c r="G768" s="55">
        <v>0</v>
      </c>
      <c r="H768" s="55">
        <v>0</v>
      </c>
      <c r="I768" s="55">
        <v>0</v>
      </c>
      <c r="J768" s="53" t="s">
        <v>5385</v>
      </c>
      <c r="K768" s="53" t="s">
        <v>5386</v>
      </c>
      <c r="L768" s="53" t="s">
        <v>3924</v>
      </c>
    </row>
    <row r="769" spans="1:12" ht="15" customHeight="1" x14ac:dyDescent="0.35">
      <c r="A769" s="53" t="s">
        <v>3083</v>
      </c>
      <c r="B769" s="53" t="s">
        <v>1077</v>
      </c>
      <c r="C769" s="55">
        <v>0</v>
      </c>
      <c r="D769" s="55">
        <v>0</v>
      </c>
      <c r="E769" s="53">
        <v>14</v>
      </c>
      <c r="F769" s="53">
        <v>0</v>
      </c>
      <c r="G769" s="55">
        <v>0</v>
      </c>
      <c r="H769" s="55">
        <v>0</v>
      </c>
      <c r="I769" s="55">
        <v>0</v>
      </c>
      <c r="J769" s="53" t="s">
        <v>5387</v>
      </c>
      <c r="K769" s="53" t="s">
        <v>5388</v>
      </c>
      <c r="L769" s="53" t="s">
        <v>4360</v>
      </c>
    </row>
    <row r="770" spans="1:12" ht="15" customHeight="1" x14ac:dyDescent="0.35">
      <c r="A770" s="53" t="s">
        <v>3085</v>
      </c>
      <c r="B770" s="53" t="s">
        <v>2598</v>
      </c>
      <c r="C770" s="55">
        <v>0</v>
      </c>
      <c r="D770" s="55">
        <v>0</v>
      </c>
      <c r="E770" s="53">
        <v>13</v>
      </c>
      <c r="F770" s="53">
        <v>2</v>
      </c>
      <c r="G770" s="55">
        <v>0.15384615384615399</v>
      </c>
      <c r="H770" s="55">
        <v>0</v>
      </c>
      <c r="I770" s="55">
        <v>0</v>
      </c>
      <c r="J770" s="53" t="s">
        <v>5389</v>
      </c>
      <c r="K770" s="53" t="s">
        <v>5390</v>
      </c>
      <c r="L770" s="53" t="s">
        <v>3907</v>
      </c>
    </row>
    <row r="771" spans="1:12" ht="15" customHeight="1" x14ac:dyDescent="0.35">
      <c r="A771" s="53" t="s">
        <v>3088</v>
      </c>
      <c r="B771" s="53" t="s">
        <v>1077</v>
      </c>
      <c r="C771" s="55">
        <v>0</v>
      </c>
      <c r="D771" s="55">
        <v>0</v>
      </c>
      <c r="E771" s="53">
        <v>12</v>
      </c>
      <c r="F771" s="53">
        <v>0</v>
      </c>
      <c r="G771" s="55">
        <v>0</v>
      </c>
      <c r="H771" s="55">
        <v>0</v>
      </c>
      <c r="I771" s="55">
        <v>0</v>
      </c>
      <c r="J771" s="53" t="s">
        <v>5391</v>
      </c>
      <c r="K771" s="53" t="s">
        <v>5392</v>
      </c>
      <c r="L771" s="53" t="s">
        <v>3941</v>
      </c>
    </row>
    <row r="772" spans="1:12" ht="15" customHeight="1" x14ac:dyDescent="0.35">
      <c r="A772" s="53" t="s">
        <v>3091</v>
      </c>
      <c r="B772" s="53" t="s">
        <v>942</v>
      </c>
      <c r="C772" s="55">
        <v>0</v>
      </c>
      <c r="D772" s="55">
        <v>0</v>
      </c>
      <c r="E772" s="53">
        <v>12</v>
      </c>
      <c r="F772" s="53">
        <v>0</v>
      </c>
      <c r="G772" s="55">
        <v>0</v>
      </c>
      <c r="H772" s="55">
        <v>0</v>
      </c>
      <c r="I772" s="55">
        <v>0</v>
      </c>
      <c r="J772" s="53" t="s">
        <v>5393</v>
      </c>
      <c r="K772" s="53" t="s">
        <v>5394</v>
      </c>
      <c r="L772" s="53" t="s">
        <v>3907</v>
      </c>
    </row>
    <row r="773" spans="1:12" ht="15" customHeight="1" x14ac:dyDescent="0.35">
      <c r="A773" s="53" t="s">
        <v>3093</v>
      </c>
      <c r="B773" s="53" t="s">
        <v>1122</v>
      </c>
      <c r="C773" s="55">
        <v>0</v>
      </c>
      <c r="D773" s="55">
        <v>0</v>
      </c>
      <c r="E773" s="53">
        <v>12</v>
      </c>
      <c r="F773" s="53">
        <v>0</v>
      </c>
      <c r="G773" s="55">
        <v>0</v>
      </c>
      <c r="H773" s="55">
        <v>0</v>
      </c>
      <c r="I773" s="55">
        <v>0</v>
      </c>
      <c r="J773" s="53" t="s">
        <v>5395</v>
      </c>
      <c r="K773" s="53" t="s">
        <v>5396</v>
      </c>
      <c r="L773" s="53" t="s">
        <v>3907</v>
      </c>
    </row>
    <row r="774" spans="1:12" ht="15" customHeight="1" x14ac:dyDescent="0.35">
      <c r="A774" s="53" t="s">
        <v>3095</v>
      </c>
      <c r="B774" s="53" t="s">
        <v>1122</v>
      </c>
      <c r="C774" s="55">
        <v>0</v>
      </c>
      <c r="D774" s="55">
        <v>0</v>
      </c>
      <c r="E774" s="53">
        <v>12</v>
      </c>
      <c r="F774" s="53">
        <v>0</v>
      </c>
      <c r="G774" s="55">
        <v>0</v>
      </c>
      <c r="H774" s="55">
        <v>0</v>
      </c>
      <c r="I774" s="55">
        <v>0</v>
      </c>
      <c r="J774" s="53" t="s">
        <v>5397</v>
      </c>
      <c r="K774" s="53" t="s">
        <v>5398</v>
      </c>
      <c r="L774" s="53" t="s">
        <v>3924</v>
      </c>
    </row>
    <row r="775" spans="1:12" ht="15" customHeight="1" x14ac:dyDescent="0.35">
      <c r="A775" s="53" t="s">
        <v>3097</v>
      </c>
      <c r="B775" s="53" t="s">
        <v>1299</v>
      </c>
      <c r="C775" s="55">
        <v>0</v>
      </c>
      <c r="D775" s="55">
        <v>0</v>
      </c>
      <c r="E775" s="53">
        <v>11</v>
      </c>
      <c r="F775" s="53">
        <v>0</v>
      </c>
      <c r="G775" s="55">
        <v>0</v>
      </c>
      <c r="H775" s="55">
        <v>0</v>
      </c>
      <c r="I775" s="55">
        <v>0</v>
      </c>
      <c r="J775" s="53" t="s">
        <v>5399</v>
      </c>
      <c r="K775" s="53" t="s">
        <v>5400</v>
      </c>
      <c r="L775" s="53" t="s">
        <v>3941</v>
      </c>
    </row>
    <row r="776" spans="1:12" ht="15" customHeight="1" x14ac:dyDescent="0.35">
      <c r="A776" s="53" t="s">
        <v>3099</v>
      </c>
      <c r="B776" s="53" t="s">
        <v>1122</v>
      </c>
      <c r="C776" s="55">
        <v>0</v>
      </c>
      <c r="D776" s="55">
        <v>0</v>
      </c>
      <c r="E776" s="53">
        <v>11</v>
      </c>
      <c r="F776" s="53">
        <v>0</v>
      </c>
      <c r="G776" s="55">
        <v>0</v>
      </c>
      <c r="H776" s="55">
        <v>0</v>
      </c>
      <c r="I776" s="55">
        <v>0</v>
      </c>
      <c r="J776" s="53" t="s">
        <v>5401</v>
      </c>
      <c r="K776" s="53" t="s">
        <v>5402</v>
      </c>
      <c r="L776" s="53" t="s">
        <v>3924</v>
      </c>
    </row>
    <row r="777" spans="1:12" ht="15" customHeight="1" x14ac:dyDescent="0.35">
      <c r="A777" s="53" t="s">
        <v>3101</v>
      </c>
      <c r="B777" s="53" t="s">
        <v>1077</v>
      </c>
      <c r="C777" s="55">
        <v>0</v>
      </c>
      <c r="D777" s="55">
        <v>0</v>
      </c>
      <c r="E777" s="53">
        <v>10</v>
      </c>
      <c r="F777" s="53">
        <v>0</v>
      </c>
      <c r="G777" s="55">
        <v>0</v>
      </c>
      <c r="H777" s="55">
        <v>0</v>
      </c>
      <c r="I777" s="55">
        <v>0</v>
      </c>
      <c r="J777" s="53" t="s">
        <v>5403</v>
      </c>
      <c r="K777" s="53" t="s">
        <v>5404</v>
      </c>
      <c r="L777" s="53" t="s">
        <v>3924</v>
      </c>
    </row>
    <row r="778" spans="1:12" ht="15" customHeight="1" x14ac:dyDescent="0.35">
      <c r="A778" s="53" t="s">
        <v>3104</v>
      </c>
      <c r="B778" s="53" t="s">
        <v>921</v>
      </c>
      <c r="C778" s="55">
        <v>0</v>
      </c>
      <c r="D778" s="55">
        <v>0</v>
      </c>
      <c r="E778" s="53">
        <v>10</v>
      </c>
      <c r="F778" s="53">
        <v>0</v>
      </c>
      <c r="G778" s="55">
        <v>0</v>
      </c>
      <c r="H778" s="55">
        <v>0</v>
      </c>
      <c r="I778" s="55">
        <v>0</v>
      </c>
      <c r="J778" s="53" t="s">
        <v>5405</v>
      </c>
      <c r="K778" s="53" t="s">
        <v>5406</v>
      </c>
      <c r="L778" s="53" t="s">
        <v>3924</v>
      </c>
    </row>
    <row r="779" spans="1:12" ht="15" customHeight="1" x14ac:dyDescent="0.35">
      <c r="A779" s="53" t="s">
        <v>3106</v>
      </c>
      <c r="B779" s="53" t="s">
        <v>2257</v>
      </c>
      <c r="C779" s="55">
        <v>0</v>
      </c>
      <c r="D779" s="55">
        <v>0</v>
      </c>
      <c r="E779" s="53">
        <v>10</v>
      </c>
      <c r="F779" s="53">
        <v>4</v>
      </c>
      <c r="G779" s="55">
        <v>0.4</v>
      </c>
      <c r="H779" s="55">
        <v>0</v>
      </c>
      <c r="I779" s="55">
        <v>0</v>
      </c>
      <c r="J779" s="53" t="s">
        <v>5407</v>
      </c>
      <c r="K779" s="53" t="s">
        <v>5408</v>
      </c>
      <c r="L779" s="53" t="s">
        <v>5088</v>
      </c>
    </row>
    <row r="780" spans="1:12" ht="15" customHeight="1" x14ac:dyDescent="0.35">
      <c r="A780" s="53" t="s">
        <v>3108</v>
      </c>
      <c r="B780" s="53" t="s">
        <v>1077</v>
      </c>
      <c r="C780" s="55">
        <v>0</v>
      </c>
      <c r="D780" s="55">
        <v>0</v>
      </c>
      <c r="E780" s="53">
        <v>10</v>
      </c>
      <c r="F780" s="53">
        <v>0</v>
      </c>
      <c r="G780" s="55">
        <v>0</v>
      </c>
      <c r="H780" s="55">
        <v>0</v>
      </c>
      <c r="I780" s="55">
        <v>0</v>
      </c>
      <c r="J780" s="53" t="s">
        <v>5409</v>
      </c>
      <c r="K780" s="53" t="s">
        <v>5410</v>
      </c>
      <c r="L780" s="53" t="s">
        <v>4360</v>
      </c>
    </row>
    <row r="781" spans="1:12" ht="15" customHeight="1" x14ac:dyDescent="0.35">
      <c r="A781" s="53" t="s">
        <v>3110</v>
      </c>
      <c r="B781" s="53" t="s">
        <v>1077</v>
      </c>
      <c r="C781" s="55">
        <v>0</v>
      </c>
      <c r="D781" s="55">
        <v>0</v>
      </c>
      <c r="E781" s="53">
        <v>10</v>
      </c>
      <c r="F781" s="53">
        <v>0</v>
      </c>
      <c r="G781" s="55">
        <v>0</v>
      </c>
      <c r="H781" s="55">
        <v>0</v>
      </c>
      <c r="I781" s="55">
        <v>0</v>
      </c>
      <c r="J781" s="53" t="s">
        <v>5411</v>
      </c>
      <c r="K781" s="53" t="s">
        <v>5412</v>
      </c>
      <c r="L781" s="53" t="s">
        <v>4360</v>
      </c>
    </row>
    <row r="782" spans="1:12" ht="15" customHeight="1" x14ac:dyDescent="0.35">
      <c r="A782" s="53" t="s">
        <v>3112</v>
      </c>
      <c r="B782" s="53" t="s">
        <v>1077</v>
      </c>
      <c r="C782" s="55">
        <v>0</v>
      </c>
      <c r="D782" s="55">
        <v>0</v>
      </c>
      <c r="E782" s="53">
        <v>9</v>
      </c>
      <c r="F782" s="53">
        <v>0</v>
      </c>
      <c r="G782" s="55">
        <v>0</v>
      </c>
      <c r="H782" s="55">
        <v>0</v>
      </c>
      <c r="I782" s="55">
        <v>0</v>
      </c>
      <c r="J782" s="53" t="s">
        <v>5413</v>
      </c>
      <c r="K782" s="53" t="s">
        <v>5414</v>
      </c>
      <c r="L782" s="53" t="s">
        <v>4253</v>
      </c>
    </row>
    <row r="783" spans="1:12" ht="15" customHeight="1" x14ac:dyDescent="0.35">
      <c r="A783" s="53" t="s">
        <v>3115</v>
      </c>
      <c r="B783" s="53" t="s">
        <v>963</v>
      </c>
      <c r="C783" s="55">
        <v>0</v>
      </c>
      <c r="D783" s="55">
        <v>0</v>
      </c>
      <c r="E783" s="53">
        <v>9</v>
      </c>
      <c r="F783" s="53">
        <v>0</v>
      </c>
      <c r="G783" s="55">
        <v>0</v>
      </c>
      <c r="H783" s="55">
        <v>0</v>
      </c>
      <c r="I783" s="55">
        <v>0</v>
      </c>
      <c r="J783" s="53" t="s">
        <v>5415</v>
      </c>
      <c r="K783" s="53" t="s">
        <v>5416</v>
      </c>
      <c r="L783" s="53" t="s">
        <v>5088</v>
      </c>
    </row>
    <row r="784" spans="1:12" ht="15" customHeight="1" x14ac:dyDescent="0.35">
      <c r="A784" s="53" t="s">
        <v>3117</v>
      </c>
      <c r="B784" s="53" t="s">
        <v>921</v>
      </c>
      <c r="C784" s="55">
        <v>0</v>
      </c>
      <c r="D784" s="55">
        <v>0</v>
      </c>
      <c r="E784" s="53">
        <v>9</v>
      </c>
      <c r="F784" s="53">
        <v>0</v>
      </c>
      <c r="G784" s="55">
        <v>0</v>
      </c>
      <c r="H784" s="55">
        <v>0</v>
      </c>
      <c r="I784" s="55">
        <v>0</v>
      </c>
      <c r="J784" s="53" t="s">
        <v>5417</v>
      </c>
      <c r="K784" s="53" t="s">
        <v>5418</v>
      </c>
      <c r="L784" s="53" t="s">
        <v>4763</v>
      </c>
    </row>
    <row r="785" spans="1:12" ht="15" customHeight="1" x14ac:dyDescent="0.35">
      <c r="A785" s="53" t="s">
        <v>3119</v>
      </c>
      <c r="B785" s="53" t="s">
        <v>1077</v>
      </c>
      <c r="C785" s="55">
        <v>0</v>
      </c>
      <c r="D785" s="55">
        <v>0</v>
      </c>
      <c r="E785" s="53">
        <v>9</v>
      </c>
      <c r="F785" s="53">
        <v>0</v>
      </c>
      <c r="G785" s="55">
        <v>0</v>
      </c>
      <c r="H785" s="55">
        <v>0</v>
      </c>
      <c r="I785" s="55">
        <v>0</v>
      </c>
      <c r="J785" s="53" t="s">
        <v>5419</v>
      </c>
      <c r="K785" s="53" t="s">
        <v>5420</v>
      </c>
      <c r="L785" s="53" t="s">
        <v>4360</v>
      </c>
    </row>
    <row r="786" spans="1:12" ht="15" customHeight="1" x14ac:dyDescent="0.35">
      <c r="A786" s="53" t="s">
        <v>3121</v>
      </c>
      <c r="B786" s="53" t="s">
        <v>1494</v>
      </c>
      <c r="C786" s="55">
        <v>0</v>
      </c>
      <c r="D786" s="55">
        <v>0</v>
      </c>
      <c r="E786" s="53">
        <v>9</v>
      </c>
      <c r="F786" s="53">
        <v>0</v>
      </c>
      <c r="G786" s="55">
        <v>0</v>
      </c>
      <c r="H786" s="55">
        <v>0</v>
      </c>
      <c r="I786" s="55">
        <v>0</v>
      </c>
      <c r="J786" s="53" t="s">
        <v>4582</v>
      </c>
      <c r="K786" s="53" t="s">
        <v>5421</v>
      </c>
      <c r="L786" s="53" t="s">
        <v>4534</v>
      </c>
    </row>
    <row r="787" spans="1:12" ht="15" customHeight="1" x14ac:dyDescent="0.35">
      <c r="A787" s="53" t="s">
        <v>3122</v>
      </c>
      <c r="B787" s="53" t="s">
        <v>1077</v>
      </c>
      <c r="C787" s="55">
        <v>0</v>
      </c>
      <c r="D787" s="55">
        <v>0</v>
      </c>
      <c r="E787" s="53">
        <v>8</v>
      </c>
      <c r="F787" s="53">
        <v>0</v>
      </c>
      <c r="G787" s="55">
        <v>0</v>
      </c>
      <c r="H787" s="55">
        <v>0</v>
      </c>
      <c r="I787" s="55">
        <v>0</v>
      </c>
      <c r="J787" s="53" t="s">
        <v>5422</v>
      </c>
      <c r="K787" s="53" t="s">
        <v>5423</v>
      </c>
      <c r="L787" s="53" t="s">
        <v>4253</v>
      </c>
    </row>
    <row r="788" spans="1:12" ht="15" customHeight="1" x14ac:dyDescent="0.35">
      <c r="A788" s="53" t="s">
        <v>3125</v>
      </c>
      <c r="B788" s="53" t="s">
        <v>1077</v>
      </c>
      <c r="C788" s="55">
        <v>0</v>
      </c>
      <c r="D788" s="55">
        <v>0</v>
      </c>
      <c r="E788" s="53">
        <v>8</v>
      </c>
      <c r="F788" s="53">
        <v>0</v>
      </c>
      <c r="G788" s="55">
        <v>0</v>
      </c>
      <c r="H788" s="55">
        <v>0</v>
      </c>
      <c r="I788" s="55">
        <v>0</v>
      </c>
      <c r="J788" s="53" t="s">
        <v>5424</v>
      </c>
      <c r="K788" s="53" t="s">
        <v>5425</v>
      </c>
      <c r="L788" s="53" t="s">
        <v>4214</v>
      </c>
    </row>
    <row r="789" spans="1:12" ht="15" customHeight="1" x14ac:dyDescent="0.35">
      <c r="A789" s="53" t="s">
        <v>3127</v>
      </c>
      <c r="B789" s="53" t="s">
        <v>1817</v>
      </c>
      <c r="C789" s="55">
        <v>0</v>
      </c>
      <c r="D789" s="55">
        <v>0</v>
      </c>
      <c r="E789" s="53">
        <v>8</v>
      </c>
      <c r="F789" s="53">
        <v>0</v>
      </c>
      <c r="G789" s="55">
        <v>0</v>
      </c>
      <c r="H789" s="55">
        <v>0</v>
      </c>
      <c r="I789" s="55">
        <v>0</v>
      </c>
      <c r="J789" s="53" t="s">
        <v>5426</v>
      </c>
      <c r="K789" s="53" t="s">
        <v>5427</v>
      </c>
      <c r="L789" s="53" t="s">
        <v>4052</v>
      </c>
    </row>
    <row r="790" spans="1:12" ht="15" customHeight="1" x14ac:dyDescent="0.35">
      <c r="A790" s="53" t="s">
        <v>3129</v>
      </c>
      <c r="B790" s="53" t="s">
        <v>2257</v>
      </c>
      <c r="C790" s="55">
        <v>0</v>
      </c>
      <c r="D790" s="55">
        <v>0</v>
      </c>
      <c r="E790" s="53">
        <v>8</v>
      </c>
      <c r="F790" s="53">
        <v>3</v>
      </c>
      <c r="G790" s="55">
        <v>0.375</v>
      </c>
      <c r="H790" s="55">
        <v>0</v>
      </c>
      <c r="I790" s="55">
        <v>0</v>
      </c>
      <c r="J790" s="53" t="s">
        <v>5428</v>
      </c>
      <c r="K790" s="53" t="s">
        <v>5429</v>
      </c>
      <c r="L790" s="53" t="s">
        <v>4534</v>
      </c>
    </row>
    <row r="791" spans="1:12" ht="15" customHeight="1" x14ac:dyDescent="0.35">
      <c r="A791" s="53" t="s">
        <v>3131</v>
      </c>
      <c r="B791" s="53" t="s">
        <v>1077</v>
      </c>
      <c r="C791" s="55">
        <v>0</v>
      </c>
      <c r="D791" s="55">
        <v>0</v>
      </c>
      <c r="E791" s="53">
        <v>8</v>
      </c>
      <c r="F791" s="53">
        <v>0</v>
      </c>
      <c r="G791" s="55">
        <v>0</v>
      </c>
      <c r="H791" s="55">
        <v>0</v>
      </c>
      <c r="I791" s="55">
        <v>0</v>
      </c>
      <c r="J791" s="53" t="s">
        <v>5430</v>
      </c>
      <c r="K791" s="53" t="s">
        <v>5431</v>
      </c>
      <c r="L791" s="53" t="s">
        <v>4772</v>
      </c>
    </row>
    <row r="792" spans="1:12" ht="15" customHeight="1" x14ac:dyDescent="0.35">
      <c r="A792" s="53" t="s">
        <v>3133</v>
      </c>
      <c r="B792" s="53" t="s">
        <v>1122</v>
      </c>
      <c r="C792" s="55">
        <v>0</v>
      </c>
      <c r="D792" s="55">
        <v>0</v>
      </c>
      <c r="E792" s="53">
        <v>8</v>
      </c>
      <c r="F792" s="53">
        <v>1</v>
      </c>
      <c r="G792" s="55">
        <v>0.125</v>
      </c>
      <c r="H792" s="55">
        <v>0</v>
      </c>
      <c r="I792" s="55">
        <v>0</v>
      </c>
      <c r="J792" s="53" t="s">
        <v>5432</v>
      </c>
      <c r="K792" s="53" t="s">
        <v>5433</v>
      </c>
      <c r="L792" s="53" t="s">
        <v>5369</v>
      </c>
    </row>
    <row r="793" spans="1:12" ht="15" customHeight="1" x14ac:dyDescent="0.35">
      <c r="A793" s="53" t="s">
        <v>3135</v>
      </c>
      <c r="B793" s="53" t="s">
        <v>1077</v>
      </c>
      <c r="C793" s="55">
        <v>0</v>
      </c>
      <c r="D793" s="55">
        <v>0</v>
      </c>
      <c r="E793" s="53">
        <v>8</v>
      </c>
      <c r="F793" s="53">
        <v>0</v>
      </c>
      <c r="G793" s="55">
        <v>0</v>
      </c>
      <c r="H793" s="55">
        <v>0</v>
      </c>
      <c r="I793" s="55">
        <v>0</v>
      </c>
      <c r="J793" s="53" t="s">
        <v>5434</v>
      </c>
      <c r="K793" s="53" t="s">
        <v>5435</v>
      </c>
      <c r="L793" s="53" t="s">
        <v>4360</v>
      </c>
    </row>
    <row r="794" spans="1:12" ht="15" customHeight="1" x14ac:dyDescent="0.35">
      <c r="A794" s="53" t="s">
        <v>3137</v>
      </c>
      <c r="B794" s="53" t="s">
        <v>1077</v>
      </c>
      <c r="C794" s="55">
        <v>0</v>
      </c>
      <c r="D794" s="55">
        <v>0</v>
      </c>
      <c r="E794" s="53">
        <v>7</v>
      </c>
      <c r="F794" s="53">
        <v>0</v>
      </c>
      <c r="G794" s="55">
        <v>0</v>
      </c>
      <c r="H794" s="55">
        <v>0</v>
      </c>
      <c r="I794" s="55">
        <v>0</v>
      </c>
      <c r="J794" s="53" t="s">
        <v>5436</v>
      </c>
      <c r="K794" s="53" t="s">
        <v>5437</v>
      </c>
      <c r="L794" s="53" t="s">
        <v>3941</v>
      </c>
    </row>
    <row r="795" spans="1:12" ht="15" customHeight="1" x14ac:dyDescent="0.35">
      <c r="A795" s="53" t="s">
        <v>3139</v>
      </c>
      <c r="B795" s="53" t="s">
        <v>1077</v>
      </c>
      <c r="C795" s="55">
        <v>0</v>
      </c>
      <c r="D795" s="55">
        <v>0</v>
      </c>
      <c r="E795" s="53">
        <v>7</v>
      </c>
      <c r="F795" s="53">
        <v>0</v>
      </c>
      <c r="G795" s="55">
        <v>0</v>
      </c>
      <c r="H795" s="55">
        <v>0</v>
      </c>
      <c r="I795" s="55">
        <v>0</v>
      </c>
      <c r="J795" s="53" t="s">
        <v>5438</v>
      </c>
      <c r="K795" s="53" t="s">
        <v>5439</v>
      </c>
      <c r="L795" s="53" t="s">
        <v>4253</v>
      </c>
    </row>
    <row r="796" spans="1:12" ht="15" customHeight="1" x14ac:dyDescent="0.35">
      <c r="A796" s="53" t="s">
        <v>3141</v>
      </c>
      <c r="B796" s="53" t="s">
        <v>1690</v>
      </c>
      <c r="C796" s="55">
        <v>0</v>
      </c>
      <c r="D796" s="55">
        <v>0</v>
      </c>
      <c r="E796" s="53">
        <v>7</v>
      </c>
      <c r="F796" s="53">
        <v>0</v>
      </c>
      <c r="G796" s="55">
        <v>0</v>
      </c>
      <c r="H796" s="55">
        <v>0</v>
      </c>
      <c r="I796" s="55">
        <v>0</v>
      </c>
      <c r="J796" s="53" t="s">
        <v>5440</v>
      </c>
      <c r="K796" s="53" t="s">
        <v>5441</v>
      </c>
      <c r="L796" s="53" t="s">
        <v>5088</v>
      </c>
    </row>
    <row r="797" spans="1:12" ht="15" customHeight="1" x14ac:dyDescent="0.35">
      <c r="A797" s="53" t="s">
        <v>3143</v>
      </c>
      <c r="B797" s="53" t="s">
        <v>1077</v>
      </c>
      <c r="C797" s="55">
        <v>0</v>
      </c>
      <c r="D797" s="55">
        <v>0</v>
      </c>
      <c r="E797" s="53">
        <v>7</v>
      </c>
      <c r="F797" s="53">
        <v>0</v>
      </c>
      <c r="G797" s="55">
        <v>0</v>
      </c>
      <c r="H797" s="55">
        <v>0</v>
      </c>
      <c r="I797" s="55">
        <v>0</v>
      </c>
      <c r="J797" s="53" t="s">
        <v>5442</v>
      </c>
      <c r="K797" s="53" t="s">
        <v>5443</v>
      </c>
      <c r="L797" s="53" t="s">
        <v>4360</v>
      </c>
    </row>
    <row r="798" spans="1:12" ht="15" customHeight="1" x14ac:dyDescent="0.35">
      <c r="A798" s="53" t="s">
        <v>3145</v>
      </c>
      <c r="B798" s="53" t="s">
        <v>1136</v>
      </c>
      <c r="C798" s="55">
        <v>0</v>
      </c>
      <c r="D798" s="55">
        <v>0</v>
      </c>
      <c r="E798" s="53">
        <v>7</v>
      </c>
      <c r="F798" s="53">
        <v>0</v>
      </c>
      <c r="G798" s="55">
        <v>0</v>
      </c>
      <c r="H798" s="55">
        <v>0</v>
      </c>
      <c r="I798" s="55">
        <v>0</v>
      </c>
      <c r="J798" s="53" t="s">
        <v>4281</v>
      </c>
      <c r="K798" s="53" t="s">
        <v>5444</v>
      </c>
      <c r="L798" s="53" t="s">
        <v>4214</v>
      </c>
    </row>
    <row r="799" spans="1:12" ht="15" customHeight="1" x14ac:dyDescent="0.35">
      <c r="A799" s="53" t="s">
        <v>3146</v>
      </c>
      <c r="B799" s="53" t="s">
        <v>3052</v>
      </c>
      <c r="C799" s="55">
        <v>0</v>
      </c>
      <c r="D799" s="55">
        <v>0</v>
      </c>
      <c r="E799" s="53">
        <v>7</v>
      </c>
      <c r="F799" s="53">
        <v>0</v>
      </c>
      <c r="G799" s="55">
        <v>0</v>
      </c>
      <c r="H799" s="55">
        <v>0</v>
      </c>
      <c r="I799" s="55">
        <v>0</v>
      </c>
      <c r="J799" s="53" t="s">
        <v>5445</v>
      </c>
      <c r="K799" s="53" t="s">
        <v>5446</v>
      </c>
      <c r="L799" s="53" t="s">
        <v>5088</v>
      </c>
    </row>
    <row r="800" spans="1:12" ht="15" customHeight="1" x14ac:dyDescent="0.35">
      <c r="A800" s="53" t="s">
        <v>3148</v>
      </c>
      <c r="B800" s="53" t="s">
        <v>2598</v>
      </c>
      <c r="C800" s="55">
        <v>0</v>
      </c>
      <c r="D800" s="55">
        <v>0</v>
      </c>
      <c r="E800" s="53">
        <v>7</v>
      </c>
      <c r="F800" s="53">
        <v>1</v>
      </c>
      <c r="G800" s="55">
        <v>0.14285714285714299</v>
      </c>
      <c r="H800" s="55">
        <v>0</v>
      </c>
      <c r="I800" s="55">
        <v>0</v>
      </c>
      <c r="J800" s="53" t="s">
        <v>5447</v>
      </c>
      <c r="K800" s="53" t="s">
        <v>5448</v>
      </c>
      <c r="L800" s="53" t="s">
        <v>4571</v>
      </c>
    </row>
    <row r="801" spans="1:12" ht="15" customHeight="1" x14ac:dyDescent="0.35">
      <c r="A801" s="53" t="s">
        <v>3150</v>
      </c>
      <c r="B801" s="53" t="s">
        <v>1077</v>
      </c>
      <c r="C801" s="55">
        <v>0</v>
      </c>
      <c r="D801" s="55">
        <v>0</v>
      </c>
      <c r="E801" s="53">
        <v>7</v>
      </c>
      <c r="F801" s="53">
        <v>0</v>
      </c>
      <c r="G801" s="55">
        <v>0</v>
      </c>
      <c r="H801" s="55">
        <v>0</v>
      </c>
      <c r="I801" s="55">
        <v>0</v>
      </c>
      <c r="J801" s="53" t="s">
        <v>5449</v>
      </c>
      <c r="K801" s="53" t="s">
        <v>5450</v>
      </c>
      <c r="L801" s="53" t="s">
        <v>3941</v>
      </c>
    </row>
    <row r="802" spans="1:12" ht="15" customHeight="1" x14ac:dyDescent="0.35">
      <c r="A802" s="53" t="s">
        <v>3152</v>
      </c>
      <c r="B802" s="53" t="s">
        <v>963</v>
      </c>
      <c r="C802" s="55">
        <v>0</v>
      </c>
      <c r="D802" s="55">
        <v>0</v>
      </c>
      <c r="E802" s="53">
        <v>7</v>
      </c>
      <c r="F802" s="53">
        <v>0</v>
      </c>
      <c r="G802" s="55">
        <v>0</v>
      </c>
      <c r="H802" s="55">
        <v>0</v>
      </c>
      <c r="I802" s="55">
        <v>0</v>
      </c>
      <c r="J802" s="53" t="s">
        <v>5451</v>
      </c>
      <c r="K802" s="53" t="s">
        <v>5452</v>
      </c>
      <c r="L802" s="53" t="s">
        <v>5369</v>
      </c>
    </row>
    <row r="803" spans="1:12" ht="15" customHeight="1" x14ac:dyDescent="0.35">
      <c r="A803" s="53" t="s">
        <v>3154</v>
      </c>
      <c r="B803" s="53" t="s">
        <v>1697</v>
      </c>
      <c r="C803" s="55">
        <v>0</v>
      </c>
      <c r="D803" s="55">
        <v>0</v>
      </c>
      <c r="E803" s="53">
        <v>7</v>
      </c>
      <c r="F803" s="53">
        <v>0</v>
      </c>
      <c r="G803" s="55">
        <v>0</v>
      </c>
      <c r="H803" s="55">
        <v>0</v>
      </c>
      <c r="I803" s="55">
        <v>0</v>
      </c>
      <c r="J803" s="53" t="s">
        <v>5453</v>
      </c>
      <c r="K803" s="53" t="s">
        <v>5454</v>
      </c>
      <c r="L803" s="53" t="s">
        <v>4871</v>
      </c>
    </row>
    <row r="804" spans="1:12" ht="15" customHeight="1" x14ac:dyDescent="0.35">
      <c r="A804" s="53" t="s">
        <v>3156</v>
      </c>
      <c r="B804" s="53" t="s">
        <v>1731</v>
      </c>
      <c r="C804" s="55">
        <v>0</v>
      </c>
      <c r="D804" s="55">
        <v>0</v>
      </c>
      <c r="E804" s="53">
        <v>7</v>
      </c>
      <c r="F804" s="53">
        <v>0</v>
      </c>
      <c r="G804" s="55">
        <v>0</v>
      </c>
      <c r="H804" s="55">
        <v>0</v>
      </c>
      <c r="I804" s="55">
        <v>0</v>
      </c>
      <c r="J804" s="53" t="s">
        <v>5455</v>
      </c>
      <c r="K804" s="53" t="s">
        <v>5456</v>
      </c>
      <c r="L804" s="53" t="s">
        <v>4534</v>
      </c>
    </row>
    <row r="805" spans="1:12" ht="15" customHeight="1" x14ac:dyDescent="0.35">
      <c r="A805" s="53" t="s">
        <v>3158</v>
      </c>
      <c r="B805" s="53" t="s">
        <v>1118</v>
      </c>
      <c r="C805" s="55">
        <v>0</v>
      </c>
      <c r="D805" s="55">
        <v>0</v>
      </c>
      <c r="E805" s="53">
        <v>6</v>
      </c>
      <c r="F805" s="53">
        <v>0</v>
      </c>
      <c r="G805" s="55">
        <v>0</v>
      </c>
      <c r="H805" s="55">
        <v>0</v>
      </c>
      <c r="I805" s="55">
        <v>0</v>
      </c>
      <c r="J805" s="53" t="s">
        <v>5457</v>
      </c>
      <c r="K805" s="53" t="s">
        <v>5458</v>
      </c>
      <c r="L805" s="53" t="s">
        <v>4253</v>
      </c>
    </row>
    <row r="806" spans="1:12" ht="15" customHeight="1" x14ac:dyDescent="0.35">
      <c r="A806" s="53" t="s">
        <v>3161</v>
      </c>
      <c r="B806" s="53" t="s">
        <v>2257</v>
      </c>
      <c r="C806" s="55">
        <v>0</v>
      </c>
      <c r="D806" s="55">
        <v>0</v>
      </c>
      <c r="E806" s="53">
        <v>6</v>
      </c>
      <c r="F806" s="53">
        <v>4</v>
      </c>
      <c r="G806" s="55">
        <v>0.66666666666666696</v>
      </c>
      <c r="H806" s="55">
        <v>0</v>
      </c>
      <c r="I806" s="55">
        <v>0</v>
      </c>
      <c r="J806" s="53" t="s">
        <v>5459</v>
      </c>
      <c r="K806" s="53" t="s">
        <v>5460</v>
      </c>
      <c r="L806" s="53" t="s">
        <v>4925</v>
      </c>
    </row>
    <row r="807" spans="1:12" ht="15" customHeight="1" x14ac:dyDescent="0.35">
      <c r="A807" s="53" t="s">
        <v>3163</v>
      </c>
      <c r="B807" s="53" t="s">
        <v>1077</v>
      </c>
      <c r="C807" s="55">
        <v>0</v>
      </c>
      <c r="D807" s="55">
        <v>0</v>
      </c>
      <c r="E807" s="53">
        <v>6</v>
      </c>
      <c r="F807" s="53">
        <v>0</v>
      </c>
      <c r="G807" s="55">
        <v>0</v>
      </c>
      <c r="H807" s="55">
        <v>0</v>
      </c>
      <c r="I807" s="55">
        <v>0</v>
      </c>
      <c r="J807" s="53" t="s">
        <v>4896</v>
      </c>
      <c r="K807" s="53" t="s">
        <v>5461</v>
      </c>
      <c r="L807" s="53" t="s">
        <v>4604</v>
      </c>
    </row>
    <row r="808" spans="1:12" ht="15" customHeight="1" x14ac:dyDescent="0.35">
      <c r="A808" s="53" t="s">
        <v>3164</v>
      </c>
      <c r="B808" s="53" t="s">
        <v>898</v>
      </c>
      <c r="C808" s="55">
        <v>0</v>
      </c>
      <c r="D808" s="55">
        <v>0</v>
      </c>
      <c r="E808" s="53">
        <v>6</v>
      </c>
      <c r="F808" s="53">
        <v>0</v>
      </c>
      <c r="G808" s="55">
        <v>0</v>
      </c>
      <c r="H808" s="55">
        <v>0</v>
      </c>
      <c r="I808" s="55">
        <v>0</v>
      </c>
      <c r="J808" s="53" t="s">
        <v>5462</v>
      </c>
      <c r="K808" s="53" t="s">
        <v>5463</v>
      </c>
      <c r="L808" s="53" t="s">
        <v>4772</v>
      </c>
    </row>
    <row r="809" spans="1:12" ht="15" customHeight="1" x14ac:dyDescent="0.35">
      <c r="A809" s="53" t="s">
        <v>3166</v>
      </c>
      <c r="B809" s="53" t="s">
        <v>1118</v>
      </c>
      <c r="C809" s="55">
        <v>0</v>
      </c>
      <c r="D809" s="55">
        <v>0</v>
      </c>
      <c r="E809" s="53">
        <v>6</v>
      </c>
      <c r="F809" s="53">
        <v>0</v>
      </c>
      <c r="G809" s="55">
        <v>0</v>
      </c>
      <c r="H809" s="55">
        <v>0</v>
      </c>
      <c r="I809" s="55">
        <v>0</v>
      </c>
      <c r="J809" s="53" t="s">
        <v>5464</v>
      </c>
      <c r="K809" s="53" t="s">
        <v>5465</v>
      </c>
      <c r="L809" s="53" t="s">
        <v>4253</v>
      </c>
    </row>
    <row r="810" spans="1:12" ht="15" customHeight="1" x14ac:dyDescent="0.35">
      <c r="A810" s="53" t="s">
        <v>3168</v>
      </c>
      <c r="B810" s="53" t="s">
        <v>1084</v>
      </c>
      <c r="C810" s="55">
        <v>0</v>
      </c>
      <c r="D810" s="55">
        <v>0</v>
      </c>
      <c r="E810" s="53">
        <v>6</v>
      </c>
      <c r="F810" s="53">
        <v>0</v>
      </c>
      <c r="G810" s="55">
        <v>0</v>
      </c>
      <c r="H810" s="55">
        <v>0</v>
      </c>
      <c r="I810" s="55">
        <v>0</v>
      </c>
      <c r="J810" s="53" t="s">
        <v>5466</v>
      </c>
      <c r="K810" s="53" t="s">
        <v>5467</v>
      </c>
      <c r="L810" s="53" t="s">
        <v>4253</v>
      </c>
    </row>
    <row r="811" spans="1:12" ht="15" customHeight="1" x14ac:dyDescent="0.35">
      <c r="A811" s="53" t="s">
        <v>3170</v>
      </c>
      <c r="B811" s="53" t="s">
        <v>1077</v>
      </c>
      <c r="C811" s="55">
        <v>0</v>
      </c>
      <c r="D811" s="55">
        <v>0</v>
      </c>
      <c r="E811" s="53">
        <v>6</v>
      </c>
      <c r="F811" s="53">
        <v>0</v>
      </c>
      <c r="G811" s="55">
        <v>0</v>
      </c>
      <c r="H811" s="55">
        <v>0</v>
      </c>
      <c r="I811" s="55">
        <v>0</v>
      </c>
      <c r="J811" s="53" t="s">
        <v>5468</v>
      </c>
      <c r="K811" s="53" t="s">
        <v>5469</v>
      </c>
      <c r="L811" s="53" t="s">
        <v>4349</v>
      </c>
    </row>
    <row r="812" spans="1:12" ht="15" customHeight="1" x14ac:dyDescent="0.35">
      <c r="A812" s="53" t="s">
        <v>3172</v>
      </c>
      <c r="B812" s="53" t="s">
        <v>1118</v>
      </c>
      <c r="C812" s="55">
        <v>0</v>
      </c>
      <c r="D812" s="55">
        <v>0</v>
      </c>
      <c r="E812" s="53">
        <v>6</v>
      </c>
      <c r="F812" s="53">
        <v>0</v>
      </c>
      <c r="G812" s="55">
        <v>0</v>
      </c>
      <c r="H812" s="55">
        <v>0</v>
      </c>
      <c r="I812" s="55">
        <v>0</v>
      </c>
      <c r="J812" s="53" t="s">
        <v>5470</v>
      </c>
      <c r="K812" s="53" t="s">
        <v>5471</v>
      </c>
      <c r="L812" s="53" t="s">
        <v>4253</v>
      </c>
    </row>
    <row r="813" spans="1:12" ht="15" customHeight="1" x14ac:dyDescent="0.35">
      <c r="A813" s="53" t="s">
        <v>3174</v>
      </c>
      <c r="B813" s="53" t="s">
        <v>963</v>
      </c>
      <c r="C813" s="55">
        <v>0</v>
      </c>
      <c r="D813" s="55">
        <v>0</v>
      </c>
      <c r="E813" s="53">
        <v>6</v>
      </c>
      <c r="F813" s="53">
        <v>0</v>
      </c>
      <c r="G813" s="55">
        <v>0</v>
      </c>
      <c r="H813" s="55">
        <v>0</v>
      </c>
      <c r="I813" s="55">
        <v>0</v>
      </c>
      <c r="J813" s="53" t="s">
        <v>5472</v>
      </c>
      <c r="K813" s="53" t="s">
        <v>5473</v>
      </c>
      <c r="L813" s="53" t="s">
        <v>3924</v>
      </c>
    </row>
    <row r="814" spans="1:12" ht="15" customHeight="1" x14ac:dyDescent="0.35">
      <c r="A814" s="53" t="s">
        <v>3176</v>
      </c>
      <c r="B814" s="53" t="s">
        <v>959</v>
      </c>
      <c r="C814" s="55">
        <v>0</v>
      </c>
      <c r="D814" s="55">
        <v>0</v>
      </c>
      <c r="E814" s="53">
        <v>6</v>
      </c>
      <c r="F814" s="53">
        <v>0</v>
      </c>
      <c r="G814" s="55">
        <v>0</v>
      </c>
      <c r="H814" s="55">
        <v>0</v>
      </c>
      <c r="I814" s="55">
        <v>0</v>
      </c>
      <c r="J814" s="53" t="s">
        <v>5474</v>
      </c>
      <c r="K814" s="53" t="s">
        <v>5475</v>
      </c>
      <c r="L814" s="53" t="s">
        <v>3941</v>
      </c>
    </row>
    <row r="815" spans="1:12" ht="15" customHeight="1" x14ac:dyDescent="0.35">
      <c r="A815" s="53" t="s">
        <v>3178</v>
      </c>
      <c r="B815" s="53" t="s">
        <v>1077</v>
      </c>
      <c r="C815" s="55">
        <v>0</v>
      </c>
      <c r="D815" s="55">
        <v>0</v>
      </c>
      <c r="E815" s="53">
        <v>6</v>
      </c>
      <c r="F815" s="53">
        <v>0</v>
      </c>
      <c r="G815" s="55">
        <v>0</v>
      </c>
      <c r="H815" s="55">
        <v>0</v>
      </c>
      <c r="I815" s="55">
        <v>0</v>
      </c>
      <c r="J815" s="53" t="s">
        <v>5476</v>
      </c>
      <c r="K815" s="53" t="s">
        <v>5477</v>
      </c>
      <c r="L815" s="53" t="s">
        <v>4360</v>
      </c>
    </row>
    <row r="816" spans="1:12" ht="15" customHeight="1" x14ac:dyDescent="0.35">
      <c r="A816" s="53" t="s">
        <v>3180</v>
      </c>
      <c r="B816" s="53" t="s">
        <v>1077</v>
      </c>
      <c r="C816" s="55">
        <v>0</v>
      </c>
      <c r="D816" s="55">
        <v>0</v>
      </c>
      <c r="E816" s="53">
        <v>6</v>
      </c>
      <c r="F816" s="53">
        <v>0</v>
      </c>
      <c r="G816" s="55">
        <v>0</v>
      </c>
      <c r="H816" s="55">
        <v>0</v>
      </c>
      <c r="I816" s="55">
        <v>0</v>
      </c>
      <c r="J816" s="53" t="s">
        <v>5478</v>
      </c>
      <c r="K816" s="53" t="s">
        <v>5479</v>
      </c>
      <c r="L816" s="53" t="s">
        <v>4360</v>
      </c>
    </row>
    <row r="817" spans="1:12" ht="15" customHeight="1" x14ac:dyDescent="0.35">
      <c r="A817" s="53" t="s">
        <v>3182</v>
      </c>
      <c r="B817" s="53" t="s">
        <v>1768</v>
      </c>
      <c r="C817" s="55">
        <v>0</v>
      </c>
      <c r="D817" s="55">
        <v>0</v>
      </c>
      <c r="E817" s="53">
        <v>6</v>
      </c>
      <c r="F817" s="53">
        <v>0</v>
      </c>
      <c r="G817" s="55">
        <v>0</v>
      </c>
      <c r="H817" s="55">
        <v>0</v>
      </c>
      <c r="I817" s="55">
        <v>0</v>
      </c>
      <c r="J817" s="53" t="s">
        <v>5480</v>
      </c>
      <c r="K817" s="53" t="s">
        <v>5481</v>
      </c>
      <c r="L817" s="53" t="s">
        <v>4360</v>
      </c>
    </row>
    <row r="818" spans="1:12" ht="15" customHeight="1" x14ac:dyDescent="0.35">
      <c r="A818" s="53" t="s">
        <v>3184</v>
      </c>
      <c r="B818" s="53" t="s">
        <v>1122</v>
      </c>
      <c r="C818" s="55">
        <v>0</v>
      </c>
      <c r="D818" s="55">
        <v>0</v>
      </c>
      <c r="E818" s="53">
        <v>5</v>
      </c>
      <c r="F818" s="53">
        <v>0</v>
      </c>
      <c r="G818" s="55">
        <v>0</v>
      </c>
      <c r="H818" s="55">
        <v>0</v>
      </c>
      <c r="I818" s="55">
        <v>0</v>
      </c>
      <c r="J818" s="53" t="s">
        <v>5482</v>
      </c>
      <c r="K818" s="53" t="s">
        <v>5483</v>
      </c>
      <c r="L818" s="53" t="s">
        <v>3924</v>
      </c>
    </row>
    <row r="819" spans="1:12" ht="15" customHeight="1" x14ac:dyDescent="0.35">
      <c r="A819" s="53" t="s">
        <v>3187</v>
      </c>
      <c r="B819" s="53" t="s">
        <v>2257</v>
      </c>
      <c r="C819" s="55">
        <v>0</v>
      </c>
      <c r="D819" s="55">
        <v>0</v>
      </c>
      <c r="E819" s="53">
        <v>5</v>
      </c>
      <c r="F819" s="53">
        <v>1</v>
      </c>
      <c r="G819" s="55">
        <v>0.2</v>
      </c>
      <c r="H819" s="55">
        <v>0</v>
      </c>
      <c r="I819" s="55">
        <v>0</v>
      </c>
      <c r="J819" s="53" t="s">
        <v>5484</v>
      </c>
      <c r="K819" s="53" t="s">
        <v>5485</v>
      </c>
      <c r="L819" s="53" t="s">
        <v>4165</v>
      </c>
    </row>
    <row r="820" spans="1:12" ht="15" customHeight="1" x14ac:dyDescent="0.35">
      <c r="A820" s="53" t="s">
        <v>3189</v>
      </c>
      <c r="B820" s="53" t="s">
        <v>1817</v>
      </c>
      <c r="C820" s="55">
        <v>0</v>
      </c>
      <c r="D820" s="55">
        <v>0</v>
      </c>
      <c r="E820" s="53">
        <v>5</v>
      </c>
      <c r="F820" s="53">
        <v>0</v>
      </c>
      <c r="G820" s="55">
        <v>0</v>
      </c>
      <c r="H820" s="55">
        <v>0</v>
      </c>
      <c r="I820" s="55">
        <v>0</v>
      </c>
      <c r="J820" s="53" t="s">
        <v>5486</v>
      </c>
      <c r="K820" s="53" t="s">
        <v>5487</v>
      </c>
      <c r="L820" s="53" t="s">
        <v>4214</v>
      </c>
    </row>
    <row r="821" spans="1:12" ht="15" customHeight="1" x14ac:dyDescent="0.35">
      <c r="A821" s="53" t="s">
        <v>3191</v>
      </c>
      <c r="B821" s="53" t="s">
        <v>1136</v>
      </c>
      <c r="C821" s="55">
        <v>0</v>
      </c>
      <c r="D821" s="55">
        <v>0</v>
      </c>
      <c r="E821" s="53">
        <v>5</v>
      </c>
      <c r="F821" s="53">
        <v>2</v>
      </c>
      <c r="G821" s="55">
        <v>0.4</v>
      </c>
      <c r="H821" s="55">
        <v>0</v>
      </c>
      <c r="I821" s="55">
        <v>0</v>
      </c>
      <c r="J821" s="53" t="s">
        <v>4733</v>
      </c>
      <c r="K821" s="53" t="s">
        <v>5488</v>
      </c>
      <c r="L821" s="53" t="s">
        <v>4052</v>
      </c>
    </row>
    <row r="822" spans="1:12" ht="15" customHeight="1" x14ac:dyDescent="0.35">
      <c r="A822" s="53" t="s">
        <v>3192</v>
      </c>
      <c r="B822" s="53" t="s">
        <v>3052</v>
      </c>
      <c r="C822" s="55">
        <v>0</v>
      </c>
      <c r="D822" s="55">
        <v>0</v>
      </c>
      <c r="E822" s="53">
        <v>5</v>
      </c>
      <c r="F822" s="53">
        <v>0</v>
      </c>
      <c r="G822" s="55">
        <v>0</v>
      </c>
      <c r="H822" s="55">
        <v>0</v>
      </c>
      <c r="I822" s="55">
        <v>0</v>
      </c>
      <c r="J822" s="53" t="s">
        <v>5489</v>
      </c>
      <c r="K822" s="53" t="s">
        <v>5490</v>
      </c>
      <c r="L822" s="53" t="s">
        <v>3924</v>
      </c>
    </row>
    <row r="823" spans="1:12" ht="15" customHeight="1" x14ac:dyDescent="0.35">
      <c r="A823" s="53" t="s">
        <v>3194</v>
      </c>
      <c r="B823" s="53" t="s">
        <v>1118</v>
      </c>
      <c r="C823" s="55">
        <v>0</v>
      </c>
      <c r="D823" s="55">
        <v>0</v>
      </c>
      <c r="E823" s="53">
        <v>5</v>
      </c>
      <c r="F823" s="53">
        <v>0</v>
      </c>
      <c r="G823" s="55">
        <v>0</v>
      </c>
      <c r="H823" s="55">
        <v>0</v>
      </c>
      <c r="I823" s="55">
        <v>0</v>
      </c>
      <c r="J823" s="53" t="s">
        <v>5457</v>
      </c>
      <c r="K823" s="53" t="s">
        <v>5491</v>
      </c>
      <c r="L823" s="53" t="s">
        <v>4253</v>
      </c>
    </row>
    <row r="824" spans="1:12" ht="15" customHeight="1" x14ac:dyDescent="0.35">
      <c r="A824" s="53" t="s">
        <v>3195</v>
      </c>
      <c r="B824" s="53" t="s">
        <v>1122</v>
      </c>
      <c r="C824" s="55">
        <v>0</v>
      </c>
      <c r="D824" s="55">
        <v>0</v>
      </c>
      <c r="E824" s="53">
        <v>5</v>
      </c>
      <c r="F824" s="53">
        <v>0</v>
      </c>
      <c r="G824" s="55">
        <v>0</v>
      </c>
      <c r="H824" s="55">
        <v>0</v>
      </c>
      <c r="I824" s="55">
        <v>0</v>
      </c>
      <c r="J824" s="53" t="s">
        <v>5492</v>
      </c>
      <c r="K824" s="53" t="s">
        <v>5493</v>
      </c>
      <c r="L824" s="53" t="s">
        <v>4052</v>
      </c>
    </row>
    <row r="825" spans="1:12" ht="15" customHeight="1" x14ac:dyDescent="0.35">
      <c r="A825" s="53" t="s">
        <v>3197</v>
      </c>
      <c r="B825" s="53" t="s">
        <v>3198</v>
      </c>
      <c r="C825" s="55">
        <v>0</v>
      </c>
      <c r="D825" s="55">
        <v>0</v>
      </c>
      <c r="E825" s="53">
        <v>5</v>
      </c>
      <c r="F825" s="53">
        <v>0</v>
      </c>
      <c r="G825" s="55">
        <v>0</v>
      </c>
      <c r="H825" s="55">
        <v>0</v>
      </c>
      <c r="I825" s="55">
        <v>0</v>
      </c>
      <c r="J825" s="53" t="s">
        <v>5494</v>
      </c>
      <c r="K825" s="53" t="s">
        <v>5495</v>
      </c>
      <c r="L825" s="53" t="s">
        <v>4604</v>
      </c>
    </row>
    <row r="826" spans="1:12" ht="15" customHeight="1" x14ac:dyDescent="0.35">
      <c r="A826" s="53" t="s">
        <v>3200</v>
      </c>
      <c r="B826" s="53" t="s">
        <v>1077</v>
      </c>
      <c r="C826" s="55">
        <v>0</v>
      </c>
      <c r="D826" s="55">
        <v>0</v>
      </c>
      <c r="E826" s="53">
        <v>5</v>
      </c>
      <c r="F826" s="53">
        <v>0</v>
      </c>
      <c r="G826" s="55">
        <v>0</v>
      </c>
      <c r="H826" s="55">
        <v>0</v>
      </c>
      <c r="I826" s="55">
        <v>0</v>
      </c>
      <c r="J826" s="53" t="s">
        <v>5496</v>
      </c>
      <c r="K826" s="53" t="s">
        <v>5497</v>
      </c>
      <c r="L826" s="53" t="s">
        <v>4604</v>
      </c>
    </row>
    <row r="827" spans="1:12" ht="15" customHeight="1" x14ac:dyDescent="0.35">
      <c r="A827" s="53" t="s">
        <v>3202</v>
      </c>
      <c r="B827" s="53" t="s">
        <v>1084</v>
      </c>
      <c r="C827" s="55">
        <v>0</v>
      </c>
      <c r="D827" s="55">
        <v>0</v>
      </c>
      <c r="E827" s="53">
        <v>5</v>
      </c>
      <c r="F827" s="53">
        <v>0</v>
      </c>
      <c r="G827" s="55">
        <v>0</v>
      </c>
      <c r="H827" s="55">
        <v>0</v>
      </c>
      <c r="I827" s="55">
        <v>0</v>
      </c>
      <c r="J827" s="53" t="s">
        <v>5498</v>
      </c>
      <c r="K827" s="53" t="s">
        <v>5499</v>
      </c>
      <c r="L827" s="53" t="s">
        <v>3941</v>
      </c>
    </row>
    <row r="828" spans="1:12" ht="15" customHeight="1" x14ac:dyDescent="0.35">
      <c r="A828" s="53" t="s">
        <v>3204</v>
      </c>
      <c r="B828" s="53" t="s">
        <v>996</v>
      </c>
      <c r="C828" s="55">
        <v>0</v>
      </c>
      <c r="D828" s="55">
        <v>0</v>
      </c>
      <c r="E828" s="53">
        <v>5</v>
      </c>
      <c r="F828" s="53">
        <v>0</v>
      </c>
      <c r="G828" s="55">
        <v>0</v>
      </c>
      <c r="H828" s="55">
        <v>0</v>
      </c>
      <c r="I828" s="55">
        <v>0</v>
      </c>
      <c r="J828" s="53" t="s">
        <v>5107</v>
      </c>
      <c r="K828" s="53" t="s">
        <v>5500</v>
      </c>
      <c r="L828" s="53" t="s">
        <v>4052</v>
      </c>
    </row>
    <row r="829" spans="1:12" ht="15" customHeight="1" x14ac:dyDescent="0.35">
      <c r="A829" s="53" t="s">
        <v>3205</v>
      </c>
      <c r="B829" s="53" t="s">
        <v>1122</v>
      </c>
      <c r="C829" s="55">
        <v>0</v>
      </c>
      <c r="D829" s="55">
        <v>0</v>
      </c>
      <c r="E829" s="53">
        <v>5</v>
      </c>
      <c r="F829" s="53">
        <v>0</v>
      </c>
      <c r="G829" s="55">
        <v>0</v>
      </c>
      <c r="H829" s="55">
        <v>0</v>
      </c>
      <c r="I829" s="55">
        <v>0</v>
      </c>
      <c r="J829" s="53" t="s">
        <v>5501</v>
      </c>
      <c r="K829" s="53" t="s">
        <v>5502</v>
      </c>
      <c r="L829" s="53" t="s">
        <v>5031</v>
      </c>
    </row>
    <row r="830" spans="1:12" ht="15" customHeight="1" x14ac:dyDescent="0.35">
      <c r="A830" s="53" t="s">
        <v>3207</v>
      </c>
      <c r="B830" s="53" t="s">
        <v>1077</v>
      </c>
      <c r="C830" s="55">
        <v>0</v>
      </c>
      <c r="D830" s="55">
        <v>0</v>
      </c>
      <c r="E830" s="53">
        <v>5</v>
      </c>
      <c r="F830" s="53">
        <v>0</v>
      </c>
      <c r="G830" s="55">
        <v>0</v>
      </c>
      <c r="H830" s="55">
        <v>0</v>
      </c>
      <c r="I830" s="55">
        <v>0</v>
      </c>
      <c r="J830" s="53" t="s">
        <v>5503</v>
      </c>
      <c r="K830" s="53" t="s">
        <v>5504</v>
      </c>
      <c r="L830" s="53" t="s">
        <v>4360</v>
      </c>
    </row>
    <row r="831" spans="1:12" ht="15" customHeight="1" x14ac:dyDescent="0.35">
      <c r="A831" s="53" t="s">
        <v>3209</v>
      </c>
      <c r="B831" s="53" t="s">
        <v>1768</v>
      </c>
      <c r="C831" s="55">
        <v>0</v>
      </c>
      <c r="D831" s="55">
        <v>0</v>
      </c>
      <c r="E831" s="53">
        <v>5</v>
      </c>
      <c r="F831" s="53">
        <v>0</v>
      </c>
      <c r="G831" s="55">
        <v>0</v>
      </c>
      <c r="H831" s="55">
        <v>0</v>
      </c>
      <c r="I831" s="55">
        <v>0</v>
      </c>
      <c r="J831" s="53" t="s">
        <v>5505</v>
      </c>
      <c r="K831" s="53" t="s">
        <v>5506</v>
      </c>
      <c r="L831" s="53" t="s">
        <v>4491</v>
      </c>
    </row>
    <row r="832" spans="1:12" ht="15" customHeight="1" x14ac:dyDescent="0.35">
      <c r="A832" s="53" t="s">
        <v>3211</v>
      </c>
      <c r="B832" s="53" t="s">
        <v>1077</v>
      </c>
      <c r="C832" s="55">
        <v>0</v>
      </c>
      <c r="D832" s="55">
        <v>0</v>
      </c>
      <c r="E832" s="53">
        <v>4</v>
      </c>
      <c r="F832" s="53">
        <v>0</v>
      </c>
      <c r="G832" s="55">
        <v>0</v>
      </c>
      <c r="H832" s="55">
        <v>0</v>
      </c>
      <c r="I832" s="55">
        <v>0</v>
      </c>
      <c r="J832" s="53" t="s">
        <v>5507</v>
      </c>
      <c r="K832" s="53" t="s">
        <v>5508</v>
      </c>
      <c r="L832" s="53" t="s">
        <v>4604</v>
      </c>
    </row>
    <row r="833" spans="1:12" ht="15" customHeight="1" x14ac:dyDescent="0.35">
      <c r="A833" s="53" t="s">
        <v>3214</v>
      </c>
      <c r="B833" s="53" t="s">
        <v>1077</v>
      </c>
      <c r="C833" s="55">
        <v>0</v>
      </c>
      <c r="D833" s="55">
        <v>0</v>
      </c>
      <c r="E833" s="53">
        <v>4</v>
      </c>
      <c r="F833" s="53">
        <v>0</v>
      </c>
      <c r="G833" s="55">
        <v>0</v>
      </c>
      <c r="H833" s="55">
        <v>0</v>
      </c>
      <c r="I833" s="55">
        <v>0</v>
      </c>
      <c r="J833" s="53" t="s">
        <v>5509</v>
      </c>
      <c r="K833" s="53" t="s">
        <v>5510</v>
      </c>
      <c r="L833" s="53" t="s">
        <v>3941</v>
      </c>
    </row>
    <row r="834" spans="1:12" ht="15" customHeight="1" x14ac:dyDescent="0.35">
      <c r="A834" s="53" t="s">
        <v>3216</v>
      </c>
      <c r="B834" s="53" t="s">
        <v>2257</v>
      </c>
      <c r="C834" s="55">
        <v>0</v>
      </c>
      <c r="D834" s="55">
        <v>0</v>
      </c>
      <c r="E834" s="53">
        <v>4</v>
      </c>
      <c r="F834" s="53">
        <v>2</v>
      </c>
      <c r="G834" s="55">
        <v>0.5</v>
      </c>
      <c r="H834" s="55">
        <v>0</v>
      </c>
      <c r="I834" s="55">
        <v>0</v>
      </c>
      <c r="J834" s="53" t="s">
        <v>5511</v>
      </c>
      <c r="K834" s="53" t="s">
        <v>5512</v>
      </c>
      <c r="L834" s="53" t="s">
        <v>4491</v>
      </c>
    </row>
    <row r="835" spans="1:12" ht="15" customHeight="1" x14ac:dyDescent="0.35">
      <c r="A835" s="53" t="s">
        <v>3218</v>
      </c>
      <c r="B835" s="53" t="s">
        <v>921</v>
      </c>
      <c r="C835" s="55">
        <v>0</v>
      </c>
      <c r="D835" s="55">
        <v>0</v>
      </c>
      <c r="E835" s="53">
        <v>4</v>
      </c>
      <c r="F835" s="53">
        <v>0</v>
      </c>
      <c r="G835" s="55">
        <v>0</v>
      </c>
      <c r="H835" s="55">
        <v>0</v>
      </c>
      <c r="I835" s="55">
        <v>0</v>
      </c>
      <c r="J835" s="53" t="s">
        <v>4923</v>
      </c>
      <c r="K835" s="53" t="s">
        <v>5513</v>
      </c>
      <c r="L835" s="53" t="s">
        <v>4763</v>
      </c>
    </row>
    <row r="836" spans="1:12" ht="15" customHeight="1" x14ac:dyDescent="0.35">
      <c r="A836" s="53" t="s">
        <v>3219</v>
      </c>
      <c r="B836" s="53" t="s">
        <v>1077</v>
      </c>
      <c r="C836" s="55">
        <v>0</v>
      </c>
      <c r="D836" s="55">
        <v>0</v>
      </c>
      <c r="E836" s="53">
        <v>4</v>
      </c>
      <c r="F836" s="53">
        <v>0</v>
      </c>
      <c r="G836" s="55">
        <v>0</v>
      </c>
      <c r="H836" s="55">
        <v>0</v>
      </c>
      <c r="I836" s="55">
        <v>0</v>
      </c>
      <c r="J836" s="53" t="s">
        <v>5514</v>
      </c>
      <c r="K836" s="53" t="s">
        <v>5515</v>
      </c>
      <c r="L836" s="53" t="s">
        <v>3941</v>
      </c>
    </row>
    <row r="837" spans="1:12" ht="15" customHeight="1" x14ac:dyDescent="0.35">
      <c r="A837" s="53" t="s">
        <v>3221</v>
      </c>
      <c r="B837" s="53" t="s">
        <v>1084</v>
      </c>
      <c r="C837" s="55">
        <v>0</v>
      </c>
      <c r="D837" s="55">
        <v>0</v>
      </c>
      <c r="E837" s="53">
        <v>4</v>
      </c>
      <c r="F837" s="53">
        <v>0</v>
      </c>
      <c r="G837" s="55">
        <v>0</v>
      </c>
      <c r="H837" s="55">
        <v>0</v>
      </c>
      <c r="I837" s="55">
        <v>0</v>
      </c>
      <c r="J837" s="53" t="s">
        <v>5516</v>
      </c>
      <c r="K837" s="53" t="s">
        <v>5517</v>
      </c>
      <c r="L837" s="53" t="s">
        <v>4253</v>
      </c>
    </row>
    <row r="838" spans="1:12" ht="15" customHeight="1" x14ac:dyDescent="0.35">
      <c r="A838" s="53" t="s">
        <v>3223</v>
      </c>
      <c r="B838" s="53" t="s">
        <v>909</v>
      </c>
      <c r="C838" s="55">
        <v>0</v>
      </c>
      <c r="D838" s="55">
        <v>0</v>
      </c>
      <c r="E838" s="53">
        <v>4</v>
      </c>
      <c r="F838" s="53">
        <v>0</v>
      </c>
      <c r="G838" s="55">
        <v>0</v>
      </c>
      <c r="H838" s="55">
        <v>0</v>
      </c>
      <c r="I838" s="55">
        <v>0</v>
      </c>
      <c r="J838" s="53" t="s">
        <v>5518</v>
      </c>
      <c r="K838" s="53" t="s">
        <v>5519</v>
      </c>
      <c r="L838" s="53" t="s">
        <v>4052</v>
      </c>
    </row>
    <row r="839" spans="1:12" ht="15" customHeight="1" x14ac:dyDescent="0.35">
      <c r="A839" s="53" t="s">
        <v>3225</v>
      </c>
      <c r="B839" s="53" t="s">
        <v>963</v>
      </c>
      <c r="C839" s="55">
        <v>0</v>
      </c>
      <c r="D839" s="55">
        <v>0</v>
      </c>
      <c r="E839" s="53">
        <v>4</v>
      </c>
      <c r="F839" s="53">
        <v>0</v>
      </c>
      <c r="G839" s="55">
        <v>0</v>
      </c>
      <c r="H839" s="55">
        <v>0</v>
      </c>
      <c r="I839" s="55">
        <v>0</v>
      </c>
      <c r="J839" s="53" t="s">
        <v>5520</v>
      </c>
      <c r="K839" s="53" t="s">
        <v>5521</v>
      </c>
      <c r="L839" s="53" t="s">
        <v>4253</v>
      </c>
    </row>
    <row r="840" spans="1:12" ht="15" customHeight="1" x14ac:dyDescent="0.35">
      <c r="A840" s="53" t="s">
        <v>3227</v>
      </c>
      <c r="B840" s="53" t="s">
        <v>1817</v>
      </c>
      <c r="C840" s="55">
        <v>0</v>
      </c>
      <c r="D840" s="55">
        <v>0</v>
      </c>
      <c r="E840" s="53">
        <v>4</v>
      </c>
      <c r="F840" s="53">
        <v>1</v>
      </c>
      <c r="G840" s="55">
        <v>0.25</v>
      </c>
      <c r="H840" s="55">
        <v>0</v>
      </c>
      <c r="I840" s="55">
        <v>0</v>
      </c>
      <c r="J840" s="53" t="s">
        <v>4757</v>
      </c>
      <c r="K840" s="53" t="s">
        <v>5522</v>
      </c>
      <c r="L840" s="53" t="s">
        <v>4052</v>
      </c>
    </row>
    <row r="841" spans="1:12" ht="15" customHeight="1" x14ac:dyDescent="0.35">
      <c r="A841" s="53" t="s">
        <v>3228</v>
      </c>
      <c r="B841" s="53" t="s">
        <v>989</v>
      </c>
      <c r="C841" s="55">
        <v>0</v>
      </c>
      <c r="D841" s="55">
        <v>0</v>
      </c>
      <c r="E841" s="53">
        <v>4</v>
      </c>
      <c r="F841" s="53">
        <v>0</v>
      </c>
      <c r="G841" s="55">
        <v>0</v>
      </c>
      <c r="H841" s="55">
        <v>0</v>
      </c>
      <c r="I841" s="55">
        <v>0</v>
      </c>
      <c r="J841" s="53" t="s">
        <v>5131</v>
      </c>
      <c r="K841" s="53" t="s">
        <v>5523</v>
      </c>
      <c r="L841" s="53" t="s">
        <v>5294</v>
      </c>
    </row>
    <row r="842" spans="1:12" ht="15" customHeight="1" x14ac:dyDescent="0.35">
      <c r="A842" s="53" t="s">
        <v>3229</v>
      </c>
      <c r="B842" s="53" t="s">
        <v>921</v>
      </c>
      <c r="C842" s="55">
        <v>0</v>
      </c>
      <c r="D842" s="55">
        <v>0</v>
      </c>
      <c r="E842" s="53">
        <v>4</v>
      </c>
      <c r="F842" s="53">
        <v>0</v>
      </c>
      <c r="G842" s="55">
        <v>0</v>
      </c>
      <c r="H842" s="55">
        <v>0</v>
      </c>
      <c r="I842" s="55">
        <v>0</v>
      </c>
      <c r="J842" s="53" t="s">
        <v>5524</v>
      </c>
      <c r="K842" s="53" t="s">
        <v>5525</v>
      </c>
      <c r="L842" s="53" t="s">
        <v>4052</v>
      </c>
    </row>
    <row r="843" spans="1:12" ht="15" customHeight="1" x14ac:dyDescent="0.35">
      <c r="A843" s="53" t="s">
        <v>3231</v>
      </c>
      <c r="B843" s="53" t="s">
        <v>1009</v>
      </c>
      <c r="C843" s="55">
        <v>0</v>
      </c>
      <c r="D843" s="55">
        <v>0</v>
      </c>
      <c r="E843" s="53">
        <v>4</v>
      </c>
      <c r="F843" s="53">
        <v>0</v>
      </c>
      <c r="G843" s="55">
        <v>0</v>
      </c>
      <c r="H843" s="55">
        <v>0</v>
      </c>
      <c r="I843" s="55">
        <v>0</v>
      </c>
      <c r="J843" s="53" t="s">
        <v>5511</v>
      </c>
      <c r="K843" s="53" t="s">
        <v>5526</v>
      </c>
      <c r="L843" s="53" t="s">
        <v>4052</v>
      </c>
    </row>
    <row r="844" spans="1:12" ht="15" customHeight="1" x14ac:dyDescent="0.35">
      <c r="A844" s="53" t="s">
        <v>3232</v>
      </c>
      <c r="B844" s="53" t="s">
        <v>1122</v>
      </c>
      <c r="C844" s="55">
        <v>0</v>
      </c>
      <c r="D844" s="55">
        <v>0</v>
      </c>
      <c r="E844" s="53">
        <v>4</v>
      </c>
      <c r="F844" s="53">
        <v>0</v>
      </c>
      <c r="G844" s="55">
        <v>0</v>
      </c>
      <c r="H844" s="55">
        <v>0</v>
      </c>
      <c r="I844" s="55">
        <v>0</v>
      </c>
      <c r="J844" s="53" t="s">
        <v>5527</v>
      </c>
      <c r="K844" s="53" t="s">
        <v>5528</v>
      </c>
      <c r="L844" s="53" t="s">
        <v>4604</v>
      </c>
    </row>
    <row r="845" spans="1:12" ht="15" customHeight="1" x14ac:dyDescent="0.35">
      <c r="A845" s="53" t="s">
        <v>3234</v>
      </c>
      <c r="B845" s="53" t="s">
        <v>1077</v>
      </c>
      <c r="C845" s="55">
        <v>0</v>
      </c>
      <c r="D845" s="55">
        <v>0</v>
      </c>
      <c r="E845" s="53">
        <v>4</v>
      </c>
      <c r="F845" s="53">
        <v>0</v>
      </c>
      <c r="G845" s="55">
        <v>0</v>
      </c>
      <c r="H845" s="55">
        <v>0</v>
      </c>
      <c r="I845" s="55">
        <v>0</v>
      </c>
      <c r="J845" s="53" t="s">
        <v>5529</v>
      </c>
      <c r="K845" s="53" t="s">
        <v>5530</v>
      </c>
      <c r="L845" s="53" t="s">
        <v>4214</v>
      </c>
    </row>
    <row r="846" spans="1:12" ht="15" customHeight="1" x14ac:dyDescent="0.35">
      <c r="A846" s="53" t="s">
        <v>3236</v>
      </c>
      <c r="B846" s="53" t="s">
        <v>963</v>
      </c>
      <c r="C846" s="55">
        <v>0</v>
      </c>
      <c r="D846" s="55">
        <v>0</v>
      </c>
      <c r="E846" s="53">
        <v>4</v>
      </c>
      <c r="F846" s="53">
        <v>0</v>
      </c>
      <c r="G846" s="55">
        <v>0</v>
      </c>
      <c r="H846" s="55">
        <v>0</v>
      </c>
      <c r="I846" s="55">
        <v>0</v>
      </c>
      <c r="J846" s="53" t="s">
        <v>5520</v>
      </c>
      <c r="K846" s="53" t="s">
        <v>5531</v>
      </c>
      <c r="L846" s="53" t="s">
        <v>4839</v>
      </c>
    </row>
    <row r="847" spans="1:12" ht="15" customHeight="1" x14ac:dyDescent="0.35">
      <c r="A847" s="53" t="s">
        <v>3237</v>
      </c>
      <c r="B847" s="53" t="s">
        <v>921</v>
      </c>
      <c r="C847" s="55">
        <v>0</v>
      </c>
      <c r="D847" s="55">
        <v>0</v>
      </c>
      <c r="E847" s="53">
        <v>4</v>
      </c>
      <c r="F847" s="53">
        <v>0</v>
      </c>
      <c r="G847" s="55">
        <v>0</v>
      </c>
      <c r="H847" s="55">
        <v>0</v>
      </c>
      <c r="I847" s="55">
        <v>0</v>
      </c>
      <c r="J847" s="53" t="s">
        <v>5532</v>
      </c>
      <c r="K847" s="53" t="s">
        <v>5533</v>
      </c>
      <c r="L847" s="53" t="s">
        <v>5014</v>
      </c>
    </row>
    <row r="848" spans="1:12" ht="15" customHeight="1" x14ac:dyDescent="0.35">
      <c r="A848" s="53" t="s">
        <v>3239</v>
      </c>
      <c r="B848" s="53" t="s">
        <v>1122</v>
      </c>
      <c r="C848" s="55">
        <v>0</v>
      </c>
      <c r="D848" s="55">
        <v>0</v>
      </c>
      <c r="E848" s="53">
        <v>4</v>
      </c>
      <c r="F848" s="53">
        <v>0</v>
      </c>
      <c r="G848" s="55">
        <v>0</v>
      </c>
      <c r="H848" s="55">
        <v>0</v>
      </c>
      <c r="I848" s="55">
        <v>0</v>
      </c>
      <c r="J848" s="53" t="s">
        <v>5509</v>
      </c>
      <c r="K848" s="53" t="s">
        <v>5534</v>
      </c>
      <c r="L848" s="53" t="s">
        <v>4214</v>
      </c>
    </row>
    <row r="849" spans="1:12" ht="15" customHeight="1" x14ac:dyDescent="0.35">
      <c r="A849" s="53" t="s">
        <v>3240</v>
      </c>
      <c r="B849" s="53" t="s">
        <v>1077</v>
      </c>
      <c r="C849" s="55">
        <v>0</v>
      </c>
      <c r="D849" s="55">
        <v>0</v>
      </c>
      <c r="E849" s="53">
        <v>4</v>
      </c>
      <c r="F849" s="53">
        <v>0</v>
      </c>
      <c r="G849" s="55">
        <v>0</v>
      </c>
      <c r="H849" s="55">
        <v>0</v>
      </c>
      <c r="I849" s="55">
        <v>0</v>
      </c>
      <c r="J849" s="53" t="s">
        <v>5535</v>
      </c>
      <c r="K849" s="53" t="s">
        <v>5536</v>
      </c>
      <c r="L849" s="53" t="s">
        <v>4214</v>
      </c>
    </row>
    <row r="850" spans="1:12" ht="15" customHeight="1" x14ac:dyDescent="0.35">
      <c r="A850" s="53" t="s">
        <v>3242</v>
      </c>
      <c r="B850" s="53" t="s">
        <v>1143</v>
      </c>
      <c r="C850" s="55">
        <v>0</v>
      </c>
      <c r="D850" s="55">
        <v>0</v>
      </c>
      <c r="E850" s="53">
        <v>4</v>
      </c>
      <c r="F850" s="53">
        <v>1</v>
      </c>
      <c r="G850" s="55">
        <v>0.25</v>
      </c>
      <c r="H850" s="55">
        <v>0</v>
      </c>
      <c r="I850" s="55">
        <v>0</v>
      </c>
      <c r="J850" s="53" t="s">
        <v>5529</v>
      </c>
      <c r="K850" s="53" t="s">
        <v>5537</v>
      </c>
      <c r="L850" s="53" t="s">
        <v>4534</v>
      </c>
    </row>
    <row r="851" spans="1:12" ht="15" customHeight="1" x14ac:dyDescent="0.35">
      <c r="A851" s="53" t="s">
        <v>3243</v>
      </c>
      <c r="B851" s="53" t="s">
        <v>1077</v>
      </c>
      <c r="C851" s="55">
        <v>0</v>
      </c>
      <c r="D851" s="55">
        <v>0</v>
      </c>
      <c r="E851" s="53">
        <v>4</v>
      </c>
      <c r="F851" s="53">
        <v>0</v>
      </c>
      <c r="G851" s="55">
        <v>0</v>
      </c>
      <c r="H851" s="55">
        <v>0</v>
      </c>
      <c r="I851" s="55">
        <v>0</v>
      </c>
      <c r="J851" s="53" t="s">
        <v>5538</v>
      </c>
      <c r="K851" s="53" t="s">
        <v>5539</v>
      </c>
      <c r="L851" s="53" t="s">
        <v>4360</v>
      </c>
    </row>
    <row r="852" spans="1:12" ht="15" customHeight="1" x14ac:dyDescent="0.35">
      <c r="A852" s="53" t="s">
        <v>3245</v>
      </c>
      <c r="B852" s="53" t="s">
        <v>1077</v>
      </c>
      <c r="C852" s="55">
        <v>0</v>
      </c>
      <c r="D852" s="55">
        <v>0</v>
      </c>
      <c r="E852" s="53">
        <v>4</v>
      </c>
      <c r="F852" s="53">
        <v>0</v>
      </c>
      <c r="G852" s="55">
        <v>0</v>
      </c>
      <c r="H852" s="55">
        <v>0</v>
      </c>
      <c r="I852" s="55">
        <v>0</v>
      </c>
      <c r="J852" s="53" t="s">
        <v>5540</v>
      </c>
      <c r="K852" s="53" t="s">
        <v>5541</v>
      </c>
      <c r="L852" s="53" t="s">
        <v>4360</v>
      </c>
    </row>
    <row r="853" spans="1:12" ht="15" customHeight="1" x14ac:dyDescent="0.35">
      <c r="A853" s="53" t="s">
        <v>3247</v>
      </c>
      <c r="B853" s="53" t="s">
        <v>1077</v>
      </c>
      <c r="C853" s="55">
        <v>0</v>
      </c>
      <c r="D853" s="55">
        <v>0</v>
      </c>
      <c r="E853" s="53">
        <v>4</v>
      </c>
      <c r="F853" s="53">
        <v>0</v>
      </c>
      <c r="G853" s="55">
        <v>0</v>
      </c>
      <c r="H853" s="55">
        <v>0</v>
      </c>
      <c r="I853" s="55">
        <v>0</v>
      </c>
      <c r="J853" s="53" t="s">
        <v>5542</v>
      </c>
      <c r="K853" s="53" t="s">
        <v>5543</v>
      </c>
      <c r="L853" s="53" t="s">
        <v>4360</v>
      </c>
    </row>
    <row r="854" spans="1:12" ht="15" customHeight="1" x14ac:dyDescent="0.35">
      <c r="A854" s="53" t="s">
        <v>3249</v>
      </c>
      <c r="B854" s="53" t="s">
        <v>1490</v>
      </c>
      <c r="C854" s="55">
        <v>0</v>
      </c>
      <c r="D854" s="55">
        <v>0</v>
      </c>
      <c r="E854" s="53">
        <v>4</v>
      </c>
      <c r="F854" s="53">
        <v>0</v>
      </c>
      <c r="G854" s="55">
        <v>0</v>
      </c>
      <c r="H854" s="55">
        <v>0</v>
      </c>
      <c r="I854" s="55">
        <v>0</v>
      </c>
      <c r="J854" s="53" t="s">
        <v>5544</v>
      </c>
      <c r="K854" s="53" t="s">
        <v>5545</v>
      </c>
      <c r="L854" s="53" t="s">
        <v>4491</v>
      </c>
    </row>
    <row r="855" spans="1:12" ht="15" customHeight="1" x14ac:dyDescent="0.35">
      <c r="A855" s="53" t="s">
        <v>3251</v>
      </c>
      <c r="B855" s="53" t="s">
        <v>1494</v>
      </c>
      <c r="C855" s="55">
        <v>0</v>
      </c>
      <c r="D855" s="55">
        <v>0</v>
      </c>
      <c r="E855" s="53">
        <v>4</v>
      </c>
      <c r="F855" s="53">
        <v>0</v>
      </c>
      <c r="G855" s="55">
        <v>0</v>
      </c>
      <c r="H855" s="55">
        <v>0</v>
      </c>
      <c r="I855" s="55">
        <v>0</v>
      </c>
      <c r="J855" s="53" t="s">
        <v>4757</v>
      </c>
      <c r="K855" s="53" t="s">
        <v>5546</v>
      </c>
      <c r="L855" s="53" t="s">
        <v>5031</v>
      </c>
    </row>
    <row r="856" spans="1:12" ht="15" customHeight="1" x14ac:dyDescent="0.35">
      <c r="A856" s="53" t="s">
        <v>3252</v>
      </c>
      <c r="B856" s="53" t="s">
        <v>1768</v>
      </c>
      <c r="C856" s="55">
        <v>0</v>
      </c>
      <c r="D856" s="55">
        <v>0</v>
      </c>
      <c r="E856" s="53">
        <v>4</v>
      </c>
      <c r="F856" s="53">
        <v>0</v>
      </c>
      <c r="G856" s="55">
        <v>0</v>
      </c>
      <c r="H856" s="55">
        <v>0</v>
      </c>
      <c r="I856" s="55">
        <v>0</v>
      </c>
      <c r="J856" s="53" t="s">
        <v>5547</v>
      </c>
      <c r="K856" s="53" t="s">
        <v>5548</v>
      </c>
      <c r="L856" s="53" t="s">
        <v>4491</v>
      </c>
    </row>
    <row r="857" spans="1:12" ht="15" customHeight="1" x14ac:dyDescent="0.35">
      <c r="A857" s="53" t="s">
        <v>3254</v>
      </c>
      <c r="B857" s="53" t="s">
        <v>1143</v>
      </c>
      <c r="C857" s="55">
        <v>0</v>
      </c>
      <c r="D857" s="55">
        <v>0</v>
      </c>
      <c r="E857" s="53">
        <v>3</v>
      </c>
      <c r="F857" s="53">
        <v>0</v>
      </c>
      <c r="G857" s="55">
        <v>0</v>
      </c>
      <c r="H857" s="55">
        <v>0</v>
      </c>
      <c r="I857" s="55">
        <v>0</v>
      </c>
      <c r="J857" s="53" t="s">
        <v>5549</v>
      </c>
      <c r="K857" s="53" t="s">
        <v>5550</v>
      </c>
      <c r="L857" s="53" t="s">
        <v>4253</v>
      </c>
    </row>
    <row r="858" spans="1:12" ht="15" customHeight="1" x14ac:dyDescent="0.35">
      <c r="A858" s="53" t="s">
        <v>3256</v>
      </c>
      <c r="B858" s="53" t="s">
        <v>1817</v>
      </c>
      <c r="C858" s="55">
        <v>0</v>
      </c>
      <c r="D858" s="55">
        <v>0</v>
      </c>
      <c r="E858" s="53">
        <v>3</v>
      </c>
      <c r="F858" s="53">
        <v>0</v>
      </c>
      <c r="G858" s="55">
        <v>0</v>
      </c>
      <c r="H858" s="55">
        <v>0</v>
      </c>
      <c r="I858" s="55">
        <v>0</v>
      </c>
      <c r="J858" s="53" t="s">
        <v>4931</v>
      </c>
      <c r="K858" s="53" t="s">
        <v>5551</v>
      </c>
      <c r="L858" s="53" t="s">
        <v>4253</v>
      </c>
    </row>
    <row r="859" spans="1:12" ht="15" customHeight="1" x14ac:dyDescent="0.35">
      <c r="A859" s="53" t="s">
        <v>3257</v>
      </c>
      <c r="B859" s="53" t="s">
        <v>1690</v>
      </c>
      <c r="C859" s="55">
        <v>0</v>
      </c>
      <c r="D859" s="55">
        <v>0</v>
      </c>
      <c r="E859" s="53">
        <v>3</v>
      </c>
      <c r="F859" s="53">
        <v>1</v>
      </c>
      <c r="G859" s="55">
        <v>0.33333333333333298</v>
      </c>
      <c r="H859" s="55">
        <v>0</v>
      </c>
      <c r="I859" s="55">
        <v>0</v>
      </c>
      <c r="J859" s="53" t="s">
        <v>4984</v>
      </c>
      <c r="K859" s="53" t="s">
        <v>5552</v>
      </c>
      <c r="L859" s="53" t="s">
        <v>4349</v>
      </c>
    </row>
    <row r="860" spans="1:12" ht="15" customHeight="1" x14ac:dyDescent="0.35">
      <c r="A860" s="53" t="s">
        <v>3258</v>
      </c>
      <c r="B860" s="53" t="s">
        <v>1697</v>
      </c>
      <c r="C860" s="55">
        <v>0</v>
      </c>
      <c r="D860" s="55">
        <v>0</v>
      </c>
      <c r="E860" s="53">
        <v>3</v>
      </c>
      <c r="F860" s="53">
        <v>0</v>
      </c>
      <c r="G860" s="55">
        <v>0</v>
      </c>
      <c r="H860" s="55">
        <v>0</v>
      </c>
      <c r="I860" s="55">
        <v>0</v>
      </c>
      <c r="J860" s="53" t="s">
        <v>5372</v>
      </c>
      <c r="K860" s="53" t="s">
        <v>5553</v>
      </c>
      <c r="L860" s="53" t="s">
        <v>4253</v>
      </c>
    </row>
    <row r="861" spans="1:12" ht="15" customHeight="1" x14ac:dyDescent="0.35">
      <c r="A861" s="53" t="s">
        <v>3259</v>
      </c>
      <c r="B861" s="53" t="s">
        <v>1731</v>
      </c>
      <c r="C861" s="55">
        <v>0</v>
      </c>
      <c r="D861" s="55">
        <v>0</v>
      </c>
      <c r="E861" s="53">
        <v>3</v>
      </c>
      <c r="F861" s="53">
        <v>0</v>
      </c>
      <c r="G861" s="55">
        <v>0</v>
      </c>
      <c r="H861" s="55">
        <v>0</v>
      </c>
      <c r="I861" s="55">
        <v>0</v>
      </c>
      <c r="J861" s="53" t="s">
        <v>5554</v>
      </c>
      <c r="K861" s="53" t="s">
        <v>5555</v>
      </c>
      <c r="L861" s="53" t="s">
        <v>4534</v>
      </c>
    </row>
    <row r="862" spans="1:12" ht="15" customHeight="1" x14ac:dyDescent="0.35">
      <c r="A862" s="53" t="s">
        <v>3261</v>
      </c>
      <c r="B862" s="53" t="s">
        <v>1240</v>
      </c>
      <c r="C862" s="55">
        <v>0</v>
      </c>
      <c r="D862" s="55">
        <v>0</v>
      </c>
      <c r="E862" s="53">
        <v>3</v>
      </c>
      <c r="F862" s="53">
        <v>0</v>
      </c>
      <c r="G862" s="55">
        <v>0</v>
      </c>
      <c r="H862" s="55">
        <v>0</v>
      </c>
      <c r="I862" s="55">
        <v>0</v>
      </c>
      <c r="J862" s="53" t="s">
        <v>5372</v>
      </c>
      <c r="K862" s="53" t="s">
        <v>5556</v>
      </c>
      <c r="L862" s="53" t="s">
        <v>4871</v>
      </c>
    </row>
    <row r="863" spans="1:12" ht="15" customHeight="1" x14ac:dyDescent="0.35">
      <c r="A863" s="53" t="s">
        <v>3262</v>
      </c>
      <c r="B863" s="53" t="s">
        <v>1299</v>
      </c>
      <c r="C863" s="55">
        <v>0</v>
      </c>
      <c r="D863" s="55">
        <v>0</v>
      </c>
      <c r="E863" s="53">
        <v>3</v>
      </c>
      <c r="F863" s="53">
        <v>0</v>
      </c>
      <c r="G863" s="55">
        <v>0</v>
      </c>
      <c r="H863" s="55">
        <v>0</v>
      </c>
      <c r="I863" s="55">
        <v>0</v>
      </c>
      <c r="J863" s="53" t="s">
        <v>5557</v>
      </c>
      <c r="K863" s="53" t="s">
        <v>5558</v>
      </c>
      <c r="L863" s="53" t="s">
        <v>4871</v>
      </c>
    </row>
    <row r="864" spans="1:12" ht="15" customHeight="1" x14ac:dyDescent="0.35">
      <c r="A864" s="53" t="s">
        <v>3264</v>
      </c>
      <c r="B864" s="53" t="s">
        <v>2602</v>
      </c>
      <c r="C864" s="55">
        <v>0</v>
      </c>
      <c r="D864" s="55">
        <v>0</v>
      </c>
      <c r="E864" s="53">
        <v>3</v>
      </c>
      <c r="F864" s="53">
        <v>0</v>
      </c>
      <c r="G864" s="55">
        <v>0</v>
      </c>
      <c r="H864" s="55">
        <v>0</v>
      </c>
      <c r="I864" s="55">
        <v>0</v>
      </c>
      <c r="J864" s="53" t="s">
        <v>5559</v>
      </c>
      <c r="K864" s="53" t="s">
        <v>5560</v>
      </c>
      <c r="L864" s="53" t="s">
        <v>3941</v>
      </c>
    </row>
    <row r="865" spans="1:12" ht="15" customHeight="1" x14ac:dyDescent="0.35">
      <c r="A865" s="53" t="s">
        <v>3266</v>
      </c>
      <c r="B865" s="53" t="s">
        <v>1118</v>
      </c>
      <c r="C865" s="55">
        <v>0</v>
      </c>
      <c r="D865" s="55">
        <v>0</v>
      </c>
      <c r="E865" s="53">
        <v>3</v>
      </c>
      <c r="F865" s="53">
        <v>0</v>
      </c>
      <c r="G865" s="55">
        <v>0</v>
      </c>
      <c r="H865" s="55">
        <v>0</v>
      </c>
      <c r="I865" s="55">
        <v>0</v>
      </c>
      <c r="J865" s="53" t="s">
        <v>5277</v>
      </c>
      <c r="K865" s="53" t="s">
        <v>5561</v>
      </c>
      <c r="L865" s="53" t="s">
        <v>4772</v>
      </c>
    </row>
    <row r="866" spans="1:12" ht="15" customHeight="1" x14ac:dyDescent="0.35">
      <c r="A866" s="53" t="s">
        <v>3267</v>
      </c>
      <c r="B866" s="53" t="s">
        <v>898</v>
      </c>
      <c r="C866" s="55">
        <v>0</v>
      </c>
      <c r="D866" s="55">
        <v>0</v>
      </c>
      <c r="E866" s="53">
        <v>3</v>
      </c>
      <c r="F866" s="53">
        <v>1</v>
      </c>
      <c r="G866" s="55">
        <v>0.33333333333333298</v>
      </c>
      <c r="H866" s="55">
        <v>0</v>
      </c>
      <c r="I866" s="55">
        <v>0</v>
      </c>
      <c r="J866" s="53" t="s">
        <v>5277</v>
      </c>
      <c r="K866" s="53" t="s">
        <v>5562</v>
      </c>
      <c r="L866" s="53" t="s">
        <v>4349</v>
      </c>
    </row>
    <row r="867" spans="1:12" ht="15" customHeight="1" x14ac:dyDescent="0.35">
      <c r="A867" s="53" t="s">
        <v>3268</v>
      </c>
      <c r="B867" s="53" t="s">
        <v>1136</v>
      </c>
      <c r="C867" s="55">
        <v>0</v>
      </c>
      <c r="D867" s="55">
        <v>0</v>
      </c>
      <c r="E867" s="53">
        <v>3</v>
      </c>
      <c r="F867" s="53">
        <v>0</v>
      </c>
      <c r="G867" s="55">
        <v>0</v>
      </c>
      <c r="H867" s="55">
        <v>0</v>
      </c>
      <c r="I867" s="55">
        <v>0</v>
      </c>
      <c r="J867" s="53" t="s">
        <v>4856</v>
      </c>
      <c r="K867" s="53" t="s">
        <v>5563</v>
      </c>
      <c r="L867" s="53" t="s">
        <v>4253</v>
      </c>
    </row>
    <row r="868" spans="1:12" ht="15" customHeight="1" x14ac:dyDescent="0.35">
      <c r="A868" s="53" t="s">
        <v>3269</v>
      </c>
      <c r="B868" s="53" t="s">
        <v>1143</v>
      </c>
      <c r="C868" s="55">
        <v>0</v>
      </c>
      <c r="D868" s="55">
        <v>0</v>
      </c>
      <c r="E868" s="53">
        <v>3</v>
      </c>
      <c r="F868" s="53">
        <v>0</v>
      </c>
      <c r="G868" s="55">
        <v>0</v>
      </c>
      <c r="H868" s="55">
        <v>0</v>
      </c>
      <c r="I868" s="55">
        <v>0</v>
      </c>
      <c r="J868" s="53" t="s">
        <v>5564</v>
      </c>
      <c r="K868" s="53" t="s">
        <v>5565</v>
      </c>
      <c r="L868" s="53" t="s">
        <v>5294</v>
      </c>
    </row>
    <row r="869" spans="1:12" ht="15" customHeight="1" x14ac:dyDescent="0.35">
      <c r="A869" s="53" t="s">
        <v>3271</v>
      </c>
      <c r="B869" s="53" t="s">
        <v>1299</v>
      </c>
      <c r="C869" s="55">
        <v>0</v>
      </c>
      <c r="D869" s="55">
        <v>0</v>
      </c>
      <c r="E869" s="53">
        <v>3</v>
      </c>
      <c r="F869" s="53">
        <v>0</v>
      </c>
      <c r="G869" s="55">
        <v>0</v>
      </c>
      <c r="H869" s="55">
        <v>0</v>
      </c>
      <c r="I869" s="55">
        <v>0</v>
      </c>
      <c r="J869" s="53" t="s">
        <v>5559</v>
      </c>
      <c r="K869" s="53" t="s">
        <v>5566</v>
      </c>
      <c r="L869" s="53" t="s">
        <v>4253</v>
      </c>
    </row>
    <row r="870" spans="1:12" ht="15" customHeight="1" x14ac:dyDescent="0.35">
      <c r="A870" s="53" t="s">
        <v>3272</v>
      </c>
      <c r="B870" s="53" t="s">
        <v>1077</v>
      </c>
      <c r="C870" s="55">
        <v>0</v>
      </c>
      <c r="D870" s="55">
        <v>0</v>
      </c>
      <c r="E870" s="53">
        <v>3</v>
      </c>
      <c r="F870" s="53">
        <v>0</v>
      </c>
      <c r="G870" s="55">
        <v>0</v>
      </c>
      <c r="H870" s="55">
        <v>0</v>
      </c>
      <c r="I870" s="55">
        <v>0</v>
      </c>
      <c r="J870" s="53" t="s">
        <v>4856</v>
      </c>
      <c r="K870" s="53" t="s">
        <v>5567</v>
      </c>
      <c r="L870" s="53" t="s">
        <v>4772</v>
      </c>
    </row>
    <row r="871" spans="1:12" ht="15" customHeight="1" x14ac:dyDescent="0.35">
      <c r="A871" s="53" t="s">
        <v>3273</v>
      </c>
      <c r="B871" s="53" t="s">
        <v>1077</v>
      </c>
      <c r="C871" s="55">
        <v>0</v>
      </c>
      <c r="D871" s="55">
        <v>0</v>
      </c>
      <c r="E871" s="53">
        <v>3</v>
      </c>
      <c r="F871" s="53">
        <v>0</v>
      </c>
      <c r="G871" s="55">
        <v>0</v>
      </c>
      <c r="H871" s="55">
        <v>0</v>
      </c>
      <c r="I871" s="55">
        <v>0</v>
      </c>
      <c r="J871" s="53" t="s">
        <v>5568</v>
      </c>
      <c r="K871" s="53" t="s">
        <v>5569</v>
      </c>
      <c r="L871" s="53" t="s">
        <v>4772</v>
      </c>
    </row>
    <row r="872" spans="1:12" ht="15" customHeight="1" x14ac:dyDescent="0.35">
      <c r="A872" s="53" t="s">
        <v>3275</v>
      </c>
      <c r="B872" s="53" t="s">
        <v>989</v>
      </c>
      <c r="C872" s="55">
        <v>0</v>
      </c>
      <c r="D872" s="55">
        <v>0</v>
      </c>
      <c r="E872" s="53">
        <v>3</v>
      </c>
      <c r="F872" s="53">
        <v>0</v>
      </c>
      <c r="G872" s="55">
        <v>0</v>
      </c>
      <c r="H872" s="55">
        <v>0</v>
      </c>
      <c r="I872" s="55">
        <v>0</v>
      </c>
      <c r="J872" s="53" t="s">
        <v>5570</v>
      </c>
      <c r="K872" s="53" t="s">
        <v>5571</v>
      </c>
      <c r="L872" s="53" t="s">
        <v>4858</v>
      </c>
    </row>
    <row r="873" spans="1:12" ht="15" customHeight="1" x14ac:dyDescent="0.35">
      <c r="A873" s="53" t="s">
        <v>3277</v>
      </c>
      <c r="B873" s="53" t="s">
        <v>1077</v>
      </c>
      <c r="C873" s="55">
        <v>0</v>
      </c>
      <c r="D873" s="55">
        <v>0</v>
      </c>
      <c r="E873" s="53">
        <v>3</v>
      </c>
      <c r="F873" s="53">
        <v>0</v>
      </c>
      <c r="G873" s="55">
        <v>0</v>
      </c>
      <c r="H873" s="55">
        <v>0</v>
      </c>
      <c r="I873" s="55">
        <v>0</v>
      </c>
      <c r="J873" s="53" t="s">
        <v>5572</v>
      </c>
      <c r="K873" s="53" t="s">
        <v>5573</v>
      </c>
      <c r="L873" s="53" t="s">
        <v>4772</v>
      </c>
    </row>
    <row r="874" spans="1:12" ht="15" customHeight="1" x14ac:dyDescent="0.35">
      <c r="A874" s="53" t="s">
        <v>3279</v>
      </c>
      <c r="B874" s="53" t="s">
        <v>1077</v>
      </c>
      <c r="C874" s="55">
        <v>0</v>
      </c>
      <c r="D874" s="55">
        <v>0</v>
      </c>
      <c r="E874" s="53">
        <v>3</v>
      </c>
      <c r="F874" s="53">
        <v>0</v>
      </c>
      <c r="G874" s="55">
        <v>0</v>
      </c>
      <c r="H874" s="55">
        <v>0</v>
      </c>
      <c r="I874" s="55">
        <v>0</v>
      </c>
      <c r="J874" s="53" t="s">
        <v>5549</v>
      </c>
      <c r="K874" s="53" t="s">
        <v>5574</v>
      </c>
      <c r="L874" s="53" t="s">
        <v>4253</v>
      </c>
    </row>
    <row r="875" spans="1:12" ht="15" customHeight="1" x14ac:dyDescent="0.35">
      <c r="A875" s="53" t="s">
        <v>3280</v>
      </c>
      <c r="B875" s="53" t="s">
        <v>921</v>
      </c>
      <c r="C875" s="55">
        <v>0</v>
      </c>
      <c r="D875" s="55">
        <v>0</v>
      </c>
      <c r="E875" s="53">
        <v>3</v>
      </c>
      <c r="F875" s="53">
        <v>0</v>
      </c>
      <c r="G875" s="55">
        <v>0</v>
      </c>
      <c r="H875" s="55">
        <v>0</v>
      </c>
      <c r="I875" s="55">
        <v>0</v>
      </c>
      <c r="J875" s="53" t="s">
        <v>5549</v>
      </c>
      <c r="K875" s="53" t="s">
        <v>5575</v>
      </c>
      <c r="L875" s="53" t="s">
        <v>4905</v>
      </c>
    </row>
    <row r="876" spans="1:12" ht="15" customHeight="1" x14ac:dyDescent="0.35">
      <c r="A876" s="53" t="s">
        <v>3281</v>
      </c>
      <c r="B876" s="53" t="s">
        <v>1659</v>
      </c>
      <c r="C876" s="55">
        <v>0</v>
      </c>
      <c r="D876" s="55">
        <v>0</v>
      </c>
      <c r="E876" s="53">
        <v>3</v>
      </c>
      <c r="F876" s="53">
        <v>1</v>
      </c>
      <c r="G876" s="55">
        <v>0.33333333333333298</v>
      </c>
      <c r="H876" s="55">
        <v>0</v>
      </c>
      <c r="I876" s="55">
        <v>0</v>
      </c>
      <c r="J876" s="53" t="s">
        <v>5576</v>
      </c>
      <c r="K876" s="53" t="s">
        <v>5577</v>
      </c>
      <c r="L876" s="53" t="s">
        <v>4253</v>
      </c>
    </row>
    <row r="877" spans="1:12" ht="15" customHeight="1" x14ac:dyDescent="0.35">
      <c r="A877" s="53" t="s">
        <v>3283</v>
      </c>
      <c r="B877" s="53" t="s">
        <v>1659</v>
      </c>
      <c r="C877" s="55">
        <v>0</v>
      </c>
      <c r="D877" s="55">
        <v>0</v>
      </c>
      <c r="E877" s="53">
        <v>3</v>
      </c>
      <c r="F877" s="53">
        <v>0</v>
      </c>
      <c r="G877" s="55">
        <v>0</v>
      </c>
      <c r="H877" s="55">
        <v>0</v>
      </c>
      <c r="I877" s="55">
        <v>0</v>
      </c>
      <c r="J877" s="53" t="s">
        <v>5578</v>
      </c>
      <c r="K877" s="53" t="s">
        <v>5579</v>
      </c>
      <c r="L877" s="53" t="s">
        <v>4253</v>
      </c>
    </row>
    <row r="878" spans="1:12" ht="15" customHeight="1" x14ac:dyDescent="0.35">
      <c r="A878" s="53" t="s">
        <v>3285</v>
      </c>
      <c r="B878" s="53" t="s">
        <v>1077</v>
      </c>
      <c r="C878" s="55">
        <v>0</v>
      </c>
      <c r="D878" s="55">
        <v>0</v>
      </c>
      <c r="E878" s="53">
        <v>3</v>
      </c>
      <c r="F878" s="53">
        <v>0</v>
      </c>
      <c r="G878" s="55">
        <v>0</v>
      </c>
      <c r="H878" s="55">
        <v>0</v>
      </c>
      <c r="I878" s="55">
        <v>0</v>
      </c>
      <c r="J878" s="53" t="s">
        <v>5564</v>
      </c>
      <c r="K878" s="53" t="s">
        <v>5580</v>
      </c>
      <c r="L878" s="53" t="s">
        <v>4349</v>
      </c>
    </row>
    <row r="879" spans="1:12" ht="15" customHeight="1" x14ac:dyDescent="0.35">
      <c r="A879" s="53" t="s">
        <v>3286</v>
      </c>
      <c r="B879" s="53" t="s">
        <v>959</v>
      </c>
      <c r="C879" s="55">
        <v>0</v>
      </c>
      <c r="D879" s="55">
        <v>0</v>
      </c>
      <c r="E879" s="53">
        <v>3</v>
      </c>
      <c r="F879" s="53">
        <v>0</v>
      </c>
      <c r="G879" s="55">
        <v>0</v>
      </c>
      <c r="H879" s="55">
        <v>0</v>
      </c>
      <c r="I879" s="55">
        <v>0</v>
      </c>
      <c r="J879" s="53" t="s">
        <v>5581</v>
      </c>
      <c r="K879" s="53" t="s">
        <v>5582</v>
      </c>
      <c r="L879" s="53" t="s">
        <v>4604</v>
      </c>
    </row>
    <row r="880" spans="1:12" ht="15" customHeight="1" x14ac:dyDescent="0.35">
      <c r="A880" s="53" t="s">
        <v>3288</v>
      </c>
      <c r="B880" s="53" t="s">
        <v>1070</v>
      </c>
      <c r="C880" s="55">
        <v>0</v>
      </c>
      <c r="D880" s="55">
        <v>0</v>
      </c>
      <c r="E880" s="53">
        <v>3</v>
      </c>
      <c r="F880" s="53">
        <v>0</v>
      </c>
      <c r="G880" s="55">
        <v>0</v>
      </c>
      <c r="H880" s="55">
        <v>0</v>
      </c>
      <c r="I880" s="55">
        <v>0</v>
      </c>
      <c r="J880" s="53" t="s">
        <v>5583</v>
      </c>
      <c r="K880" s="53" t="s">
        <v>5584</v>
      </c>
      <c r="L880" s="53" t="s">
        <v>4253</v>
      </c>
    </row>
    <row r="881" spans="1:12" ht="15" customHeight="1" x14ac:dyDescent="0.35">
      <c r="A881" s="53" t="s">
        <v>3290</v>
      </c>
      <c r="B881" s="53" t="s">
        <v>996</v>
      </c>
      <c r="C881" s="55">
        <v>0</v>
      </c>
      <c r="D881" s="55">
        <v>0</v>
      </c>
      <c r="E881" s="53">
        <v>3</v>
      </c>
      <c r="F881" s="53">
        <v>0</v>
      </c>
      <c r="G881" s="55">
        <v>0</v>
      </c>
      <c r="H881" s="55">
        <v>0</v>
      </c>
      <c r="I881" s="55">
        <v>0</v>
      </c>
      <c r="J881" s="53" t="s">
        <v>5585</v>
      </c>
      <c r="K881" s="53" t="s">
        <v>5586</v>
      </c>
      <c r="L881" s="53" t="s">
        <v>4253</v>
      </c>
    </row>
    <row r="882" spans="1:12" ht="15" customHeight="1" x14ac:dyDescent="0.35">
      <c r="A882" s="53" t="s">
        <v>3292</v>
      </c>
      <c r="B882" s="53" t="s">
        <v>959</v>
      </c>
      <c r="C882" s="55">
        <v>0</v>
      </c>
      <c r="D882" s="55">
        <v>0</v>
      </c>
      <c r="E882" s="53">
        <v>3</v>
      </c>
      <c r="F882" s="53">
        <v>0</v>
      </c>
      <c r="G882" s="55">
        <v>0</v>
      </c>
      <c r="H882" s="55">
        <v>0</v>
      </c>
      <c r="I882" s="55">
        <v>0</v>
      </c>
      <c r="J882" s="53" t="s">
        <v>5549</v>
      </c>
      <c r="K882" s="53" t="s">
        <v>5587</v>
      </c>
      <c r="L882" s="53" t="s">
        <v>4214</v>
      </c>
    </row>
    <row r="883" spans="1:12" ht="15" customHeight="1" x14ac:dyDescent="0.35">
      <c r="A883" s="53" t="s">
        <v>3293</v>
      </c>
      <c r="B883" s="53" t="s">
        <v>1077</v>
      </c>
      <c r="C883" s="55">
        <v>0</v>
      </c>
      <c r="D883" s="55">
        <v>0</v>
      </c>
      <c r="E883" s="53">
        <v>3</v>
      </c>
      <c r="F883" s="53">
        <v>0</v>
      </c>
      <c r="G883" s="55">
        <v>0</v>
      </c>
      <c r="H883" s="55">
        <v>0</v>
      </c>
      <c r="I883" s="55">
        <v>0</v>
      </c>
      <c r="J883" s="53" t="s">
        <v>4856</v>
      </c>
      <c r="K883" s="53" t="s">
        <v>5588</v>
      </c>
      <c r="L883" s="53" t="s">
        <v>4214</v>
      </c>
    </row>
    <row r="884" spans="1:12" ht="15" customHeight="1" x14ac:dyDescent="0.35">
      <c r="A884" s="53" t="s">
        <v>3294</v>
      </c>
      <c r="B884" s="53" t="s">
        <v>1077</v>
      </c>
      <c r="C884" s="55">
        <v>0</v>
      </c>
      <c r="D884" s="55">
        <v>0</v>
      </c>
      <c r="E884" s="53">
        <v>3</v>
      </c>
      <c r="F884" s="53">
        <v>0</v>
      </c>
      <c r="G884" s="55">
        <v>0</v>
      </c>
      <c r="H884" s="55">
        <v>0</v>
      </c>
      <c r="I884" s="55">
        <v>0</v>
      </c>
      <c r="J884" s="53" t="s">
        <v>5589</v>
      </c>
      <c r="K884" s="53" t="s">
        <v>5590</v>
      </c>
      <c r="L884" s="53" t="s">
        <v>4214</v>
      </c>
    </row>
    <row r="885" spans="1:12" ht="15" customHeight="1" x14ac:dyDescent="0.35">
      <c r="A885" s="53" t="s">
        <v>3296</v>
      </c>
      <c r="B885" s="53" t="s">
        <v>1122</v>
      </c>
      <c r="C885" s="55">
        <v>0</v>
      </c>
      <c r="D885" s="55">
        <v>0</v>
      </c>
      <c r="E885" s="53">
        <v>3</v>
      </c>
      <c r="F885" s="53">
        <v>0</v>
      </c>
      <c r="G885" s="55">
        <v>0</v>
      </c>
      <c r="H885" s="55">
        <v>0</v>
      </c>
      <c r="I885" s="55">
        <v>0</v>
      </c>
      <c r="J885" s="53" t="s">
        <v>5286</v>
      </c>
      <c r="K885" s="53" t="s">
        <v>5591</v>
      </c>
      <c r="L885" s="53" t="s">
        <v>4763</v>
      </c>
    </row>
    <row r="886" spans="1:12" ht="15" customHeight="1" x14ac:dyDescent="0.35">
      <c r="A886" s="53" t="s">
        <v>3297</v>
      </c>
      <c r="B886" s="53" t="s">
        <v>921</v>
      </c>
      <c r="C886" s="55">
        <v>0</v>
      </c>
      <c r="D886" s="55">
        <v>0</v>
      </c>
      <c r="E886" s="53">
        <v>3</v>
      </c>
      <c r="F886" s="53">
        <v>0</v>
      </c>
      <c r="G886" s="55">
        <v>0</v>
      </c>
      <c r="H886" s="55">
        <v>0</v>
      </c>
      <c r="I886" s="55">
        <v>0</v>
      </c>
      <c r="J886" s="53" t="s">
        <v>5335</v>
      </c>
      <c r="K886" s="53" t="s">
        <v>5592</v>
      </c>
      <c r="L886" s="53" t="s">
        <v>4763</v>
      </c>
    </row>
    <row r="887" spans="1:12" ht="15" customHeight="1" x14ac:dyDescent="0.35">
      <c r="A887" s="53" t="s">
        <v>3298</v>
      </c>
      <c r="B887" s="53" t="s">
        <v>963</v>
      </c>
      <c r="C887" s="55">
        <v>0</v>
      </c>
      <c r="D887" s="55">
        <v>0</v>
      </c>
      <c r="E887" s="53">
        <v>3</v>
      </c>
      <c r="F887" s="53">
        <v>0</v>
      </c>
      <c r="G887" s="55">
        <v>0</v>
      </c>
      <c r="H887" s="55">
        <v>0</v>
      </c>
      <c r="I887" s="55">
        <v>0</v>
      </c>
      <c r="J887" s="53" t="s">
        <v>5549</v>
      </c>
      <c r="K887" s="53" t="s">
        <v>5593</v>
      </c>
      <c r="L887" s="53" t="s">
        <v>4839</v>
      </c>
    </row>
    <row r="888" spans="1:12" ht="15" customHeight="1" x14ac:dyDescent="0.35">
      <c r="A888" s="53" t="s">
        <v>3299</v>
      </c>
      <c r="B888" s="53" t="s">
        <v>1122</v>
      </c>
      <c r="C888" s="55">
        <v>0</v>
      </c>
      <c r="D888" s="55">
        <v>0</v>
      </c>
      <c r="E888" s="53">
        <v>3</v>
      </c>
      <c r="F888" s="53">
        <v>0</v>
      </c>
      <c r="G888" s="55">
        <v>0</v>
      </c>
      <c r="H888" s="55">
        <v>0</v>
      </c>
      <c r="I888" s="55">
        <v>0</v>
      </c>
      <c r="J888" s="53" t="s">
        <v>5568</v>
      </c>
      <c r="K888" s="53" t="s">
        <v>5594</v>
      </c>
      <c r="L888" s="53" t="s">
        <v>4839</v>
      </c>
    </row>
    <row r="889" spans="1:12" ht="15" customHeight="1" x14ac:dyDescent="0.35">
      <c r="A889" s="53" t="s">
        <v>3300</v>
      </c>
      <c r="B889" s="53" t="s">
        <v>1077</v>
      </c>
      <c r="C889" s="55">
        <v>0</v>
      </c>
      <c r="D889" s="55">
        <v>0</v>
      </c>
      <c r="E889" s="53">
        <v>3</v>
      </c>
      <c r="F889" s="53">
        <v>0</v>
      </c>
      <c r="G889" s="55">
        <v>0</v>
      </c>
      <c r="H889" s="55">
        <v>0</v>
      </c>
      <c r="I889" s="55">
        <v>0</v>
      </c>
      <c r="J889" s="53" t="s">
        <v>5595</v>
      </c>
      <c r="K889" s="53" t="s">
        <v>5596</v>
      </c>
      <c r="L889" s="53" t="s">
        <v>4871</v>
      </c>
    </row>
    <row r="890" spans="1:12" ht="15" customHeight="1" x14ac:dyDescent="0.35">
      <c r="A890" s="53" t="s">
        <v>3302</v>
      </c>
      <c r="B890" s="53" t="s">
        <v>1077</v>
      </c>
      <c r="C890" s="55">
        <v>0</v>
      </c>
      <c r="D890" s="55">
        <v>0</v>
      </c>
      <c r="E890" s="53">
        <v>3</v>
      </c>
      <c r="F890" s="53">
        <v>0</v>
      </c>
      <c r="G890" s="55">
        <v>0</v>
      </c>
      <c r="H890" s="55">
        <v>0</v>
      </c>
      <c r="I890" s="55">
        <v>0</v>
      </c>
      <c r="J890" s="53" t="s">
        <v>5589</v>
      </c>
      <c r="K890" s="53" t="s">
        <v>5597</v>
      </c>
      <c r="L890" s="53" t="s">
        <v>4871</v>
      </c>
    </row>
    <row r="891" spans="1:12" ht="15" customHeight="1" x14ac:dyDescent="0.35">
      <c r="A891" s="53" t="s">
        <v>3303</v>
      </c>
      <c r="B891" s="53" t="s">
        <v>1122</v>
      </c>
      <c r="C891" s="55">
        <v>0</v>
      </c>
      <c r="D891" s="55">
        <v>0</v>
      </c>
      <c r="E891" s="53">
        <v>3</v>
      </c>
      <c r="F891" s="53">
        <v>0</v>
      </c>
      <c r="G891" s="55">
        <v>0</v>
      </c>
      <c r="H891" s="55">
        <v>0</v>
      </c>
      <c r="I891" s="55">
        <v>0</v>
      </c>
      <c r="J891" s="53" t="s">
        <v>5549</v>
      </c>
      <c r="K891" s="53" t="s">
        <v>5598</v>
      </c>
      <c r="L891" s="53" t="s">
        <v>4871</v>
      </c>
    </row>
    <row r="892" spans="1:12" ht="15" customHeight="1" x14ac:dyDescent="0.35">
      <c r="A892" s="53" t="s">
        <v>3304</v>
      </c>
      <c r="B892" s="53" t="s">
        <v>1077</v>
      </c>
      <c r="C892" s="55">
        <v>0</v>
      </c>
      <c r="D892" s="55">
        <v>0</v>
      </c>
      <c r="E892" s="53">
        <v>3</v>
      </c>
      <c r="F892" s="53">
        <v>0</v>
      </c>
      <c r="G892" s="55">
        <v>0</v>
      </c>
      <c r="H892" s="55">
        <v>0</v>
      </c>
      <c r="I892" s="55">
        <v>0</v>
      </c>
      <c r="J892" s="53" t="s">
        <v>5549</v>
      </c>
      <c r="K892" s="53" t="s">
        <v>5599</v>
      </c>
      <c r="L892" s="53" t="s">
        <v>4360</v>
      </c>
    </row>
    <row r="893" spans="1:12" ht="15" customHeight="1" x14ac:dyDescent="0.35">
      <c r="A893" s="53" t="s">
        <v>3305</v>
      </c>
      <c r="B893" s="53" t="s">
        <v>1077</v>
      </c>
      <c r="C893" s="55">
        <v>0</v>
      </c>
      <c r="D893" s="55">
        <v>0</v>
      </c>
      <c r="E893" s="53">
        <v>3</v>
      </c>
      <c r="F893" s="53">
        <v>0</v>
      </c>
      <c r="G893" s="55">
        <v>0</v>
      </c>
      <c r="H893" s="55">
        <v>0</v>
      </c>
      <c r="I893" s="55">
        <v>0</v>
      </c>
      <c r="J893" s="53" t="s">
        <v>5568</v>
      </c>
      <c r="K893" s="53" t="s">
        <v>5600</v>
      </c>
      <c r="L893" s="53" t="s">
        <v>4360</v>
      </c>
    </row>
    <row r="894" spans="1:12" ht="15" customHeight="1" x14ac:dyDescent="0.35">
      <c r="A894" s="53" t="s">
        <v>3306</v>
      </c>
      <c r="B894" s="53" t="s">
        <v>1077</v>
      </c>
      <c r="C894" s="55">
        <v>0</v>
      </c>
      <c r="D894" s="55">
        <v>0</v>
      </c>
      <c r="E894" s="53">
        <v>3</v>
      </c>
      <c r="F894" s="53">
        <v>1</v>
      </c>
      <c r="G894" s="55">
        <v>0.33333333333333298</v>
      </c>
      <c r="H894" s="55">
        <v>0</v>
      </c>
      <c r="I894" s="55">
        <v>0</v>
      </c>
      <c r="J894" s="53" t="s">
        <v>5601</v>
      </c>
      <c r="K894" s="53" t="s">
        <v>5602</v>
      </c>
      <c r="L894" s="53" t="s">
        <v>4360</v>
      </c>
    </row>
    <row r="895" spans="1:12" ht="15" customHeight="1" x14ac:dyDescent="0.35">
      <c r="A895" s="53" t="s">
        <v>3308</v>
      </c>
      <c r="B895" s="53" t="s">
        <v>1122</v>
      </c>
      <c r="C895" s="55">
        <v>0</v>
      </c>
      <c r="D895" s="55">
        <v>0</v>
      </c>
      <c r="E895" s="53">
        <v>3</v>
      </c>
      <c r="F895" s="53">
        <v>0</v>
      </c>
      <c r="G895" s="55">
        <v>0</v>
      </c>
      <c r="H895" s="55">
        <v>0</v>
      </c>
      <c r="I895" s="55">
        <v>0</v>
      </c>
      <c r="J895" s="53" t="s">
        <v>5603</v>
      </c>
      <c r="K895" s="53" t="s">
        <v>5604</v>
      </c>
      <c r="L895" s="53" t="s">
        <v>4491</v>
      </c>
    </row>
    <row r="896" spans="1:12" ht="15" customHeight="1" x14ac:dyDescent="0.35">
      <c r="A896" s="53" t="s">
        <v>3310</v>
      </c>
      <c r="B896" s="53" t="s">
        <v>1817</v>
      </c>
      <c r="C896" s="55">
        <v>0</v>
      </c>
      <c r="D896" s="55">
        <v>0</v>
      </c>
      <c r="E896" s="53">
        <v>2</v>
      </c>
      <c r="F896" s="53">
        <v>0</v>
      </c>
      <c r="G896" s="55">
        <v>0</v>
      </c>
      <c r="H896" s="55">
        <v>0</v>
      </c>
      <c r="I896" s="55">
        <v>0</v>
      </c>
      <c r="J896" s="53" t="s">
        <v>5193</v>
      </c>
      <c r="K896" s="53" t="s">
        <v>5605</v>
      </c>
      <c r="L896" s="53" t="s">
        <v>4772</v>
      </c>
    </row>
    <row r="897" spans="1:12" ht="15" customHeight="1" x14ac:dyDescent="0.35">
      <c r="A897" s="53" t="s">
        <v>3311</v>
      </c>
      <c r="B897" s="53" t="s">
        <v>909</v>
      </c>
      <c r="C897" s="55">
        <v>0</v>
      </c>
      <c r="D897" s="55">
        <v>0</v>
      </c>
      <c r="E897" s="53">
        <v>2</v>
      </c>
      <c r="F897" s="53">
        <v>0</v>
      </c>
      <c r="G897" s="55">
        <v>0</v>
      </c>
      <c r="H897" s="55">
        <v>0</v>
      </c>
      <c r="I897" s="55">
        <v>0</v>
      </c>
      <c r="J897" s="53" t="s">
        <v>5127</v>
      </c>
      <c r="K897" s="53" t="s">
        <v>5606</v>
      </c>
      <c r="L897" s="53" t="s">
        <v>4772</v>
      </c>
    </row>
    <row r="898" spans="1:12" ht="15" customHeight="1" x14ac:dyDescent="0.35">
      <c r="A898" s="53" t="s">
        <v>3312</v>
      </c>
      <c r="B898" s="53" t="s">
        <v>1143</v>
      </c>
      <c r="C898" s="55">
        <v>0</v>
      </c>
      <c r="D898" s="55">
        <v>0</v>
      </c>
      <c r="E898" s="53">
        <v>2</v>
      </c>
      <c r="F898" s="53">
        <v>0</v>
      </c>
      <c r="G898" s="55">
        <v>0</v>
      </c>
      <c r="H898" s="55">
        <v>0</v>
      </c>
      <c r="I898" s="55">
        <v>0</v>
      </c>
      <c r="J898" s="53" t="s">
        <v>5607</v>
      </c>
      <c r="K898" s="53" t="s">
        <v>5608</v>
      </c>
      <c r="L898" s="53" t="s">
        <v>4644</v>
      </c>
    </row>
    <row r="899" spans="1:12" ht="15" customHeight="1" x14ac:dyDescent="0.35">
      <c r="A899" s="53" t="s">
        <v>3314</v>
      </c>
      <c r="B899" s="53" t="s">
        <v>921</v>
      </c>
      <c r="C899" s="55">
        <v>0</v>
      </c>
      <c r="D899" s="55">
        <v>0</v>
      </c>
      <c r="E899" s="53">
        <v>2</v>
      </c>
      <c r="F899" s="53">
        <v>0</v>
      </c>
      <c r="G899" s="55">
        <v>0</v>
      </c>
      <c r="H899" s="55">
        <v>0</v>
      </c>
      <c r="I899" s="55">
        <v>0</v>
      </c>
      <c r="J899" s="53" t="s">
        <v>5609</v>
      </c>
      <c r="K899" s="53" t="s">
        <v>5610</v>
      </c>
      <c r="L899" s="53" t="s">
        <v>4686</v>
      </c>
    </row>
    <row r="900" spans="1:12" ht="15" customHeight="1" x14ac:dyDescent="0.35">
      <c r="A900" s="53" t="s">
        <v>3316</v>
      </c>
      <c r="B900" s="53" t="s">
        <v>1077</v>
      </c>
      <c r="C900" s="55">
        <v>0</v>
      </c>
      <c r="D900" s="55">
        <v>0</v>
      </c>
      <c r="E900" s="53">
        <v>2</v>
      </c>
      <c r="F900" s="53">
        <v>0</v>
      </c>
      <c r="G900" s="55">
        <v>0</v>
      </c>
      <c r="H900" s="55">
        <v>0</v>
      </c>
      <c r="I900" s="55">
        <v>0</v>
      </c>
      <c r="J900" s="53" t="s">
        <v>5292</v>
      </c>
      <c r="K900" s="53" t="s">
        <v>5611</v>
      </c>
      <c r="L900" s="53" t="s">
        <v>4214</v>
      </c>
    </row>
    <row r="901" spans="1:12" ht="15" customHeight="1" x14ac:dyDescent="0.35">
      <c r="A901" s="53" t="s">
        <v>3317</v>
      </c>
      <c r="B901" s="53" t="s">
        <v>1077</v>
      </c>
      <c r="C901" s="55">
        <v>0</v>
      </c>
      <c r="D901" s="55">
        <v>0</v>
      </c>
      <c r="E901" s="53">
        <v>2</v>
      </c>
      <c r="F901" s="53">
        <v>0</v>
      </c>
      <c r="G901" s="55">
        <v>0</v>
      </c>
      <c r="H901" s="55">
        <v>0</v>
      </c>
      <c r="I901" s="55">
        <v>0</v>
      </c>
      <c r="J901" s="53" t="s">
        <v>5612</v>
      </c>
      <c r="K901" s="53" t="s">
        <v>5613</v>
      </c>
      <c r="L901" s="53" t="s">
        <v>4360</v>
      </c>
    </row>
    <row r="902" spans="1:12" ht="15" customHeight="1" x14ac:dyDescent="0.35">
      <c r="A902" s="53" t="s">
        <v>3319</v>
      </c>
      <c r="B902" s="53" t="s">
        <v>3198</v>
      </c>
      <c r="C902" s="55">
        <v>0</v>
      </c>
      <c r="D902" s="55">
        <v>0</v>
      </c>
      <c r="E902" s="53">
        <v>2</v>
      </c>
      <c r="F902" s="53">
        <v>0</v>
      </c>
      <c r="G902" s="55">
        <v>0</v>
      </c>
      <c r="H902" s="55">
        <v>0</v>
      </c>
      <c r="I902" s="55">
        <v>0</v>
      </c>
      <c r="J902" s="53" t="s">
        <v>5614</v>
      </c>
      <c r="K902" s="53" t="s">
        <v>5615</v>
      </c>
      <c r="L902" s="53" t="s">
        <v>4772</v>
      </c>
    </row>
    <row r="903" spans="1:12" ht="15" customHeight="1" x14ac:dyDescent="0.35">
      <c r="A903" s="53" t="s">
        <v>3321</v>
      </c>
      <c r="B903" s="53" t="s">
        <v>1118</v>
      </c>
      <c r="C903" s="55">
        <v>0</v>
      </c>
      <c r="D903" s="55">
        <v>0</v>
      </c>
      <c r="E903" s="53">
        <v>2</v>
      </c>
      <c r="F903" s="53">
        <v>0</v>
      </c>
      <c r="G903" s="55">
        <v>0</v>
      </c>
      <c r="H903" s="55">
        <v>0</v>
      </c>
      <c r="I903" s="55">
        <v>0</v>
      </c>
      <c r="J903" s="53" t="s">
        <v>4553</v>
      </c>
      <c r="K903" s="53" t="s">
        <v>5616</v>
      </c>
      <c r="L903" s="53" t="s">
        <v>4253</v>
      </c>
    </row>
    <row r="904" spans="1:12" ht="15" customHeight="1" x14ac:dyDescent="0.35">
      <c r="A904" s="53" t="s">
        <v>3322</v>
      </c>
      <c r="B904" s="53" t="s">
        <v>1690</v>
      </c>
      <c r="C904" s="55">
        <v>0</v>
      </c>
      <c r="D904" s="55">
        <v>0</v>
      </c>
      <c r="E904" s="53">
        <v>2</v>
      </c>
      <c r="F904" s="53">
        <v>0</v>
      </c>
      <c r="G904" s="55">
        <v>0</v>
      </c>
      <c r="H904" s="55">
        <v>0</v>
      </c>
      <c r="I904" s="55">
        <v>0</v>
      </c>
      <c r="J904" s="53" t="s">
        <v>5292</v>
      </c>
      <c r="K904" s="53" t="s">
        <v>5617</v>
      </c>
      <c r="L904" s="53" t="s">
        <v>4253</v>
      </c>
    </row>
    <row r="905" spans="1:12" ht="15" customHeight="1" x14ac:dyDescent="0.35">
      <c r="A905" s="53" t="s">
        <v>3323</v>
      </c>
      <c r="B905" s="53" t="s">
        <v>1136</v>
      </c>
      <c r="C905" s="55">
        <v>0</v>
      </c>
      <c r="D905" s="55">
        <v>0</v>
      </c>
      <c r="E905" s="53">
        <v>2</v>
      </c>
      <c r="F905" s="53">
        <v>0</v>
      </c>
      <c r="G905" s="55">
        <v>0</v>
      </c>
      <c r="H905" s="55">
        <v>0</v>
      </c>
      <c r="I905" s="55">
        <v>0</v>
      </c>
      <c r="J905" s="53" t="s">
        <v>5121</v>
      </c>
      <c r="K905" s="53" t="s">
        <v>5618</v>
      </c>
      <c r="L905" s="53" t="s">
        <v>4604</v>
      </c>
    </row>
    <row r="906" spans="1:12" ht="15" customHeight="1" x14ac:dyDescent="0.35">
      <c r="A906" s="53" t="s">
        <v>3324</v>
      </c>
      <c r="B906" s="53" t="s">
        <v>1101</v>
      </c>
      <c r="C906" s="55">
        <v>0</v>
      </c>
      <c r="D906" s="55">
        <v>0</v>
      </c>
      <c r="E906" s="53">
        <v>2</v>
      </c>
      <c r="F906" s="53">
        <v>1</v>
      </c>
      <c r="G906" s="55">
        <v>0.5</v>
      </c>
      <c r="H906" s="55">
        <v>0</v>
      </c>
      <c r="I906" s="55">
        <v>0</v>
      </c>
      <c r="J906" s="53" t="s">
        <v>5619</v>
      </c>
      <c r="K906" s="53" t="s">
        <v>5620</v>
      </c>
      <c r="L906" s="53" t="s">
        <v>4925</v>
      </c>
    </row>
    <row r="907" spans="1:12" ht="15" customHeight="1" x14ac:dyDescent="0.35">
      <c r="A907" s="53" t="s">
        <v>3326</v>
      </c>
      <c r="B907" s="53" t="s">
        <v>2257</v>
      </c>
      <c r="C907" s="55">
        <v>0</v>
      </c>
      <c r="D907" s="55">
        <v>0</v>
      </c>
      <c r="E907" s="53">
        <v>2</v>
      </c>
      <c r="F907" s="53">
        <v>1</v>
      </c>
      <c r="G907" s="55">
        <v>0.5</v>
      </c>
      <c r="H907" s="55">
        <v>0</v>
      </c>
      <c r="I907" s="55">
        <v>0</v>
      </c>
      <c r="J907" s="53" t="s">
        <v>5296</v>
      </c>
      <c r="K907" s="53" t="s">
        <v>5621</v>
      </c>
      <c r="L907" s="53" t="s">
        <v>5014</v>
      </c>
    </row>
    <row r="908" spans="1:12" ht="15" customHeight="1" x14ac:dyDescent="0.35">
      <c r="A908" s="53" t="s">
        <v>3327</v>
      </c>
      <c r="B908" s="53" t="s">
        <v>1212</v>
      </c>
      <c r="C908" s="55">
        <v>0</v>
      </c>
      <c r="D908" s="55">
        <v>0</v>
      </c>
      <c r="E908" s="53">
        <v>2</v>
      </c>
      <c r="F908" s="53">
        <v>1</v>
      </c>
      <c r="G908" s="55">
        <v>0.5</v>
      </c>
      <c r="H908" s="55">
        <v>0</v>
      </c>
      <c r="I908" s="55">
        <v>0</v>
      </c>
      <c r="J908" s="53" t="s">
        <v>5193</v>
      </c>
      <c r="K908" s="53" t="s">
        <v>5622</v>
      </c>
      <c r="L908" s="53" t="s">
        <v>4673</v>
      </c>
    </row>
    <row r="909" spans="1:12" ht="15" customHeight="1" x14ac:dyDescent="0.35">
      <c r="A909" s="53" t="s">
        <v>3328</v>
      </c>
      <c r="B909" s="53" t="s">
        <v>1091</v>
      </c>
      <c r="C909" s="55">
        <v>0</v>
      </c>
      <c r="D909" s="55">
        <v>0</v>
      </c>
      <c r="E909" s="53">
        <v>2</v>
      </c>
      <c r="F909" s="53">
        <v>0</v>
      </c>
      <c r="G909" s="55">
        <v>0</v>
      </c>
      <c r="H909" s="55">
        <v>0</v>
      </c>
      <c r="I909" s="55">
        <v>0</v>
      </c>
      <c r="J909" s="53" t="s">
        <v>5170</v>
      </c>
      <c r="K909" s="53" t="s">
        <v>5623</v>
      </c>
      <c r="L909" s="53" t="s">
        <v>4253</v>
      </c>
    </row>
    <row r="910" spans="1:12" ht="15" customHeight="1" x14ac:dyDescent="0.35">
      <c r="A910" s="53" t="s">
        <v>3329</v>
      </c>
      <c r="B910" s="53" t="s">
        <v>1143</v>
      </c>
      <c r="C910" s="55">
        <v>0</v>
      </c>
      <c r="D910" s="55">
        <v>0</v>
      </c>
      <c r="E910" s="53">
        <v>2</v>
      </c>
      <c r="F910" s="53">
        <v>0</v>
      </c>
      <c r="G910" s="55">
        <v>0</v>
      </c>
      <c r="H910" s="55">
        <v>0</v>
      </c>
      <c r="I910" s="55">
        <v>0</v>
      </c>
      <c r="J910" s="53" t="s">
        <v>5624</v>
      </c>
      <c r="K910" s="53" t="s">
        <v>5625</v>
      </c>
      <c r="L910" s="53" t="s">
        <v>4253</v>
      </c>
    </row>
    <row r="911" spans="1:12" ht="15" customHeight="1" x14ac:dyDescent="0.35">
      <c r="A911" s="53" t="s">
        <v>3331</v>
      </c>
      <c r="B911" s="53" t="s">
        <v>2792</v>
      </c>
      <c r="C911" s="55">
        <v>0</v>
      </c>
      <c r="D911" s="55">
        <v>0</v>
      </c>
      <c r="E911" s="53">
        <v>2</v>
      </c>
      <c r="F911" s="53">
        <v>0</v>
      </c>
      <c r="G911" s="55">
        <v>0</v>
      </c>
      <c r="H911" s="55">
        <v>0</v>
      </c>
      <c r="I911" s="55">
        <v>0</v>
      </c>
      <c r="J911" s="53" t="s">
        <v>5170</v>
      </c>
      <c r="K911" s="53" t="s">
        <v>5626</v>
      </c>
      <c r="L911" s="53" t="s">
        <v>4772</v>
      </c>
    </row>
    <row r="912" spans="1:12" ht="15" customHeight="1" x14ac:dyDescent="0.35">
      <c r="A912" s="53" t="s">
        <v>3332</v>
      </c>
      <c r="B912" s="53" t="s">
        <v>1768</v>
      </c>
      <c r="C912" s="55">
        <v>0</v>
      </c>
      <c r="D912" s="55">
        <v>0</v>
      </c>
      <c r="E912" s="53">
        <v>2</v>
      </c>
      <c r="F912" s="53">
        <v>1</v>
      </c>
      <c r="G912" s="55">
        <v>0.5</v>
      </c>
      <c r="H912" s="55">
        <v>0</v>
      </c>
      <c r="I912" s="55">
        <v>0</v>
      </c>
      <c r="J912" s="53" t="s">
        <v>5170</v>
      </c>
      <c r="K912" s="53" t="s">
        <v>5627</v>
      </c>
      <c r="L912" s="53" t="s">
        <v>4253</v>
      </c>
    </row>
    <row r="913" spans="1:12" ht="15" customHeight="1" x14ac:dyDescent="0.35">
      <c r="A913" s="53" t="s">
        <v>3333</v>
      </c>
      <c r="B913" s="53" t="s">
        <v>913</v>
      </c>
      <c r="C913" s="55">
        <v>0</v>
      </c>
      <c r="D913" s="55">
        <v>0</v>
      </c>
      <c r="E913" s="53">
        <v>2</v>
      </c>
      <c r="F913" s="53">
        <v>0</v>
      </c>
      <c r="G913" s="55">
        <v>0</v>
      </c>
      <c r="H913" s="55">
        <v>0</v>
      </c>
      <c r="I913" s="55">
        <v>0</v>
      </c>
      <c r="J913" s="53" t="s">
        <v>5193</v>
      </c>
      <c r="K913" s="53" t="s">
        <v>5628</v>
      </c>
      <c r="L913" s="53" t="s">
        <v>5294</v>
      </c>
    </row>
    <row r="914" spans="1:12" ht="15" customHeight="1" x14ac:dyDescent="0.35">
      <c r="A914" s="53" t="s">
        <v>3334</v>
      </c>
      <c r="B914" s="53" t="s">
        <v>913</v>
      </c>
      <c r="C914" s="55">
        <v>0</v>
      </c>
      <c r="D914" s="55">
        <v>0</v>
      </c>
      <c r="E914" s="53">
        <v>2</v>
      </c>
      <c r="F914" s="53">
        <v>0</v>
      </c>
      <c r="G914" s="55">
        <v>0</v>
      </c>
      <c r="H914" s="55">
        <v>0</v>
      </c>
      <c r="I914" s="55">
        <v>0</v>
      </c>
      <c r="J914" s="53" t="s">
        <v>5127</v>
      </c>
      <c r="K914" s="53" t="s">
        <v>5629</v>
      </c>
      <c r="L914" s="53" t="s">
        <v>4772</v>
      </c>
    </row>
    <row r="915" spans="1:12" ht="15" customHeight="1" x14ac:dyDescent="0.35">
      <c r="A915" s="53" t="s">
        <v>3335</v>
      </c>
      <c r="B915" s="53" t="s">
        <v>1143</v>
      </c>
      <c r="C915" s="55">
        <v>0</v>
      </c>
      <c r="D915" s="55">
        <v>0</v>
      </c>
      <c r="E915" s="53">
        <v>2</v>
      </c>
      <c r="F915" s="53">
        <v>0</v>
      </c>
      <c r="G915" s="55">
        <v>0</v>
      </c>
      <c r="H915" s="55">
        <v>0</v>
      </c>
      <c r="I915" s="55">
        <v>0</v>
      </c>
      <c r="J915" s="53" t="s">
        <v>5292</v>
      </c>
      <c r="K915" s="53" t="s">
        <v>5630</v>
      </c>
      <c r="L915" s="53" t="s">
        <v>4253</v>
      </c>
    </row>
    <row r="916" spans="1:12" ht="15" customHeight="1" x14ac:dyDescent="0.35">
      <c r="A916" s="53" t="s">
        <v>3336</v>
      </c>
      <c r="B916" s="53" t="s">
        <v>1659</v>
      </c>
      <c r="C916" s="55">
        <v>0</v>
      </c>
      <c r="D916" s="55">
        <v>0</v>
      </c>
      <c r="E916" s="53">
        <v>2</v>
      </c>
      <c r="F916" s="53">
        <v>0</v>
      </c>
      <c r="G916" s="55">
        <v>0</v>
      </c>
      <c r="H916" s="55">
        <v>0</v>
      </c>
      <c r="I916" s="55">
        <v>0</v>
      </c>
      <c r="J916" s="53" t="s">
        <v>5292</v>
      </c>
      <c r="K916" s="53" t="s">
        <v>5631</v>
      </c>
      <c r="L916" s="53" t="s">
        <v>4253</v>
      </c>
    </row>
    <row r="917" spans="1:12" ht="15" customHeight="1" x14ac:dyDescent="0.35">
      <c r="A917" s="53" t="s">
        <v>3337</v>
      </c>
      <c r="B917" s="53" t="s">
        <v>963</v>
      </c>
      <c r="C917" s="55">
        <v>0</v>
      </c>
      <c r="D917" s="55">
        <v>0</v>
      </c>
      <c r="E917" s="53">
        <v>2</v>
      </c>
      <c r="F917" s="53">
        <v>0</v>
      </c>
      <c r="G917" s="55">
        <v>0</v>
      </c>
      <c r="H917" s="55">
        <v>0</v>
      </c>
      <c r="I917" s="55">
        <v>0</v>
      </c>
      <c r="J917" s="53" t="s">
        <v>5632</v>
      </c>
      <c r="K917" s="53" t="s">
        <v>5633</v>
      </c>
      <c r="L917" s="53" t="s">
        <v>4772</v>
      </c>
    </row>
    <row r="918" spans="1:12" ht="15" customHeight="1" x14ac:dyDescent="0.35">
      <c r="A918" s="53" t="s">
        <v>3339</v>
      </c>
      <c r="B918" s="53" t="s">
        <v>1084</v>
      </c>
      <c r="C918" s="55">
        <v>0</v>
      </c>
      <c r="D918" s="55">
        <v>0</v>
      </c>
      <c r="E918" s="53">
        <v>2</v>
      </c>
      <c r="F918" s="53">
        <v>0</v>
      </c>
      <c r="G918" s="55">
        <v>0</v>
      </c>
      <c r="H918" s="55">
        <v>0</v>
      </c>
      <c r="I918" s="55">
        <v>0</v>
      </c>
      <c r="J918" s="53" t="s">
        <v>5634</v>
      </c>
      <c r="K918" s="53" t="s">
        <v>5635</v>
      </c>
      <c r="L918" s="53" t="s">
        <v>4604</v>
      </c>
    </row>
    <row r="919" spans="1:12" ht="15" customHeight="1" x14ac:dyDescent="0.35">
      <c r="A919" s="53" t="s">
        <v>3341</v>
      </c>
      <c r="B919" s="53" t="s">
        <v>1122</v>
      </c>
      <c r="C919" s="55">
        <v>0</v>
      </c>
      <c r="D919" s="55">
        <v>0</v>
      </c>
      <c r="E919" s="53">
        <v>2</v>
      </c>
      <c r="F919" s="53">
        <v>0</v>
      </c>
      <c r="G919" s="55">
        <v>0</v>
      </c>
      <c r="H919" s="55">
        <v>0</v>
      </c>
      <c r="I919" s="55">
        <v>0</v>
      </c>
      <c r="J919" s="53" t="s">
        <v>5636</v>
      </c>
      <c r="K919" s="53" t="s">
        <v>5637</v>
      </c>
      <c r="L919" s="53" t="s">
        <v>4253</v>
      </c>
    </row>
    <row r="920" spans="1:12" ht="15" customHeight="1" x14ac:dyDescent="0.35">
      <c r="A920" s="53" t="s">
        <v>3343</v>
      </c>
      <c r="B920" s="53" t="s">
        <v>921</v>
      </c>
      <c r="C920" s="55">
        <v>0</v>
      </c>
      <c r="D920" s="55">
        <v>0</v>
      </c>
      <c r="E920" s="53">
        <v>2</v>
      </c>
      <c r="F920" s="53">
        <v>0</v>
      </c>
      <c r="G920" s="55">
        <v>0</v>
      </c>
      <c r="H920" s="55">
        <v>0</v>
      </c>
      <c r="I920" s="55">
        <v>0</v>
      </c>
      <c r="J920" s="53" t="s">
        <v>5638</v>
      </c>
      <c r="K920" s="53" t="s">
        <v>5639</v>
      </c>
      <c r="L920" s="53" t="s">
        <v>4604</v>
      </c>
    </row>
    <row r="921" spans="1:12" ht="15" customHeight="1" x14ac:dyDescent="0.35">
      <c r="A921" s="53" t="s">
        <v>3345</v>
      </c>
      <c r="B921" s="53" t="s">
        <v>1143</v>
      </c>
      <c r="C921" s="55">
        <v>0</v>
      </c>
      <c r="D921" s="55">
        <v>0</v>
      </c>
      <c r="E921" s="53">
        <v>2</v>
      </c>
      <c r="F921" s="53">
        <v>0</v>
      </c>
      <c r="G921" s="55">
        <v>0</v>
      </c>
      <c r="H921" s="55">
        <v>0</v>
      </c>
      <c r="I921" s="55">
        <v>0</v>
      </c>
      <c r="J921" s="53" t="s">
        <v>5292</v>
      </c>
      <c r="K921" s="53" t="s">
        <v>5640</v>
      </c>
      <c r="L921" s="53" t="s">
        <v>4253</v>
      </c>
    </row>
    <row r="922" spans="1:12" ht="15" customHeight="1" x14ac:dyDescent="0.35">
      <c r="A922" s="53" t="s">
        <v>3346</v>
      </c>
      <c r="B922" s="53" t="s">
        <v>1077</v>
      </c>
      <c r="C922" s="55">
        <v>0</v>
      </c>
      <c r="D922" s="55">
        <v>0</v>
      </c>
      <c r="E922" s="53">
        <v>2</v>
      </c>
      <c r="F922" s="53">
        <v>0</v>
      </c>
      <c r="G922" s="55">
        <v>0</v>
      </c>
      <c r="H922" s="55">
        <v>0</v>
      </c>
      <c r="I922" s="55">
        <v>0</v>
      </c>
      <c r="J922" s="53" t="s">
        <v>5641</v>
      </c>
      <c r="K922" s="53" t="s">
        <v>5642</v>
      </c>
      <c r="L922" s="53" t="s">
        <v>4253</v>
      </c>
    </row>
    <row r="923" spans="1:12" ht="15" customHeight="1" x14ac:dyDescent="0.35">
      <c r="A923" s="53" t="s">
        <v>3348</v>
      </c>
      <c r="B923" s="53" t="s">
        <v>1157</v>
      </c>
      <c r="C923" s="55">
        <v>0</v>
      </c>
      <c r="D923" s="55">
        <v>0</v>
      </c>
      <c r="E923" s="53">
        <v>2</v>
      </c>
      <c r="F923" s="53">
        <v>0</v>
      </c>
      <c r="G923" s="55">
        <v>0</v>
      </c>
      <c r="H923" s="55">
        <v>0</v>
      </c>
      <c r="I923" s="55">
        <v>0</v>
      </c>
      <c r="J923" s="53" t="s">
        <v>5643</v>
      </c>
      <c r="K923" s="53" t="s">
        <v>5644</v>
      </c>
      <c r="L923" s="53" t="s">
        <v>4253</v>
      </c>
    </row>
    <row r="924" spans="1:12" ht="15" customHeight="1" x14ac:dyDescent="0.35">
      <c r="A924" s="53" t="s">
        <v>3350</v>
      </c>
      <c r="B924" s="53" t="s">
        <v>996</v>
      </c>
      <c r="C924" s="55">
        <v>0</v>
      </c>
      <c r="D924" s="55">
        <v>0</v>
      </c>
      <c r="E924" s="53">
        <v>2</v>
      </c>
      <c r="F924" s="53">
        <v>0</v>
      </c>
      <c r="G924" s="55">
        <v>0</v>
      </c>
      <c r="H924" s="55">
        <v>0</v>
      </c>
      <c r="I924" s="55">
        <v>0</v>
      </c>
      <c r="J924" s="53" t="s">
        <v>5127</v>
      </c>
      <c r="K924" s="53" t="s">
        <v>5645</v>
      </c>
      <c r="L924" s="53" t="s">
        <v>4253</v>
      </c>
    </row>
    <row r="925" spans="1:12" ht="15" customHeight="1" x14ac:dyDescent="0.35">
      <c r="A925" s="53" t="s">
        <v>3351</v>
      </c>
      <c r="B925" s="53" t="s">
        <v>2792</v>
      </c>
      <c r="C925" s="55">
        <v>0</v>
      </c>
      <c r="D925" s="55">
        <v>0</v>
      </c>
      <c r="E925" s="53">
        <v>2</v>
      </c>
      <c r="F925" s="53">
        <v>0</v>
      </c>
      <c r="G925" s="55">
        <v>0</v>
      </c>
      <c r="H925" s="55">
        <v>0</v>
      </c>
      <c r="I925" s="55">
        <v>0</v>
      </c>
      <c r="J925" s="53" t="s">
        <v>5646</v>
      </c>
      <c r="K925" s="53" t="s">
        <v>5647</v>
      </c>
      <c r="L925" s="53" t="s">
        <v>4772</v>
      </c>
    </row>
    <row r="926" spans="1:12" ht="15" customHeight="1" x14ac:dyDescent="0.35">
      <c r="A926" s="53" t="s">
        <v>3353</v>
      </c>
      <c r="B926" s="53" t="s">
        <v>913</v>
      </c>
      <c r="C926" s="55">
        <v>0</v>
      </c>
      <c r="D926" s="55">
        <v>0</v>
      </c>
      <c r="E926" s="53">
        <v>2</v>
      </c>
      <c r="F926" s="53">
        <v>0</v>
      </c>
      <c r="G926" s="55">
        <v>0</v>
      </c>
      <c r="H926" s="55">
        <v>0</v>
      </c>
      <c r="I926" s="55">
        <v>0</v>
      </c>
      <c r="J926" s="53" t="s">
        <v>5127</v>
      </c>
      <c r="K926" s="53" t="s">
        <v>5648</v>
      </c>
      <c r="L926" s="53" t="s">
        <v>4214</v>
      </c>
    </row>
    <row r="927" spans="1:12" ht="15" customHeight="1" x14ac:dyDescent="0.35">
      <c r="A927" s="53" t="s">
        <v>3354</v>
      </c>
      <c r="B927" s="53" t="s">
        <v>1101</v>
      </c>
      <c r="C927" s="55">
        <v>0</v>
      </c>
      <c r="D927" s="55">
        <v>0</v>
      </c>
      <c r="E927" s="53">
        <v>2</v>
      </c>
      <c r="F927" s="53">
        <v>0</v>
      </c>
      <c r="G927" s="55">
        <v>0</v>
      </c>
      <c r="H927" s="55">
        <v>0</v>
      </c>
      <c r="I927" s="55">
        <v>0</v>
      </c>
      <c r="J927" s="53" t="s">
        <v>5193</v>
      </c>
      <c r="K927" s="53" t="s">
        <v>5649</v>
      </c>
      <c r="L927" s="53" t="s">
        <v>4686</v>
      </c>
    </row>
    <row r="928" spans="1:12" ht="15" customHeight="1" x14ac:dyDescent="0.35">
      <c r="A928" s="53" t="s">
        <v>3355</v>
      </c>
      <c r="B928" s="53" t="s">
        <v>921</v>
      </c>
      <c r="C928" s="55">
        <v>0</v>
      </c>
      <c r="D928" s="55">
        <v>0</v>
      </c>
      <c r="E928" s="53">
        <v>2</v>
      </c>
      <c r="F928" s="53">
        <v>0</v>
      </c>
      <c r="G928" s="55">
        <v>0</v>
      </c>
      <c r="H928" s="55">
        <v>0</v>
      </c>
      <c r="I928" s="55">
        <v>0</v>
      </c>
      <c r="J928" s="53" t="s">
        <v>5650</v>
      </c>
      <c r="K928" s="53" t="s">
        <v>5651</v>
      </c>
      <c r="L928" s="53" t="s">
        <v>4214</v>
      </c>
    </row>
    <row r="929" spans="1:12" ht="15" customHeight="1" x14ac:dyDescent="0.35">
      <c r="A929" s="53" t="s">
        <v>3357</v>
      </c>
      <c r="B929" s="53" t="s">
        <v>1070</v>
      </c>
      <c r="C929" s="55">
        <v>0</v>
      </c>
      <c r="D929" s="55">
        <v>0</v>
      </c>
      <c r="E929" s="53">
        <v>2</v>
      </c>
      <c r="F929" s="53">
        <v>0</v>
      </c>
      <c r="G929" s="55">
        <v>0</v>
      </c>
      <c r="H929" s="55">
        <v>0</v>
      </c>
      <c r="I929" s="55">
        <v>0</v>
      </c>
      <c r="J929" s="53" t="s">
        <v>5609</v>
      </c>
      <c r="K929" s="53" t="s">
        <v>5652</v>
      </c>
      <c r="L929" s="53" t="s">
        <v>4910</v>
      </c>
    </row>
    <row r="930" spans="1:12" ht="15" customHeight="1" x14ac:dyDescent="0.35">
      <c r="A930" s="53" t="s">
        <v>3358</v>
      </c>
      <c r="B930" s="53" t="s">
        <v>1817</v>
      </c>
      <c r="C930" s="55">
        <v>0</v>
      </c>
      <c r="D930" s="55">
        <v>0</v>
      </c>
      <c r="E930" s="53">
        <v>2</v>
      </c>
      <c r="F930" s="53">
        <v>0</v>
      </c>
      <c r="G930" s="55">
        <v>0</v>
      </c>
      <c r="H930" s="55">
        <v>0</v>
      </c>
      <c r="I930" s="55">
        <v>0</v>
      </c>
      <c r="J930" s="53" t="s">
        <v>5653</v>
      </c>
      <c r="K930" s="53" t="s">
        <v>5654</v>
      </c>
      <c r="L930" s="53" t="s">
        <v>4686</v>
      </c>
    </row>
    <row r="931" spans="1:12" ht="15" customHeight="1" x14ac:dyDescent="0.35">
      <c r="A931" s="53" t="s">
        <v>3360</v>
      </c>
      <c r="B931" s="53" t="s">
        <v>1009</v>
      </c>
      <c r="C931" s="55">
        <v>0</v>
      </c>
      <c r="D931" s="55">
        <v>0</v>
      </c>
      <c r="E931" s="53">
        <v>2</v>
      </c>
      <c r="F931" s="53">
        <v>1</v>
      </c>
      <c r="G931" s="55">
        <v>0.5</v>
      </c>
      <c r="H931" s="55">
        <v>0</v>
      </c>
      <c r="I931" s="55">
        <v>0</v>
      </c>
      <c r="J931" s="53" t="s">
        <v>5296</v>
      </c>
      <c r="K931" s="53" t="s">
        <v>5655</v>
      </c>
      <c r="L931" s="53" t="s">
        <v>4910</v>
      </c>
    </row>
    <row r="932" spans="1:12" ht="15" customHeight="1" x14ac:dyDescent="0.35">
      <c r="A932" s="53" t="s">
        <v>3361</v>
      </c>
      <c r="B932" s="53" t="s">
        <v>921</v>
      </c>
      <c r="C932" s="55">
        <v>0</v>
      </c>
      <c r="D932" s="55">
        <v>0</v>
      </c>
      <c r="E932" s="53">
        <v>2</v>
      </c>
      <c r="F932" s="53">
        <v>0</v>
      </c>
      <c r="G932" s="55">
        <v>0</v>
      </c>
      <c r="H932" s="55">
        <v>0</v>
      </c>
      <c r="I932" s="55">
        <v>0</v>
      </c>
      <c r="J932" s="53" t="s">
        <v>5638</v>
      </c>
      <c r="K932" s="53" t="s">
        <v>5656</v>
      </c>
      <c r="L932" s="53" t="s">
        <v>4214</v>
      </c>
    </row>
    <row r="933" spans="1:12" ht="15" customHeight="1" x14ac:dyDescent="0.35">
      <c r="A933" s="53" t="s">
        <v>3362</v>
      </c>
      <c r="B933" s="53" t="s">
        <v>989</v>
      </c>
      <c r="C933" s="55">
        <v>0</v>
      </c>
      <c r="D933" s="55">
        <v>0</v>
      </c>
      <c r="E933" s="53">
        <v>2</v>
      </c>
      <c r="F933" s="53">
        <v>0</v>
      </c>
      <c r="G933" s="55">
        <v>0</v>
      </c>
      <c r="H933" s="55">
        <v>0</v>
      </c>
      <c r="I933" s="55">
        <v>0</v>
      </c>
      <c r="J933" s="53" t="s">
        <v>5657</v>
      </c>
      <c r="K933" s="53" t="s">
        <v>5658</v>
      </c>
      <c r="L933" s="53" t="s">
        <v>4686</v>
      </c>
    </row>
    <row r="934" spans="1:12" ht="15" customHeight="1" x14ac:dyDescent="0.35">
      <c r="A934" s="53" t="s">
        <v>3364</v>
      </c>
      <c r="B934" s="53" t="s">
        <v>1817</v>
      </c>
      <c r="C934" s="55">
        <v>0</v>
      </c>
      <c r="D934" s="55">
        <v>0</v>
      </c>
      <c r="E934" s="53">
        <v>2</v>
      </c>
      <c r="F934" s="53">
        <v>0</v>
      </c>
      <c r="G934" s="55">
        <v>0</v>
      </c>
      <c r="H934" s="55">
        <v>0</v>
      </c>
      <c r="I934" s="55">
        <v>0</v>
      </c>
      <c r="J934" s="53" t="s">
        <v>4553</v>
      </c>
      <c r="K934" s="53" t="s">
        <v>5659</v>
      </c>
      <c r="L934" s="53" t="s">
        <v>4910</v>
      </c>
    </row>
    <row r="935" spans="1:12" ht="15" customHeight="1" x14ac:dyDescent="0.35">
      <c r="A935" s="53" t="s">
        <v>3365</v>
      </c>
      <c r="B935" s="53" t="s">
        <v>2792</v>
      </c>
      <c r="C935" s="55">
        <v>0</v>
      </c>
      <c r="D935" s="55">
        <v>0</v>
      </c>
      <c r="E935" s="53">
        <v>2</v>
      </c>
      <c r="F935" s="53">
        <v>0</v>
      </c>
      <c r="G935" s="55">
        <v>0</v>
      </c>
      <c r="H935" s="55">
        <v>0</v>
      </c>
      <c r="I935" s="55">
        <v>0</v>
      </c>
      <c r="J935" s="53" t="s">
        <v>5170</v>
      </c>
      <c r="K935" s="53" t="s">
        <v>5660</v>
      </c>
      <c r="L935" s="53" t="s">
        <v>4686</v>
      </c>
    </row>
    <row r="936" spans="1:12" ht="15" customHeight="1" x14ac:dyDescent="0.35">
      <c r="A936" s="53" t="s">
        <v>3366</v>
      </c>
      <c r="B936" s="53" t="s">
        <v>1122</v>
      </c>
      <c r="C936" s="55">
        <v>0</v>
      </c>
      <c r="D936" s="55">
        <v>0</v>
      </c>
      <c r="E936" s="53">
        <v>2</v>
      </c>
      <c r="F936" s="53">
        <v>0</v>
      </c>
      <c r="G936" s="55">
        <v>0</v>
      </c>
      <c r="H936" s="55">
        <v>0</v>
      </c>
      <c r="I936" s="55">
        <v>0</v>
      </c>
      <c r="J936" s="53" t="s">
        <v>5292</v>
      </c>
      <c r="K936" s="53" t="s">
        <v>5661</v>
      </c>
      <c r="L936" s="53" t="s">
        <v>4214</v>
      </c>
    </row>
    <row r="937" spans="1:12" ht="15" customHeight="1" x14ac:dyDescent="0.35">
      <c r="A937" s="53" t="s">
        <v>3367</v>
      </c>
      <c r="B937" s="53" t="s">
        <v>1077</v>
      </c>
      <c r="C937" s="55">
        <v>0</v>
      </c>
      <c r="D937" s="55">
        <v>0</v>
      </c>
      <c r="E937" s="53">
        <v>2</v>
      </c>
      <c r="F937" s="53">
        <v>0</v>
      </c>
      <c r="G937" s="55">
        <v>0</v>
      </c>
      <c r="H937" s="55">
        <v>0</v>
      </c>
      <c r="I937" s="55">
        <v>0</v>
      </c>
      <c r="J937" s="53" t="s">
        <v>5047</v>
      </c>
      <c r="K937" s="53" t="s">
        <v>5662</v>
      </c>
      <c r="L937" s="53" t="s">
        <v>4214</v>
      </c>
    </row>
    <row r="938" spans="1:12" ht="15" customHeight="1" x14ac:dyDescent="0.35">
      <c r="A938" s="53" t="s">
        <v>3368</v>
      </c>
      <c r="B938" s="53" t="s">
        <v>1136</v>
      </c>
      <c r="C938" s="55">
        <v>0</v>
      </c>
      <c r="D938" s="55">
        <v>0</v>
      </c>
      <c r="E938" s="53">
        <v>2</v>
      </c>
      <c r="F938" s="53">
        <v>0</v>
      </c>
      <c r="G938" s="55">
        <v>0</v>
      </c>
      <c r="H938" s="55">
        <v>0</v>
      </c>
      <c r="I938" s="55">
        <v>0</v>
      </c>
      <c r="J938" s="53" t="s">
        <v>5290</v>
      </c>
      <c r="K938" s="53" t="s">
        <v>5663</v>
      </c>
      <c r="L938" s="53" t="s">
        <v>4214</v>
      </c>
    </row>
    <row r="939" spans="1:12" ht="15" customHeight="1" x14ac:dyDescent="0.35">
      <c r="A939" s="53" t="s">
        <v>3369</v>
      </c>
      <c r="B939" s="53" t="s">
        <v>1009</v>
      </c>
      <c r="C939" s="55">
        <v>0</v>
      </c>
      <c r="D939" s="55">
        <v>0</v>
      </c>
      <c r="E939" s="53">
        <v>2</v>
      </c>
      <c r="F939" s="53">
        <v>0</v>
      </c>
      <c r="G939" s="55">
        <v>0</v>
      </c>
      <c r="H939" s="55">
        <v>0</v>
      </c>
      <c r="I939" s="55">
        <v>0</v>
      </c>
      <c r="J939" s="53" t="s">
        <v>4553</v>
      </c>
      <c r="K939" s="53" t="s">
        <v>5664</v>
      </c>
      <c r="L939" s="53" t="s">
        <v>4214</v>
      </c>
    </row>
    <row r="940" spans="1:12" ht="15" customHeight="1" x14ac:dyDescent="0.35">
      <c r="A940" s="53" t="s">
        <v>3370</v>
      </c>
      <c r="B940" s="53" t="s">
        <v>989</v>
      </c>
      <c r="C940" s="55">
        <v>0</v>
      </c>
      <c r="D940" s="55">
        <v>0</v>
      </c>
      <c r="E940" s="53">
        <v>2</v>
      </c>
      <c r="F940" s="53">
        <v>0</v>
      </c>
      <c r="G940" s="55">
        <v>0</v>
      </c>
      <c r="H940" s="55">
        <v>0</v>
      </c>
      <c r="I940" s="55">
        <v>0</v>
      </c>
      <c r="J940" s="53" t="s">
        <v>5127</v>
      </c>
      <c r="K940" s="53" t="s">
        <v>5665</v>
      </c>
      <c r="L940" s="53" t="s">
        <v>5014</v>
      </c>
    </row>
    <row r="941" spans="1:12" ht="15" customHeight="1" x14ac:dyDescent="0.35">
      <c r="A941" s="53" t="s">
        <v>3371</v>
      </c>
      <c r="B941" s="53" t="s">
        <v>963</v>
      </c>
      <c r="C941" s="55">
        <v>0</v>
      </c>
      <c r="D941" s="55">
        <v>0</v>
      </c>
      <c r="E941" s="53">
        <v>2</v>
      </c>
      <c r="F941" s="53">
        <v>0</v>
      </c>
      <c r="G941" s="55">
        <v>0</v>
      </c>
      <c r="H941" s="55">
        <v>0</v>
      </c>
      <c r="I941" s="55">
        <v>0</v>
      </c>
      <c r="J941" s="53" t="s">
        <v>5666</v>
      </c>
      <c r="K941" s="53" t="s">
        <v>5667</v>
      </c>
      <c r="L941" s="53" t="s">
        <v>4871</v>
      </c>
    </row>
    <row r="942" spans="1:12" ht="15" customHeight="1" x14ac:dyDescent="0.35">
      <c r="A942" s="53" t="s">
        <v>3373</v>
      </c>
      <c r="B942" s="53" t="s">
        <v>921</v>
      </c>
      <c r="C942" s="55">
        <v>0</v>
      </c>
      <c r="D942" s="55">
        <v>0</v>
      </c>
      <c r="E942" s="53">
        <v>2</v>
      </c>
      <c r="F942" s="53">
        <v>0</v>
      </c>
      <c r="G942" s="55">
        <v>0</v>
      </c>
      <c r="H942" s="55">
        <v>0</v>
      </c>
      <c r="I942" s="55">
        <v>0</v>
      </c>
      <c r="J942" s="53" t="s">
        <v>5650</v>
      </c>
      <c r="K942" s="53" t="s">
        <v>5668</v>
      </c>
      <c r="L942" s="53" t="s">
        <v>4925</v>
      </c>
    </row>
    <row r="943" spans="1:12" ht="15" customHeight="1" x14ac:dyDescent="0.35">
      <c r="A943" s="53" t="s">
        <v>3374</v>
      </c>
      <c r="B943" s="53" t="s">
        <v>989</v>
      </c>
      <c r="C943" s="55">
        <v>0</v>
      </c>
      <c r="D943" s="55">
        <v>0</v>
      </c>
      <c r="E943" s="53">
        <v>2</v>
      </c>
      <c r="F943" s="53">
        <v>1</v>
      </c>
      <c r="G943" s="55">
        <v>0.5</v>
      </c>
      <c r="H943" s="55">
        <v>0</v>
      </c>
      <c r="I943" s="55">
        <v>0</v>
      </c>
      <c r="J943" s="53" t="s">
        <v>5193</v>
      </c>
      <c r="K943" s="53" t="s">
        <v>5669</v>
      </c>
      <c r="L943" s="53" t="s">
        <v>4871</v>
      </c>
    </row>
    <row r="944" spans="1:12" ht="15" customHeight="1" x14ac:dyDescent="0.35">
      <c r="A944" s="53" t="s">
        <v>3375</v>
      </c>
      <c r="B944" s="53" t="s">
        <v>3052</v>
      </c>
      <c r="C944" s="55">
        <v>0</v>
      </c>
      <c r="D944" s="55">
        <v>0</v>
      </c>
      <c r="E944" s="53">
        <v>2</v>
      </c>
      <c r="F944" s="53">
        <v>0</v>
      </c>
      <c r="G944" s="55">
        <v>0</v>
      </c>
      <c r="H944" s="55">
        <v>0</v>
      </c>
      <c r="I944" s="55">
        <v>0</v>
      </c>
      <c r="J944" s="53" t="s">
        <v>5670</v>
      </c>
      <c r="K944" s="53" t="s">
        <v>5671</v>
      </c>
      <c r="L944" s="53" t="s">
        <v>4871</v>
      </c>
    </row>
    <row r="945" spans="1:12" ht="15" customHeight="1" x14ac:dyDescent="0.35">
      <c r="A945" s="53" t="s">
        <v>3377</v>
      </c>
      <c r="B945" s="53" t="s">
        <v>1494</v>
      </c>
      <c r="C945" s="55">
        <v>0</v>
      </c>
      <c r="D945" s="55">
        <v>0</v>
      </c>
      <c r="E945" s="53">
        <v>2</v>
      </c>
      <c r="F945" s="53">
        <v>0</v>
      </c>
      <c r="G945" s="55">
        <v>0</v>
      </c>
      <c r="H945" s="55">
        <v>0</v>
      </c>
      <c r="I945" s="55">
        <v>0</v>
      </c>
      <c r="J945" s="53" t="s">
        <v>5672</v>
      </c>
      <c r="K945" s="53" t="s">
        <v>5673</v>
      </c>
      <c r="L945" s="53" t="s">
        <v>4925</v>
      </c>
    </row>
    <row r="946" spans="1:12" ht="15" customHeight="1" x14ac:dyDescent="0.35">
      <c r="A946" s="53" t="s">
        <v>3379</v>
      </c>
      <c r="B946" s="53" t="s">
        <v>921</v>
      </c>
      <c r="C946" s="55">
        <v>0</v>
      </c>
      <c r="D946" s="55">
        <v>0</v>
      </c>
      <c r="E946" s="53">
        <v>2</v>
      </c>
      <c r="F946" s="53">
        <v>0</v>
      </c>
      <c r="G946" s="55">
        <v>0</v>
      </c>
      <c r="H946" s="55">
        <v>0</v>
      </c>
      <c r="I946" s="55">
        <v>0</v>
      </c>
      <c r="J946" s="53" t="s">
        <v>5674</v>
      </c>
      <c r="K946" s="53" t="s">
        <v>5675</v>
      </c>
      <c r="L946" s="53" t="s">
        <v>4925</v>
      </c>
    </row>
    <row r="947" spans="1:12" ht="15" customHeight="1" x14ac:dyDescent="0.35">
      <c r="A947" s="53" t="s">
        <v>3381</v>
      </c>
      <c r="B947" s="53" t="s">
        <v>989</v>
      </c>
      <c r="C947" s="55">
        <v>0</v>
      </c>
      <c r="D947" s="55">
        <v>0</v>
      </c>
      <c r="E947" s="53">
        <v>2</v>
      </c>
      <c r="F947" s="53">
        <v>1</v>
      </c>
      <c r="G947" s="55">
        <v>0.5</v>
      </c>
      <c r="H947" s="55">
        <v>0</v>
      </c>
      <c r="I947" s="55">
        <v>0</v>
      </c>
      <c r="J947" s="53" t="s">
        <v>5676</v>
      </c>
      <c r="K947" s="53" t="s">
        <v>5677</v>
      </c>
      <c r="L947" s="53" t="s">
        <v>4925</v>
      </c>
    </row>
    <row r="948" spans="1:12" ht="15" customHeight="1" x14ac:dyDescent="0.35">
      <c r="A948" s="53" t="s">
        <v>3383</v>
      </c>
      <c r="B948" s="53" t="s">
        <v>1101</v>
      </c>
      <c r="C948" s="55">
        <v>0</v>
      </c>
      <c r="D948" s="55">
        <v>0</v>
      </c>
      <c r="E948" s="53">
        <v>2</v>
      </c>
      <c r="F948" s="53">
        <v>0</v>
      </c>
      <c r="G948" s="55">
        <v>0</v>
      </c>
      <c r="H948" s="55">
        <v>0</v>
      </c>
      <c r="I948" s="55">
        <v>0</v>
      </c>
      <c r="J948" s="53" t="s">
        <v>5678</v>
      </c>
      <c r="K948" s="53" t="s">
        <v>5679</v>
      </c>
      <c r="L948" s="53" t="s">
        <v>4871</v>
      </c>
    </row>
    <row r="949" spans="1:12" ht="15" customHeight="1" x14ac:dyDescent="0.35">
      <c r="A949" s="53" t="s">
        <v>3385</v>
      </c>
      <c r="B949" s="53" t="s">
        <v>1077</v>
      </c>
      <c r="C949" s="55">
        <v>0</v>
      </c>
      <c r="D949" s="55">
        <v>0</v>
      </c>
      <c r="E949" s="53">
        <v>2</v>
      </c>
      <c r="F949" s="53">
        <v>0</v>
      </c>
      <c r="G949" s="55">
        <v>0</v>
      </c>
      <c r="H949" s="55">
        <v>0</v>
      </c>
      <c r="I949" s="55">
        <v>0</v>
      </c>
      <c r="J949" s="53" t="s">
        <v>5680</v>
      </c>
      <c r="K949" s="53" t="s">
        <v>5681</v>
      </c>
      <c r="L949" s="53" t="s">
        <v>4360</v>
      </c>
    </row>
    <row r="950" spans="1:12" ht="15" customHeight="1" x14ac:dyDescent="0.35">
      <c r="A950" s="53" t="s">
        <v>3387</v>
      </c>
      <c r="B950" s="53" t="s">
        <v>1077</v>
      </c>
      <c r="C950" s="55">
        <v>0</v>
      </c>
      <c r="D950" s="55">
        <v>0</v>
      </c>
      <c r="E950" s="53">
        <v>2</v>
      </c>
      <c r="F950" s="53">
        <v>0</v>
      </c>
      <c r="G950" s="55">
        <v>0</v>
      </c>
      <c r="H950" s="55">
        <v>0</v>
      </c>
      <c r="I950" s="55">
        <v>0</v>
      </c>
      <c r="J950" s="53" t="s">
        <v>5176</v>
      </c>
      <c r="K950" s="53" t="s">
        <v>5682</v>
      </c>
      <c r="L950" s="53" t="s">
        <v>4360</v>
      </c>
    </row>
    <row r="951" spans="1:12" ht="15" customHeight="1" x14ac:dyDescent="0.35">
      <c r="A951" s="53" t="s">
        <v>3388</v>
      </c>
      <c r="B951" s="53" t="s">
        <v>1077</v>
      </c>
      <c r="C951" s="55">
        <v>0</v>
      </c>
      <c r="D951" s="55">
        <v>0</v>
      </c>
      <c r="E951" s="53">
        <v>2</v>
      </c>
      <c r="F951" s="53">
        <v>0</v>
      </c>
      <c r="G951" s="55">
        <v>0</v>
      </c>
      <c r="H951" s="55">
        <v>0</v>
      </c>
      <c r="I951" s="55">
        <v>0</v>
      </c>
      <c r="J951" s="53" t="s">
        <v>5047</v>
      </c>
      <c r="K951" s="53" t="s">
        <v>5683</v>
      </c>
      <c r="L951" s="53" t="s">
        <v>4360</v>
      </c>
    </row>
    <row r="952" spans="1:12" ht="15" customHeight="1" x14ac:dyDescent="0.35">
      <c r="A952" s="53" t="s">
        <v>3389</v>
      </c>
      <c r="B952" s="53" t="s">
        <v>1077</v>
      </c>
      <c r="C952" s="55">
        <v>0</v>
      </c>
      <c r="D952" s="55">
        <v>0</v>
      </c>
      <c r="E952" s="53">
        <v>2</v>
      </c>
      <c r="F952" s="53">
        <v>0</v>
      </c>
      <c r="G952" s="55">
        <v>0</v>
      </c>
      <c r="H952" s="55">
        <v>0</v>
      </c>
      <c r="I952" s="55">
        <v>0</v>
      </c>
      <c r="J952" s="53" t="s">
        <v>5047</v>
      </c>
      <c r="K952" s="53" t="s">
        <v>5684</v>
      </c>
      <c r="L952" s="53" t="s">
        <v>4360</v>
      </c>
    </row>
    <row r="953" spans="1:12" ht="15" customHeight="1" x14ac:dyDescent="0.35">
      <c r="A953" s="53" t="s">
        <v>3390</v>
      </c>
      <c r="B953" s="53" t="s">
        <v>963</v>
      </c>
      <c r="C953" s="55">
        <v>0</v>
      </c>
      <c r="D953" s="55">
        <v>0</v>
      </c>
      <c r="E953" s="53">
        <v>2</v>
      </c>
      <c r="F953" s="53">
        <v>0</v>
      </c>
      <c r="G953" s="55">
        <v>0</v>
      </c>
      <c r="H953" s="55">
        <v>0</v>
      </c>
      <c r="I953" s="55">
        <v>0</v>
      </c>
      <c r="J953" s="53" t="s">
        <v>5290</v>
      </c>
      <c r="K953" s="53" t="s">
        <v>5685</v>
      </c>
      <c r="L953" s="53" t="s">
        <v>4491</v>
      </c>
    </row>
    <row r="954" spans="1:12" ht="15" customHeight="1" x14ac:dyDescent="0.35">
      <c r="A954" s="53" t="s">
        <v>3391</v>
      </c>
      <c r="B954" s="53" t="s">
        <v>1817</v>
      </c>
      <c r="C954" s="55">
        <v>0</v>
      </c>
      <c r="D954" s="55">
        <v>0</v>
      </c>
      <c r="E954" s="53">
        <v>2</v>
      </c>
      <c r="F954" s="53">
        <v>0</v>
      </c>
      <c r="G954" s="55">
        <v>0</v>
      </c>
      <c r="H954" s="55">
        <v>0</v>
      </c>
      <c r="I954" s="55">
        <v>0</v>
      </c>
      <c r="J954" s="53" t="s">
        <v>5170</v>
      </c>
      <c r="K954" s="53" t="s">
        <v>5686</v>
      </c>
      <c r="L954" s="53" t="s">
        <v>4491</v>
      </c>
    </row>
    <row r="955" spans="1:12" ht="15" customHeight="1" x14ac:dyDescent="0.35">
      <c r="A955" s="53" t="s">
        <v>3392</v>
      </c>
      <c r="B955" s="53" t="s">
        <v>1077</v>
      </c>
      <c r="C955" s="55">
        <v>0</v>
      </c>
      <c r="D955" s="55">
        <v>0</v>
      </c>
      <c r="E955" s="53">
        <v>2</v>
      </c>
      <c r="F955" s="53">
        <v>0</v>
      </c>
      <c r="G955" s="55">
        <v>0</v>
      </c>
      <c r="H955" s="55">
        <v>0</v>
      </c>
      <c r="I955" s="55">
        <v>0</v>
      </c>
      <c r="J955" s="53" t="s">
        <v>5193</v>
      </c>
      <c r="K955" s="53" t="s">
        <v>5687</v>
      </c>
      <c r="L955" s="53" t="s">
        <v>4360</v>
      </c>
    </row>
    <row r="956" spans="1:12" ht="15" customHeight="1" x14ac:dyDescent="0.35">
      <c r="A956" s="53" t="s">
        <v>3393</v>
      </c>
      <c r="B956" s="53" t="s">
        <v>1143</v>
      </c>
      <c r="C956" s="55">
        <v>0</v>
      </c>
      <c r="D956" s="55">
        <v>0</v>
      </c>
      <c r="E956" s="53">
        <v>2</v>
      </c>
      <c r="F956" s="53">
        <v>1</v>
      </c>
      <c r="G956" s="55">
        <v>0.5</v>
      </c>
      <c r="H956" s="55">
        <v>0</v>
      </c>
      <c r="I956" s="55">
        <v>0</v>
      </c>
      <c r="J956" s="53" t="s">
        <v>5292</v>
      </c>
      <c r="K956" s="53" t="s">
        <v>5688</v>
      </c>
      <c r="L956" s="53" t="s">
        <v>5014</v>
      </c>
    </row>
    <row r="957" spans="1:12" ht="15" customHeight="1" x14ac:dyDescent="0.35">
      <c r="A957" s="53" t="s">
        <v>3394</v>
      </c>
      <c r="B957" s="53" t="s">
        <v>1582</v>
      </c>
      <c r="C957" s="55">
        <v>0</v>
      </c>
      <c r="D957" s="55">
        <v>0</v>
      </c>
      <c r="E957" s="53">
        <v>2</v>
      </c>
      <c r="F957" s="53">
        <v>0</v>
      </c>
      <c r="G957" s="55">
        <v>0</v>
      </c>
      <c r="H957" s="55">
        <v>0</v>
      </c>
      <c r="I957" s="55">
        <v>0</v>
      </c>
      <c r="J957" s="53" t="s">
        <v>5193</v>
      </c>
      <c r="K957" s="53" t="s">
        <v>5689</v>
      </c>
      <c r="L957" s="53" t="s">
        <v>4673</v>
      </c>
    </row>
    <row r="958" spans="1:12" ht="15" customHeight="1" x14ac:dyDescent="0.35">
      <c r="A958" s="53" t="s">
        <v>3395</v>
      </c>
      <c r="B958" s="53" t="s">
        <v>925</v>
      </c>
      <c r="C958" s="55">
        <v>0</v>
      </c>
      <c r="D958" s="55">
        <v>0</v>
      </c>
      <c r="E958" s="53">
        <v>2</v>
      </c>
      <c r="F958" s="53">
        <v>0</v>
      </c>
      <c r="G958" s="55">
        <v>0</v>
      </c>
      <c r="H958" s="55">
        <v>0</v>
      </c>
      <c r="I958" s="55">
        <v>0</v>
      </c>
      <c r="J958" s="53" t="s">
        <v>5690</v>
      </c>
      <c r="K958" s="53" t="s">
        <v>5691</v>
      </c>
      <c r="L958" s="53" t="s">
        <v>4772</v>
      </c>
    </row>
    <row r="959" spans="1:12" ht="15" customHeight="1" x14ac:dyDescent="0.35">
      <c r="A959" s="53" t="s">
        <v>3397</v>
      </c>
      <c r="B959" s="53" t="s">
        <v>2160</v>
      </c>
      <c r="C959" s="55">
        <v>0</v>
      </c>
      <c r="D959" s="55">
        <v>0</v>
      </c>
      <c r="E959" s="53">
        <v>2</v>
      </c>
      <c r="F959" s="53">
        <v>0</v>
      </c>
      <c r="G959" s="55">
        <v>0</v>
      </c>
      <c r="H959" s="55">
        <v>0</v>
      </c>
      <c r="I959" s="55">
        <v>0</v>
      </c>
      <c r="J959" s="53" t="s">
        <v>5170</v>
      </c>
      <c r="K959" s="53" t="s">
        <v>5692</v>
      </c>
      <c r="L959" s="53" t="s">
        <v>4644</v>
      </c>
    </row>
    <row r="960" spans="1:12" ht="15" customHeight="1" x14ac:dyDescent="0.35">
      <c r="A960" s="53" t="s">
        <v>3398</v>
      </c>
      <c r="B960" s="53" t="s">
        <v>1077</v>
      </c>
      <c r="C960" s="55">
        <v>0</v>
      </c>
      <c r="D960" s="55">
        <v>0</v>
      </c>
      <c r="E960" s="53">
        <v>2</v>
      </c>
      <c r="F960" s="53">
        <v>0</v>
      </c>
      <c r="G960" s="55">
        <v>0</v>
      </c>
      <c r="H960" s="55">
        <v>0</v>
      </c>
      <c r="I960" s="55">
        <v>0</v>
      </c>
      <c r="J960" s="53" t="s">
        <v>5047</v>
      </c>
      <c r="K960" s="53" t="s">
        <v>5693</v>
      </c>
      <c r="L960" s="53" t="s">
        <v>4871</v>
      </c>
    </row>
    <row r="961" spans="1:12" ht="15" customHeight="1" x14ac:dyDescent="0.35">
      <c r="A961" s="53" t="s">
        <v>3399</v>
      </c>
      <c r="B961" s="53" t="s">
        <v>1490</v>
      </c>
      <c r="C961" s="55">
        <v>0</v>
      </c>
      <c r="D961" s="55">
        <v>0</v>
      </c>
      <c r="E961" s="53">
        <v>2</v>
      </c>
      <c r="F961" s="53">
        <v>0</v>
      </c>
      <c r="G961" s="55">
        <v>0</v>
      </c>
      <c r="H961" s="55">
        <v>0</v>
      </c>
      <c r="I961" s="55">
        <v>0</v>
      </c>
      <c r="J961" s="53" t="s">
        <v>5170</v>
      </c>
      <c r="K961" s="53" t="s">
        <v>5694</v>
      </c>
      <c r="L961" s="53" t="s">
        <v>4360</v>
      </c>
    </row>
    <row r="962" spans="1:12" ht="15" customHeight="1" x14ac:dyDescent="0.35">
      <c r="A962" s="53" t="s">
        <v>3400</v>
      </c>
      <c r="B962" s="53" t="s">
        <v>1077</v>
      </c>
      <c r="C962" s="55">
        <v>0</v>
      </c>
      <c r="D962" s="55">
        <v>0</v>
      </c>
      <c r="E962" s="53">
        <v>2</v>
      </c>
      <c r="F962" s="53">
        <v>0</v>
      </c>
      <c r="G962" s="55">
        <v>0</v>
      </c>
      <c r="H962" s="55">
        <v>0</v>
      </c>
      <c r="I962" s="55">
        <v>0</v>
      </c>
      <c r="J962" s="53" t="s">
        <v>5695</v>
      </c>
      <c r="K962" s="53" t="s">
        <v>5696</v>
      </c>
      <c r="L962" s="53" t="s">
        <v>4360</v>
      </c>
    </row>
    <row r="963" spans="1:12" ht="15" customHeight="1" x14ac:dyDescent="0.35">
      <c r="A963" s="53" t="s">
        <v>3402</v>
      </c>
      <c r="B963" s="53"/>
      <c r="C963" s="55">
        <v>0</v>
      </c>
      <c r="D963" s="55">
        <v>0</v>
      </c>
      <c r="E963" s="53">
        <v>2</v>
      </c>
      <c r="F963" s="53">
        <v>0</v>
      </c>
      <c r="G963" s="55">
        <v>0</v>
      </c>
      <c r="H963" s="55">
        <v>0</v>
      </c>
      <c r="I963" s="55">
        <v>0</v>
      </c>
      <c r="J963" s="53" t="s">
        <v>5292</v>
      </c>
      <c r="K963" s="53"/>
      <c r="L963" s="53"/>
    </row>
    <row r="964" spans="1:12" ht="15" customHeight="1" x14ac:dyDescent="0.35">
      <c r="A964" s="53" t="s">
        <v>3403</v>
      </c>
      <c r="B964" s="53" t="s">
        <v>3404</v>
      </c>
      <c r="C964" s="55">
        <v>0</v>
      </c>
      <c r="D964" s="55">
        <v>0</v>
      </c>
      <c r="E964" s="53">
        <v>1</v>
      </c>
      <c r="F964" s="53">
        <v>0</v>
      </c>
      <c r="G964" s="55">
        <v>0</v>
      </c>
      <c r="H964" s="55">
        <v>0</v>
      </c>
      <c r="I964" s="55">
        <v>0</v>
      </c>
      <c r="J964" s="53" t="s">
        <v>5067</v>
      </c>
      <c r="K964" s="53" t="s">
        <v>5697</v>
      </c>
      <c r="L964" s="53" t="s">
        <v>4686</v>
      </c>
    </row>
    <row r="965" spans="1:12" ht="15" customHeight="1" x14ac:dyDescent="0.35">
      <c r="A965" s="53" t="s">
        <v>3405</v>
      </c>
      <c r="B965" s="53" t="s">
        <v>1240</v>
      </c>
      <c r="C965" s="55">
        <v>0</v>
      </c>
      <c r="D965" s="55">
        <v>0</v>
      </c>
      <c r="E965" s="53">
        <v>1</v>
      </c>
      <c r="F965" s="53">
        <v>0</v>
      </c>
      <c r="G965" s="55">
        <v>0</v>
      </c>
      <c r="H965" s="55">
        <v>0</v>
      </c>
      <c r="I965" s="55">
        <v>0</v>
      </c>
      <c r="J965" s="53" t="s">
        <v>4927</v>
      </c>
      <c r="K965" s="53" t="s">
        <v>5698</v>
      </c>
      <c r="L965" s="53" t="s">
        <v>4686</v>
      </c>
    </row>
    <row r="966" spans="1:12" ht="15" customHeight="1" x14ac:dyDescent="0.35">
      <c r="A966" s="53" t="s">
        <v>3406</v>
      </c>
      <c r="B966" s="53" t="s">
        <v>1009</v>
      </c>
      <c r="C966" s="55">
        <v>0</v>
      </c>
      <c r="D966" s="55">
        <v>0</v>
      </c>
      <c r="E966" s="53">
        <v>1</v>
      </c>
      <c r="F966" s="53">
        <v>0</v>
      </c>
      <c r="G966" s="55">
        <v>0</v>
      </c>
      <c r="H966" s="55">
        <v>0</v>
      </c>
      <c r="I966" s="55">
        <v>0</v>
      </c>
      <c r="J966" s="53" t="s">
        <v>4927</v>
      </c>
      <c r="K966" s="53" t="s">
        <v>5699</v>
      </c>
      <c r="L966" s="53" t="s">
        <v>4871</v>
      </c>
    </row>
    <row r="967" spans="1:12" ht="15" customHeight="1" x14ac:dyDescent="0.35">
      <c r="A967" s="53" t="s">
        <v>3407</v>
      </c>
      <c r="B967" s="53" t="s">
        <v>1009</v>
      </c>
      <c r="C967" s="55">
        <v>0</v>
      </c>
      <c r="D967" s="55">
        <v>0</v>
      </c>
      <c r="E967" s="53">
        <v>1</v>
      </c>
      <c r="F967" s="53">
        <v>0</v>
      </c>
      <c r="G967" s="55">
        <v>0</v>
      </c>
      <c r="H967" s="55">
        <v>0</v>
      </c>
      <c r="I967" s="55">
        <v>0</v>
      </c>
      <c r="J967" s="53" t="s">
        <v>5301</v>
      </c>
      <c r="K967" s="53" t="s">
        <v>5700</v>
      </c>
      <c r="L967" s="53" t="s">
        <v>4673</v>
      </c>
    </row>
    <row r="968" spans="1:12" ht="15" customHeight="1" x14ac:dyDescent="0.35">
      <c r="A968" s="53" t="s">
        <v>3408</v>
      </c>
      <c r="B968" s="53" t="s">
        <v>909</v>
      </c>
      <c r="C968" s="55">
        <v>0</v>
      </c>
      <c r="D968" s="55">
        <v>0</v>
      </c>
      <c r="E968" s="53">
        <v>1</v>
      </c>
      <c r="F968" s="53">
        <v>0</v>
      </c>
      <c r="G968" s="55">
        <v>0</v>
      </c>
      <c r="H968" s="55">
        <v>0</v>
      </c>
      <c r="I968" s="55">
        <v>0</v>
      </c>
      <c r="J968" s="53" t="s">
        <v>4770</v>
      </c>
      <c r="K968" s="53" t="s">
        <v>5701</v>
      </c>
      <c r="L968" s="53" t="s">
        <v>4772</v>
      </c>
    </row>
    <row r="969" spans="1:12" ht="15" customHeight="1" x14ac:dyDescent="0.35">
      <c r="A969" s="53" t="s">
        <v>3409</v>
      </c>
      <c r="B969" s="53" t="s">
        <v>946</v>
      </c>
      <c r="C969" s="55">
        <v>0</v>
      </c>
      <c r="D969" s="55">
        <v>0</v>
      </c>
      <c r="E969" s="53">
        <v>1</v>
      </c>
      <c r="F969" s="53">
        <v>0</v>
      </c>
      <c r="G969" s="55">
        <v>0</v>
      </c>
      <c r="H969" s="55">
        <v>0</v>
      </c>
      <c r="I969" s="55">
        <v>0</v>
      </c>
      <c r="J969" s="53" t="s">
        <v>4770</v>
      </c>
      <c r="K969" s="53" t="s">
        <v>5702</v>
      </c>
      <c r="L969" s="53" t="s">
        <v>4673</v>
      </c>
    </row>
    <row r="970" spans="1:12" ht="15" customHeight="1" x14ac:dyDescent="0.35">
      <c r="A970" s="53" t="s">
        <v>3410</v>
      </c>
      <c r="B970" s="53" t="s">
        <v>3411</v>
      </c>
      <c r="C970" s="55">
        <v>0</v>
      </c>
      <c r="D970" s="55">
        <v>0</v>
      </c>
      <c r="E970" s="53">
        <v>1</v>
      </c>
      <c r="F970" s="53">
        <v>0</v>
      </c>
      <c r="G970" s="55">
        <v>0</v>
      </c>
      <c r="H970" s="55">
        <v>0</v>
      </c>
      <c r="I970" s="55">
        <v>0</v>
      </c>
      <c r="J970" s="53" t="s">
        <v>4770</v>
      </c>
      <c r="K970" s="53" t="s">
        <v>5703</v>
      </c>
      <c r="L970" s="53" t="s">
        <v>4871</v>
      </c>
    </row>
    <row r="971" spans="1:12" ht="15" customHeight="1" x14ac:dyDescent="0.35">
      <c r="A971" s="53" t="s">
        <v>3412</v>
      </c>
      <c r="B971" s="53" t="s">
        <v>3413</v>
      </c>
      <c r="C971" s="55">
        <v>0</v>
      </c>
      <c r="D971" s="55">
        <v>0</v>
      </c>
      <c r="E971" s="53">
        <v>1</v>
      </c>
      <c r="F971" s="53">
        <v>0</v>
      </c>
      <c r="G971" s="55">
        <v>0</v>
      </c>
      <c r="H971" s="55">
        <v>0</v>
      </c>
      <c r="I971" s="55">
        <v>0</v>
      </c>
      <c r="J971" s="53" t="s">
        <v>4770</v>
      </c>
      <c r="K971" s="53" t="s">
        <v>5704</v>
      </c>
      <c r="L971" s="53" t="s">
        <v>4772</v>
      </c>
    </row>
    <row r="972" spans="1:12" ht="15" customHeight="1" x14ac:dyDescent="0.35">
      <c r="A972" s="53" t="s">
        <v>3414</v>
      </c>
      <c r="B972" s="53" t="s">
        <v>2971</v>
      </c>
      <c r="C972" s="55">
        <v>0</v>
      </c>
      <c r="D972" s="55">
        <v>0</v>
      </c>
      <c r="E972" s="53">
        <v>1</v>
      </c>
      <c r="F972" s="53">
        <v>0</v>
      </c>
      <c r="G972" s="55">
        <v>0</v>
      </c>
      <c r="H972" s="55">
        <v>0</v>
      </c>
      <c r="I972" s="55">
        <v>0</v>
      </c>
      <c r="J972" s="53" t="s">
        <v>4770</v>
      </c>
      <c r="K972" s="53" t="s">
        <v>5705</v>
      </c>
      <c r="L972" s="53" t="s">
        <v>4686</v>
      </c>
    </row>
    <row r="973" spans="1:12" ht="15" customHeight="1" x14ac:dyDescent="0.35">
      <c r="A973" s="53" t="s">
        <v>3415</v>
      </c>
      <c r="B973" s="53" t="s">
        <v>1136</v>
      </c>
      <c r="C973" s="55">
        <v>0</v>
      </c>
      <c r="D973" s="55">
        <v>0</v>
      </c>
      <c r="E973" s="53">
        <v>1</v>
      </c>
      <c r="F973" s="53">
        <v>0</v>
      </c>
      <c r="G973" s="55">
        <v>0</v>
      </c>
      <c r="H973" s="55">
        <v>0</v>
      </c>
      <c r="I973" s="55">
        <v>0</v>
      </c>
      <c r="J973" s="53" t="s">
        <v>5301</v>
      </c>
      <c r="K973" s="53" t="s">
        <v>5706</v>
      </c>
      <c r="L973" s="53" t="s">
        <v>4360</v>
      </c>
    </row>
    <row r="974" spans="1:12" ht="15" customHeight="1" x14ac:dyDescent="0.35">
      <c r="A974" s="53" t="s">
        <v>3416</v>
      </c>
      <c r="B974" s="53" t="s">
        <v>1136</v>
      </c>
      <c r="C974" s="55">
        <v>0</v>
      </c>
      <c r="D974" s="55">
        <v>0</v>
      </c>
      <c r="E974" s="53">
        <v>1</v>
      </c>
      <c r="F974" s="53">
        <v>0</v>
      </c>
      <c r="G974" s="55">
        <v>0</v>
      </c>
      <c r="H974" s="55">
        <v>0</v>
      </c>
      <c r="I974" s="55">
        <v>0</v>
      </c>
      <c r="J974" s="53" t="s">
        <v>5301</v>
      </c>
      <c r="K974" s="53" t="s">
        <v>5706</v>
      </c>
      <c r="L974" s="53" t="s">
        <v>4360</v>
      </c>
    </row>
    <row r="975" spans="1:12" ht="15" customHeight="1" x14ac:dyDescent="0.35">
      <c r="A975" s="53" t="s">
        <v>3417</v>
      </c>
      <c r="B975" s="53" t="s">
        <v>905</v>
      </c>
      <c r="C975" s="55">
        <v>0</v>
      </c>
      <c r="D975" s="55">
        <v>0</v>
      </c>
      <c r="E975" s="53">
        <v>1</v>
      </c>
      <c r="F975" s="53">
        <v>0</v>
      </c>
      <c r="G975" s="55">
        <v>0</v>
      </c>
      <c r="H975" s="55">
        <v>0</v>
      </c>
      <c r="I975" s="55">
        <v>0</v>
      </c>
      <c r="J975" s="53" t="s">
        <v>5099</v>
      </c>
      <c r="K975" s="53" t="s">
        <v>5707</v>
      </c>
      <c r="L975" s="53" t="s">
        <v>4686</v>
      </c>
    </row>
    <row r="976" spans="1:12" ht="15" customHeight="1" x14ac:dyDescent="0.35">
      <c r="A976" s="53" t="s">
        <v>3418</v>
      </c>
      <c r="B976" s="53" t="s">
        <v>1118</v>
      </c>
      <c r="C976" s="55">
        <v>0</v>
      </c>
      <c r="D976" s="55">
        <v>0</v>
      </c>
      <c r="E976" s="53">
        <v>1</v>
      </c>
      <c r="F976" s="53">
        <v>0</v>
      </c>
      <c r="G976" s="55">
        <v>0</v>
      </c>
      <c r="H976" s="55">
        <v>0</v>
      </c>
      <c r="I976" s="55">
        <v>0</v>
      </c>
      <c r="J976" s="53" t="s">
        <v>4927</v>
      </c>
      <c r="K976" s="53" t="s">
        <v>5708</v>
      </c>
      <c r="L976" s="53" t="s">
        <v>4686</v>
      </c>
    </row>
    <row r="977" spans="1:12" ht="15" customHeight="1" x14ac:dyDescent="0.35">
      <c r="A977" s="53" t="s">
        <v>3419</v>
      </c>
      <c r="B977" s="53" t="s">
        <v>3404</v>
      </c>
      <c r="C977" s="55">
        <v>0</v>
      </c>
      <c r="D977" s="55">
        <v>0</v>
      </c>
      <c r="E977" s="53">
        <v>1</v>
      </c>
      <c r="F977" s="53">
        <v>0</v>
      </c>
      <c r="G977" s="55">
        <v>0</v>
      </c>
      <c r="H977" s="55">
        <v>0</v>
      </c>
      <c r="I977" s="55">
        <v>0</v>
      </c>
      <c r="J977" s="53" t="s">
        <v>5196</v>
      </c>
      <c r="K977" s="53" t="s">
        <v>5709</v>
      </c>
      <c r="L977" s="53" t="s">
        <v>4772</v>
      </c>
    </row>
    <row r="978" spans="1:12" ht="15" customHeight="1" x14ac:dyDescent="0.35">
      <c r="A978" s="53" t="s">
        <v>3420</v>
      </c>
      <c r="B978" s="53" t="s">
        <v>1118</v>
      </c>
      <c r="C978" s="55">
        <v>0</v>
      </c>
      <c r="D978" s="55">
        <v>0</v>
      </c>
      <c r="E978" s="53">
        <v>1</v>
      </c>
      <c r="F978" s="53">
        <v>0</v>
      </c>
      <c r="G978" s="55">
        <v>0</v>
      </c>
      <c r="H978" s="55">
        <v>0</v>
      </c>
      <c r="I978" s="55">
        <v>0</v>
      </c>
      <c r="J978" s="53" t="s">
        <v>5301</v>
      </c>
      <c r="K978" s="53" t="s">
        <v>5710</v>
      </c>
      <c r="L978" s="53" t="s">
        <v>4673</v>
      </c>
    </row>
    <row r="979" spans="1:12" ht="15" customHeight="1" x14ac:dyDescent="0.35">
      <c r="A979" s="53" t="s">
        <v>3421</v>
      </c>
      <c r="B979" s="53" t="s">
        <v>3404</v>
      </c>
      <c r="C979" s="55">
        <v>0</v>
      </c>
      <c r="D979" s="55">
        <v>0</v>
      </c>
      <c r="E979" s="53">
        <v>1</v>
      </c>
      <c r="F979" s="53">
        <v>0</v>
      </c>
      <c r="G979" s="55">
        <v>0</v>
      </c>
      <c r="H979" s="55">
        <v>0</v>
      </c>
      <c r="I979" s="55">
        <v>0</v>
      </c>
      <c r="J979" s="53" t="s">
        <v>5196</v>
      </c>
      <c r="K979" s="53" t="s">
        <v>5711</v>
      </c>
      <c r="L979" s="53" t="s">
        <v>4360</v>
      </c>
    </row>
    <row r="980" spans="1:12" ht="15" customHeight="1" x14ac:dyDescent="0.35">
      <c r="A980" s="53" t="s">
        <v>3422</v>
      </c>
      <c r="B980" s="53" t="s">
        <v>1118</v>
      </c>
      <c r="C980" s="55">
        <v>0</v>
      </c>
      <c r="D980" s="55">
        <v>0</v>
      </c>
      <c r="E980" s="53">
        <v>1</v>
      </c>
      <c r="F980" s="53">
        <v>0</v>
      </c>
      <c r="G980" s="55">
        <v>0</v>
      </c>
      <c r="H980" s="55">
        <v>0</v>
      </c>
      <c r="I980" s="55">
        <v>0</v>
      </c>
      <c r="J980" s="53" t="s">
        <v>4770</v>
      </c>
      <c r="K980" s="53" t="s">
        <v>5712</v>
      </c>
      <c r="L980" s="53" t="s">
        <v>4772</v>
      </c>
    </row>
    <row r="981" spans="1:12" ht="15" customHeight="1" x14ac:dyDescent="0.35">
      <c r="A981" s="53" t="s">
        <v>3423</v>
      </c>
      <c r="B981" s="53" t="s">
        <v>1143</v>
      </c>
      <c r="C981" s="55">
        <v>0</v>
      </c>
      <c r="D981" s="55">
        <v>0</v>
      </c>
      <c r="E981" s="53">
        <v>1</v>
      </c>
      <c r="F981" s="53">
        <v>0</v>
      </c>
      <c r="G981" s="55">
        <v>0</v>
      </c>
      <c r="H981" s="55">
        <v>0</v>
      </c>
      <c r="I981" s="55">
        <v>0</v>
      </c>
      <c r="J981" s="53" t="s">
        <v>5316</v>
      </c>
      <c r="K981" s="53" t="s">
        <v>5713</v>
      </c>
      <c r="L981" s="53" t="s">
        <v>4871</v>
      </c>
    </row>
    <row r="982" spans="1:12" ht="15" customHeight="1" x14ac:dyDescent="0.35">
      <c r="A982" s="53" t="s">
        <v>3424</v>
      </c>
      <c r="B982" s="53" t="s">
        <v>929</v>
      </c>
      <c r="C982" s="55">
        <v>0</v>
      </c>
      <c r="D982" s="55">
        <v>0</v>
      </c>
      <c r="E982" s="53">
        <v>1</v>
      </c>
      <c r="F982" s="53">
        <v>0</v>
      </c>
      <c r="G982" s="55">
        <v>0</v>
      </c>
      <c r="H982" s="55">
        <v>0</v>
      </c>
      <c r="I982" s="55">
        <v>0</v>
      </c>
      <c r="J982" s="53" t="s">
        <v>5196</v>
      </c>
      <c r="K982" s="53" t="s">
        <v>5714</v>
      </c>
      <c r="L982" s="53" t="s">
        <v>4686</v>
      </c>
    </row>
    <row r="983" spans="1:12" ht="15" customHeight="1" x14ac:dyDescent="0.35">
      <c r="A983" s="53" t="s">
        <v>3425</v>
      </c>
      <c r="B983" s="53" t="s">
        <v>1077</v>
      </c>
      <c r="C983" s="55">
        <v>0</v>
      </c>
      <c r="D983" s="55">
        <v>0</v>
      </c>
      <c r="E983" s="53">
        <v>1</v>
      </c>
      <c r="F983" s="53">
        <v>0</v>
      </c>
      <c r="G983" s="55">
        <v>0</v>
      </c>
      <c r="H983" s="55">
        <v>0</v>
      </c>
      <c r="I983" s="55">
        <v>0</v>
      </c>
      <c r="J983" s="53" t="s">
        <v>4770</v>
      </c>
      <c r="K983" s="53" t="s">
        <v>5715</v>
      </c>
      <c r="L983" s="53" t="s">
        <v>4871</v>
      </c>
    </row>
    <row r="984" spans="1:12" ht="15" customHeight="1" x14ac:dyDescent="0.35">
      <c r="A984" s="53" t="s">
        <v>3426</v>
      </c>
      <c r="B984" s="53" t="s">
        <v>1077</v>
      </c>
      <c r="C984" s="55">
        <v>0</v>
      </c>
      <c r="D984" s="55">
        <v>0</v>
      </c>
      <c r="E984" s="53">
        <v>1</v>
      </c>
      <c r="F984" s="53">
        <v>0</v>
      </c>
      <c r="G984" s="55">
        <v>0</v>
      </c>
      <c r="H984" s="55">
        <v>0</v>
      </c>
      <c r="I984" s="55">
        <v>0</v>
      </c>
      <c r="J984" s="53" t="s">
        <v>5067</v>
      </c>
      <c r="K984" s="53" t="s">
        <v>5716</v>
      </c>
      <c r="L984" s="53" t="s">
        <v>4360</v>
      </c>
    </row>
    <row r="985" spans="1:12" ht="15" customHeight="1" x14ac:dyDescent="0.35">
      <c r="A985" s="53" t="s">
        <v>3427</v>
      </c>
      <c r="B985" s="53" t="s">
        <v>2257</v>
      </c>
      <c r="C985" s="55">
        <v>0</v>
      </c>
      <c r="D985" s="55">
        <v>0</v>
      </c>
      <c r="E985" s="53">
        <v>1</v>
      </c>
      <c r="F985" s="53">
        <v>0</v>
      </c>
      <c r="G985" s="55">
        <v>0</v>
      </c>
      <c r="H985" s="55">
        <v>0</v>
      </c>
      <c r="I985" s="55">
        <v>0</v>
      </c>
      <c r="J985" s="53" t="s">
        <v>4927</v>
      </c>
      <c r="K985" s="53" t="s">
        <v>5717</v>
      </c>
      <c r="L985" s="53" t="s">
        <v>4360</v>
      </c>
    </row>
    <row r="986" spans="1:12" ht="15" customHeight="1" x14ac:dyDescent="0.35">
      <c r="A986" s="53" t="s">
        <v>3428</v>
      </c>
      <c r="B986" s="53" t="s">
        <v>1817</v>
      </c>
      <c r="C986" s="55">
        <v>0</v>
      </c>
      <c r="D986" s="55">
        <v>0</v>
      </c>
      <c r="E986" s="53">
        <v>1</v>
      </c>
      <c r="F986" s="53">
        <v>0</v>
      </c>
      <c r="G986" s="55">
        <v>0</v>
      </c>
      <c r="H986" s="55">
        <v>0</v>
      </c>
      <c r="I986" s="55">
        <v>0</v>
      </c>
      <c r="J986" s="53" t="s">
        <v>5178</v>
      </c>
      <c r="K986" s="53" t="s">
        <v>5718</v>
      </c>
      <c r="L986" s="53" t="s">
        <v>4686</v>
      </c>
    </row>
    <row r="987" spans="1:12" ht="15" customHeight="1" x14ac:dyDescent="0.35">
      <c r="A987" s="53" t="s">
        <v>3429</v>
      </c>
      <c r="B987" s="53" t="s">
        <v>1817</v>
      </c>
      <c r="C987" s="55">
        <v>0</v>
      </c>
      <c r="D987" s="55">
        <v>0</v>
      </c>
      <c r="E987" s="53">
        <v>1</v>
      </c>
      <c r="F987" s="53">
        <v>0</v>
      </c>
      <c r="G987" s="55">
        <v>0</v>
      </c>
      <c r="H987" s="55">
        <v>0</v>
      </c>
      <c r="I987" s="55">
        <v>0</v>
      </c>
      <c r="J987" s="53" t="s">
        <v>4927</v>
      </c>
      <c r="K987" s="53" t="s">
        <v>5719</v>
      </c>
      <c r="L987" s="53" t="s">
        <v>4772</v>
      </c>
    </row>
    <row r="988" spans="1:12" ht="15" customHeight="1" x14ac:dyDescent="0.35">
      <c r="A988" s="53" t="s">
        <v>3430</v>
      </c>
      <c r="B988" s="53" t="s">
        <v>2602</v>
      </c>
      <c r="C988" s="55">
        <v>0</v>
      </c>
      <c r="D988" s="55">
        <v>0</v>
      </c>
      <c r="E988" s="53">
        <v>1</v>
      </c>
      <c r="F988" s="53">
        <v>0</v>
      </c>
      <c r="G988" s="55">
        <v>0</v>
      </c>
      <c r="H988" s="55">
        <v>0</v>
      </c>
      <c r="I988" s="55">
        <v>0</v>
      </c>
      <c r="J988" s="53" t="s">
        <v>4770</v>
      </c>
      <c r="K988" s="53" t="s">
        <v>5720</v>
      </c>
      <c r="L988" s="53" t="s">
        <v>4772</v>
      </c>
    </row>
    <row r="989" spans="1:12" ht="15" customHeight="1" x14ac:dyDescent="0.35">
      <c r="A989" s="53" t="s">
        <v>3431</v>
      </c>
      <c r="B989" s="53" t="s">
        <v>1690</v>
      </c>
      <c r="C989" s="55">
        <v>0</v>
      </c>
      <c r="D989" s="55">
        <v>0</v>
      </c>
      <c r="E989" s="53">
        <v>1</v>
      </c>
      <c r="F989" s="53">
        <v>0</v>
      </c>
      <c r="G989" s="55">
        <v>0</v>
      </c>
      <c r="H989" s="55">
        <v>0</v>
      </c>
      <c r="I989" s="55">
        <v>0</v>
      </c>
      <c r="J989" s="53" t="s">
        <v>5178</v>
      </c>
      <c r="K989" s="53" t="s">
        <v>5721</v>
      </c>
      <c r="L989" s="53" t="s">
        <v>4871</v>
      </c>
    </row>
    <row r="990" spans="1:12" ht="15" customHeight="1" x14ac:dyDescent="0.35">
      <c r="A990" s="53" t="s">
        <v>3432</v>
      </c>
      <c r="B990" s="53" t="s">
        <v>1136</v>
      </c>
      <c r="C990" s="55">
        <v>0</v>
      </c>
      <c r="D990" s="55">
        <v>0</v>
      </c>
      <c r="E990" s="53">
        <v>1</v>
      </c>
      <c r="F990" s="53">
        <v>0</v>
      </c>
      <c r="G990" s="55">
        <v>0</v>
      </c>
      <c r="H990" s="55">
        <v>0</v>
      </c>
      <c r="I990" s="55">
        <v>0</v>
      </c>
      <c r="J990" s="53" t="s">
        <v>4684</v>
      </c>
      <c r="K990" s="53" t="s">
        <v>5722</v>
      </c>
      <c r="L990" s="53" t="s">
        <v>4772</v>
      </c>
    </row>
    <row r="991" spans="1:12" ht="15" customHeight="1" x14ac:dyDescent="0.35">
      <c r="A991" s="53" t="s">
        <v>3433</v>
      </c>
      <c r="B991" s="53" t="s">
        <v>913</v>
      </c>
      <c r="C991" s="55">
        <v>0</v>
      </c>
      <c r="D991" s="55">
        <v>0</v>
      </c>
      <c r="E991" s="53">
        <v>1</v>
      </c>
      <c r="F991" s="53">
        <v>0</v>
      </c>
      <c r="G991" s="55">
        <v>0</v>
      </c>
      <c r="H991" s="55">
        <v>0</v>
      </c>
      <c r="I991" s="55">
        <v>0</v>
      </c>
      <c r="J991" s="53" t="s">
        <v>5099</v>
      </c>
      <c r="K991" s="53" t="s">
        <v>5723</v>
      </c>
      <c r="L991" s="53" t="s">
        <v>4673</v>
      </c>
    </row>
    <row r="992" spans="1:12" ht="15" customHeight="1" x14ac:dyDescent="0.35">
      <c r="A992" s="53" t="s">
        <v>3434</v>
      </c>
      <c r="B992" s="53" t="s">
        <v>1817</v>
      </c>
      <c r="C992" s="55">
        <v>0</v>
      </c>
      <c r="D992" s="55">
        <v>0</v>
      </c>
      <c r="E992" s="53">
        <v>1</v>
      </c>
      <c r="F992" s="53">
        <v>0</v>
      </c>
      <c r="G992" s="55">
        <v>0</v>
      </c>
      <c r="H992" s="55">
        <v>0</v>
      </c>
      <c r="I992" s="55">
        <v>0</v>
      </c>
      <c r="J992" s="53" t="s">
        <v>5067</v>
      </c>
      <c r="K992" s="53" t="s">
        <v>5724</v>
      </c>
      <c r="L992" s="53" t="s">
        <v>4772</v>
      </c>
    </row>
    <row r="993" spans="1:12" ht="15" customHeight="1" x14ac:dyDescent="0.35">
      <c r="A993" s="53" t="s">
        <v>3435</v>
      </c>
      <c r="B993" s="53" t="s">
        <v>1077</v>
      </c>
      <c r="C993" s="55">
        <v>0</v>
      </c>
      <c r="D993" s="55">
        <v>0</v>
      </c>
      <c r="E993" s="53">
        <v>1</v>
      </c>
      <c r="F993" s="53">
        <v>0</v>
      </c>
      <c r="G993" s="55">
        <v>0</v>
      </c>
      <c r="H993" s="55">
        <v>0</v>
      </c>
      <c r="I993" s="55">
        <v>0</v>
      </c>
      <c r="J993" s="53" t="s">
        <v>4927</v>
      </c>
      <c r="K993" s="53" t="s">
        <v>5725</v>
      </c>
      <c r="L993" s="53" t="s">
        <v>4772</v>
      </c>
    </row>
    <row r="994" spans="1:12" ht="15" customHeight="1" x14ac:dyDescent="0.35">
      <c r="A994" s="53" t="s">
        <v>3436</v>
      </c>
      <c r="B994" s="53" t="s">
        <v>2257</v>
      </c>
      <c r="C994" s="55">
        <v>0</v>
      </c>
      <c r="D994" s="55">
        <v>0</v>
      </c>
      <c r="E994" s="53">
        <v>1</v>
      </c>
      <c r="F994" s="53">
        <v>0</v>
      </c>
      <c r="G994" s="55">
        <v>0</v>
      </c>
      <c r="H994" s="55">
        <v>0</v>
      </c>
      <c r="I994" s="55">
        <v>0</v>
      </c>
      <c r="J994" s="53" t="s">
        <v>4927</v>
      </c>
      <c r="K994" s="53" t="s">
        <v>5726</v>
      </c>
      <c r="L994" s="53" t="s">
        <v>4360</v>
      </c>
    </row>
    <row r="995" spans="1:12" ht="15" customHeight="1" x14ac:dyDescent="0.35">
      <c r="A995" s="53" t="s">
        <v>3437</v>
      </c>
      <c r="B995" s="53" t="s">
        <v>2257</v>
      </c>
      <c r="C995" s="55">
        <v>0</v>
      </c>
      <c r="D995" s="55">
        <v>0</v>
      </c>
      <c r="E995" s="53">
        <v>1</v>
      </c>
      <c r="F995" s="53">
        <v>0</v>
      </c>
      <c r="G995" s="55">
        <v>0</v>
      </c>
      <c r="H995" s="55">
        <v>0</v>
      </c>
      <c r="I995" s="55">
        <v>0</v>
      </c>
      <c r="J995" s="53" t="s">
        <v>4684</v>
      </c>
      <c r="K995" s="53" t="s">
        <v>5727</v>
      </c>
      <c r="L995" s="53" t="s">
        <v>4871</v>
      </c>
    </row>
    <row r="996" spans="1:12" ht="15" customHeight="1" x14ac:dyDescent="0.35">
      <c r="A996" s="53" t="s">
        <v>3438</v>
      </c>
      <c r="B996" s="53" t="s">
        <v>2598</v>
      </c>
      <c r="C996" s="55">
        <v>0</v>
      </c>
      <c r="D996" s="55">
        <v>0</v>
      </c>
      <c r="E996" s="53">
        <v>1</v>
      </c>
      <c r="F996" s="53">
        <v>1</v>
      </c>
      <c r="G996" s="55">
        <v>1</v>
      </c>
      <c r="H996" s="55">
        <v>0</v>
      </c>
      <c r="I996" s="55">
        <v>0</v>
      </c>
      <c r="J996" s="53" t="s">
        <v>4927</v>
      </c>
      <c r="K996" s="53" t="s">
        <v>5728</v>
      </c>
      <c r="L996" s="53" t="s">
        <v>4360</v>
      </c>
    </row>
    <row r="997" spans="1:12" ht="15" customHeight="1" x14ac:dyDescent="0.35">
      <c r="A997" s="53" t="s">
        <v>3439</v>
      </c>
      <c r="B997" s="53" t="s">
        <v>2598</v>
      </c>
      <c r="C997" s="55">
        <v>0</v>
      </c>
      <c r="D997" s="55">
        <v>0</v>
      </c>
      <c r="E997" s="53">
        <v>1</v>
      </c>
      <c r="F997" s="53">
        <v>1</v>
      </c>
      <c r="G997" s="55">
        <v>1</v>
      </c>
      <c r="H997" s="55">
        <v>0</v>
      </c>
      <c r="I997" s="55">
        <v>0</v>
      </c>
      <c r="J997" s="53" t="s">
        <v>4927</v>
      </c>
      <c r="K997" s="53" t="s">
        <v>5729</v>
      </c>
      <c r="L997" s="53" t="s">
        <v>4360</v>
      </c>
    </row>
    <row r="998" spans="1:12" ht="15" customHeight="1" x14ac:dyDescent="0.35">
      <c r="A998" s="53" t="s">
        <v>3440</v>
      </c>
      <c r="B998" s="53" t="s">
        <v>1077</v>
      </c>
      <c r="C998" s="55">
        <v>0</v>
      </c>
      <c r="D998" s="55">
        <v>0</v>
      </c>
      <c r="E998" s="53">
        <v>1</v>
      </c>
      <c r="F998" s="53">
        <v>1</v>
      </c>
      <c r="G998" s="55">
        <v>1</v>
      </c>
      <c r="H998" s="55">
        <v>0</v>
      </c>
      <c r="I998" s="55">
        <v>0</v>
      </c>
      <c r="J998" s="53" t="s">
        <v>4770</v>
      </c>
      <c r="K998" s="53" t="s">
        <v>5730</v>
      </c>
      <c r="L998" s="53" t="s">
        <v>4871</v>
      </c>
    </row>
    <row r="999" spans="1:12" ht="15" customHeight="1" x14ac:dyDescent="0.35">
      <c r="A999" s="53" t="s">
        <v>3441</v>
      </c>
      <c r="B999" s="53" t="s">
        <v>1143</v>
      </c>
      <c r="C999" s="55">
        <v>0</v>
      </c>
      <c r="D999" s="55">
        <v>0</v>
      </c>
      <c r="E999" s="53">
        <v>1</v>
      </c>
      <c r="F999" s="53">
        <v>1</v>
      </c>
      <c r="G999" s="55">
        <v>1</v>
      </c>
      <c r="H999" s="55">
        <v>0</v>
      </c>
      <c r="I999" s="55">
        <v>0</v>
      </c>
      <c r="J999" s="53" t="s">
        <v>4770</v>
      </c>
      <c r="K999" s="53" t="s">
        <v>5731</v>
      </c>
      <c r="L999" s="53" t="s">
        <v>4686</v>
      </c>
    </row>
    <row r="1000" spans="1:12" ht="15" customHeight="1" x14ac:dyDescent="0.35">
      <c r="A1000" s="53" t="s">
        <v>3442</v>
      </c>
      <c r="B1000" s="53" t="s">
        <v>1143</v>
      </c>
      <c r="C1000" s="55">
        <v>0</v>
      </c>
      <c r="D1000" s="55">
        <v>0</v>
      </c>
      <c r="E1000" s="53">
        <v>1</v>
      </c>
      <c r="F1000" s="53">
        <v>1</v>
      </c>
      <c r="G1000" s="55">
        <v>1</v>
      </c>
      <c r="H1000" s="55">
        <v>0</v>
      </c>
      <c r="I1000" s="55">
        <v>0</v>
      </c>
      <c r="J1000" s="53" t="s">
        <v>4770</v>
      </c>
      <c r="K1000" s="53" t="s">
        <v>5732</v>
      </c>
      <c r="L1000" s="53" t="s">
        <v>4673</v>
      </c>
    </row>
    <row r="1001" spans="1:12" ht="15" customHeight="1" x14ac:dyDescent="0.35">
      <c r="A1001" s="53" t="s">
        <v>3443</v>
      </c>
      <c r="B1001" s="53" t="s">
        <v>2792</v>
      </c>
      <c r="C1001" s="55">
        <v>0</v>
      </c>
      <c r="D1001" s="55">
        <v>0</v>
      </c>
      <c r="E1001" s="53">
        <v>1</v>
      </c>
      <c r="F1001" s="53">
        <v>1</v>
      </c>
      <c r="G1001" s="55">
        <v>1</v>
      </c>
      <c r="H1001" s="55">
        <v>0</v>
      </c>
      <c r="I1001" s="55">
        <v>0</v>
      </c>
      <c r="J1001" s="53" t="s">
        <v>5067</v>
      </c>
      <c r="K1001" s="53" t="s">
        <v>5733</v>
      </c>
      <c r="L1001" s="53" t="s">
        <v>4772</v>
      </c>
    </row>
    <row r="1002" spans="1:12" ht="15" customHeight="1" x14ac:dyDescent="0.35">
      <c r="A1002" s="53" t="s">
        <v>3444</v>
      </c>
      <c r="B1002" s="53" t="s">
        <v>1817</v>
      </c>
      <c r="C1002" s="55">
        <v>0</v>
      </c>
      <c r="D1002" s="55">
        <v>0</v>
      </c>
      <c r="E1002" s="53">
        <v>1</v>
      </c>
      <c r="F1002" s="53">
        <v>1</v>
      </c>
      <c r="G1002" s="55">
        <v>1</v>
      </c>
      <c r="H1002" s="55">
        <v>0</v>
      </c>
      <c r="I1002" s="55">
        <v>0</v>
      </c>
      <c r="J1002" s="53" t="s">
        <v>5301</v>
      </c>
      <c r="K1002" s="53" t="s">
        <v>5734</v>
      </c>
      <c r="L1002" s="53" t="s">
        <v>4686</v>
      </c>
    </row>
    <row r="1003" spans="1:12" ht="15" customHeight="1" x14ac:dyDescent="0.35">
      <c r="A1003" s="53" t="s">
        <v>3445</v>
      </c>
      <c r="B1003" s="53" t="s">
        <v>1817</v>
      </c>
      <c r="C1003" s="55">
        <v>0</v>
      </c>
      <c r="D1003" s="55">
        <v>0</v>
      </c>
      <c r="E1003" s="53">
        <v>1</v>
      </c>
      <c r="F1003" s="53">
        <v>1</v>
      </c>
      <c r="G1003" s="55">
        <v>1</v>
      </c>
      <c r="H1003" s="55">
        <v>0</v>
      </c>
      <c r="I1003" s="55">
        <v>0</v>
      </c>
      <c r="J1003" s="53" t="s">
        <v>4927</v>
      </c>
      <c r="K1003" s="53" t="s">
        <v>5735</v>
      </c>
      <c r="L1003" s="53" t="s">
        <v>4871</v>
      </c>
    </row>
    <row r="1004" spans="1:12" ht="15" customHeight="1" x14ac:dyDescent="0.35">
      <c r="A1004" s="53" t="s">
        <v>3446</v>
      </c>
      <c r="B1004" s="53" t="s">
        <v>1091</v>
      </c>
      <c r="C1004" s="55">
        <v>0</v>
      </c>
      <c r="D1004" s="55">
        <v>0</v>
      </c>
      <c r="E1004" s="53">
        <v>1</v>
      </c>
      <c r="F1004" s="53">
        <v>0</v>
      </c>
      <c r="G1004" s="55">
        <v>0</v>
      </c>
      <c r="H1004" s="55">
        <v>0</v>
      </c>
      <c r="I1004" s="55">
        <v>0</v>
      </c>
      <c r="J1004" s="53" t="s">
        <v>5067</v>
      </c>
      <c r="K1004" s="53" t="s">
        <v>5736</v>
      </c>
      <c r="L1004" s="53" t="s">
        <v>4772</v>
      </c>
    </row>
    <row r="1005" spans="1:12" ht="15" customHeight="1" x14ac:dyDescent="0.35">
      <c r="A1005" s="53" t="s">
        <v>3447</v>
      </c>
      <c r="B1005" s="53" t="s">
        <v>1136</v>
      </c>
      <c r="C1005" s="55">
        <v>0</v>
      </c>
      <c r="D1005" s="55">
        <v>0</v>
      </c>
      <c r="E1005" s="53">
        <v>1</v>
      </c>
      <c r="F1005" s="53">
        <v>0</v>
      </c>
      <c r="G1005" s="55">
        <v>0</v>
      </c>
      <c r="H1005" s="55">
        <v>0</v>
      </c>
      <c r="I1005" s="55">
        <v>0</v>
      </c>
      <c r="J1005" s="53" t="s">
        <v>4770</v>
      </c>
      <c r="K1005" s="53" t="s">
        <v>5737</v>
      </c>
      <c r="L1005" s="53" t="s">
        <v>4772</v>
      </c>
    </row>
    <row r="1006" spans="1:12" ht="15" customHeight="1" x14ac:dyDescent="0.35">
      <c r="A1006" s="53" t="s">
        <v>3448</v>
      </c>
      <c r="B1006" s="53" t="s">
        <v>1143</v>
      </c>
      <c r="C1006" s="55">
        <v>0</v>
      </c>
      <c r="D1006" s="55">
        <v>0</v>
      </c>
      <c r="E1006" s="53">
        <v>1</v>
      </c>
      <c r="F1006" s="53">
        <v>0</v>
      </c>
      <c r="G1006" s="55">
        <v>0</v>
      </c>
      <c r="H1006" s="55">
        <v>0</v>
      </c>
      <c r="I1006" s="55">
        <v>0</v>
      </c>
      <c r="J1006" s="53" t="s">
        <v>4770</v>
      </c>
      <c r="K1006" s="53" t="s">
        <v>5738</v>
      </c>
      <c r="L1006" s="53" t="s">
        <v>4772</v>
      </c>
    </row>
    <row r="1007" spans="1:12" ht="15" customHeight="1" x14ac:dyDescent="0.35">
      <c r="A1007" s="53" t="s">
        <v>3449</v>
      </c>
      <c r="B1007" s="53" t="s">
        <v>2971</v>
      </c>
      <c r="C1007" s="55">
        <v>0</v>
      </c>
      <c r="D1007" s="55">
        <v>0</v>
      </c>
      <c r="E1007" s="53">
        <v>1</v>
      </c>
      <c r="F1007" s="53">
        <v>0</v>
      </c>
      <c r="G1007" s="55">
        <v>0</v>
      </c>
      <c r="H1007" s="55">
        <v>0</v>
      </c>
      <c r="I1007" s="55">
        <v>0</v>
      </c>
      <c r="J1007" s="53" t="s">
        <v>4770</v>
      </c>
      <c r="K1007" s="53" t="s">
        <v>5739</v>
      </c>
      <c r="L1007" s="53" t="s">
        <v>4772</v>
      </c>
    </row>
    <row r="1008" spans="1:12" ht="15" customHeight="1" x14ac:dyDescent="0.35">
      <c r="A1008" s="53" t="s">
        <v>3450</v>
      </c>
      <c r="B1008" s="53" t="s">
        <v>2971</v>
      </c>
      <c r="C1008" s="55">
        <v>0</v>
      </c>
      <c r="D1008" s="55">
        <v>0</v>
      </c>
      <c r="E1008" s="53">
        <v>1</v>
      </c>
      <c r="F1008" s="53">
        <v>0</v>
      </c>
      <c r="G1008" s="55">
        <v>0</v>
      </c>
      <c r="H1008" s="55">
        <v>0</v>
      </c>
      <c r="I1008" s="55">
        <v>0</v>
      </c>
      <c r="J1008" s="53" t="s">
        <v>4927</v>
      </c>
      <c r="K1008" s="53" t="s">
        <v>5740</v>
      </c>
      <c r="L1008" s="53" t="s">
        <v>4772</v>
      </c>
    </row>
    <row r="1009" spans="1:12" ht="15" customHeight="1" x14ac:dyDescent="0.35">
      <c r="A1009" s="53" t="s">
        <v>3451</v>
      </c>
      <c r="B1009" s="53" t="s">
        <v>913</v>
      </c>
      <c r="C1009" s="55">
        <v>0</v>
      </c>
      <c r="D1009" s="55">
        <v>0</v>
      </c>
      <c r="E1009" s="53">
        <v>1</v>
      </c>
      <c r="F1009" s="53">
        <v>0</v>
      </c>
      <c r="G1009" s="55">
        <v>0</v>
      </c>
      <c r="H1009" s="55">
        <v>0</v>
      </c>
      <c r="I1009" s="55">
        <v>0</v>
      </c>
      <c r="J1009" s="53" t="s">
        <v>5301</v>
      </c>
      <c r="K1009" s="53" t="s">
        <v>5741</v>
      </c>
      <c r="L1009" s="53" t="s">
        <v>4772</v>
      </c>
    </row>
    <row r="1010" spans="1:12" ht="15" customHeight="1" x14ac:dyDescent="0.35">
      <c r="A1010" s="53" t="s">
        <v>3452</v>
      </c>
      <c r="B1010" s="53" t="s">
        <v>946</v>
      </c>
      <c r="C1010" s="55">
        <v>0</v>
      </c>
      <c r="D1010" s="55">
        <v>0</v>
      </c>
      <c r="E1010" s="53">
        <v>1</v>
      </c>
      <c r="F1010" s="53">
        <v>0</v>
      </c>
      <c r="G1010" s="55">
        <v>0</v>
      </c>
      <c r="H1010" s="55">
        <v>0</v>
      </c>
      <c r="I1010" s="55">
        <v>0</v>
      </c>
      <c r="J1010" s="53" t="s">
        <v>5099</v>
      </c>
      <c r="K1010" s="53" t="s">
        <v>5742</v>
      </c>
      <c r="L1010" s="53" t="s">
        <v>4772</v>
      </c>
    </row>
    <row r="1011" spans="1:12" ht="15" customHeight="1" x14ac:dyDescent="0.35">
      <c r="A1011" s="53" t="s">
        <v>3453</v>
      </c>
      <c r="B1011" s="53" t="s">
        <v>1009</v>
      </c>
      <c r="C1011" s="55">
        <v>0</v>
      </c>
      <c r="D1011" s="55">
        <v>0</v>
      </c>
      <c r="E1011" s="53">
        <v>1</v>
      </c>
      <c r="F1011" s="53">
        <v>0</v>
      </c>
      <c r="G1011" s="55">
        <v>0</v>
      </c>
      <c r="H1011" s="55">
        <v>0</v>
      </c>
      <c r="I1011" s="55">
        <v>0</v>
      </c>
      <c r="J1011" s="53" t="s">
        <v>4927</v>
      </c>
      <c r="K1011" s="53" t="s">
        <v>5743</v>
      </c>
      <c r="L1011" s="53" t="s">
        <v>4772</v>
      </c>
    </row>
    <row r="1012" spans="1:12" ht="15" customHeight="1" x14ac:dyDescent="0.35">
      <c r="A1012" s="53" t="s">
        <v>3454</v>
      </c>
      <c r="B1012" s="53" t="s">
        <v>946</v>
      </c>
      <c r="C1012" s="55">
        <v>0</v>
      </c>
      <c r="D1012" s="55">
        <v>0</v>
      </c>
      <c r="E1012" s="53">
        <v>1</v>
      </c>
      <c r="F1012" s="53">
        <v>1</v>
      </c>
      <c r="G1012" s="55">
        <v>1</v>
      </c>
      <c r="H1012" s="55">
        <v>0</v>
      </c>
      <c r="I1012" s="55">
        <v>0</v>
      </c>
      <c r="J1012" s="53" t="s">
        <v>4927</v>
      </c>
      <c r="K1012" s="53" t="s">
        <v>5744</v>
      </c>
      <c r="L1012" s="53" t="s">
        <v>4772</v>
      </c>
    </row>
    <row r="1013" spans="1:12" ht="15" customHeight="1" x14ac:dyDescent="0.35">
      <c r="A1013" s="53" t="s">
        <v>3455</v>
      </c>
      <c r="B1013" s="53" t="s">
        <v>1157</v>
      </c>
      <c r="C1013" s="55">
        <v>0</v>
      </c>
      <c r="D1013" s="55">
        <v>0</v>
      </c>
      <c r="E1013" s="53">
        <v>1</v>
      </c>
      <c r="F1013" s="53">
        <v>0</v>
      </c>
      <c r="G1013" s="55">
        <v>0</v>
      </c>
      <c r="H1013" s="55">
        <v>0</v>
      </c>
      <c r="I1013" s="55">
        <v>0</v>
      </c>
      <c r="J1013" s="53" t="s">
        <v>4927</v>
      </c>
      <c r="K1013" s="53" t="s">
        <v>5745</v>
      </c>
      <c r="L1013" s="53" t="s">
        <v>4772</v>
      </c>
    </row>
    <row r="1014" spans="1:12" ht="15" customHeight="1" x14ac:dyDescent="0.35">
      <c r="A1014" s="53" t="s">
        <v>3456</v>
      </c>
      <c r="B1014" s="53" t="s">
        <v>2971</v>
      </c>
      <c r="C1014" s="55">
        <v>0</v>
      </c>
      <c r="D1014" s="55">
        <v>0</v>
      </c>
      <c r="E1014" s="53">
        <v>1</v>
      </c>
      <c r="F1014" s="53">
        <v>0</v>
      </c>
      <c r="G1014" s="55">
        <v>0</v>
      </c>
      <c r="H1014" s="55">
        <v>0</v>
      </c>
      <c r="I1014" s="55">
        <v>0</v>
      </c>
      <c r="J1014" s="53" t="s">
        <v>5301</v>
      </c>
      <c r="K1014" s="53" t="s">
        <v>5746</v>
      </c>
      <c r="L1014" s="53" t="s">
        <v>4772</v>
      </c>
    </row>
    <row r="1015" spans="1:12" ht="15" customHeight="1" x14ac:dyDescent="0.35">
      <c r="A1015" s="53" t="s">
        <v>3457</v>
      </c>
      <c r="B1015" s="53" t="s">
        <v>2602</v>
      </c>
      <c r="C1015" s="55">
        <v>0</v>
      </c>
      <c r="D1015" s="55">
        <v>0</v>
      </c>
      <c r="E1015" s="53">
        <v>1</v>
      </c>
      <c r="F1015" s="53">
        <v>1</v>
      </c>
      <c r="G1015" s="55">
        <v>1</v>
      </c>
      <c r="H1015" s="55">
        <v>0</v>
      </c>
      <c r="I1015" s="55">
        <v>0</v>
      </c>
      <c r="J1015" s="53" t="s">
        <v>4770</v>
      </c>
      <c r="K1015" s="53" t="s">
        <v>5747</v>
      </c>
      <c r="L1015" s="53" t="s">
        <v>4772</v>
      </c>
    </row>
    <row r="1016" spans="1:12" ht="15" customHeight="1" x14ac:dyDescent="0.35">
      <c r="A1016" s="53" t="s">
        <v>3458</v>
      </c>
      <c r="B1016" s="53" t="s">
        <v>2971</v>
      </c>
      <c r="C1016" s="55">
        <v>0</v>
      </c>
      <c r="D1016" s="55">
        <v>0</v>
      </c>
      <c r="E1016" s="53">
        <v>1</v>
      </c>
      <c r="F1016" s="53">
        <v>0</v>
      </c>
      <c r="G1016" s="55">
        <v>0</v>
      </c>
      <c r="H1016" s="55">
        <v>0</v>
      </c>
      <c r="I1016" s="55">
        <v>0</v>
      </c>
      <c r="J1016" s="53" t="s">
        <v>4770</v>
      </c>
      <c r="K1016" s="53" t="s">
        <v>5748</v>
      </c>
      <c r="L1016" s="53" t="s">
        <v>4772</v>
      </c>
    </row>
    <row r="1017" spans="1:12" ht="15" customHeight="1" x14ac:dyDescent="0.35">
      <c r="A1017" s="53" t="s">
        <v>3459</v>
      </c>
      <c r="B1017" s="53" t="s">
        <v>1240</v>
      </c>
      <c r="C1017" s="55">
        <v>0</v>
      </c>
      <c r="D1017" s="55">
        <v>0</v>
      </c>
      <c r="E1017" s="53">
        <v>1</v>
      </c>
      <c r="F1017" s="53">
        <v>0</v>
      </c>
      <c r="G1017" s="55">
        <v>0</v>
      </c>
      <c r="H1017" s="55">
        <v>0</v>
      </c>
      <c r="I1017" s="55">
        <v>0</v>
      </c>
      <c r="J1017" s="53" t="s">
        <v>5220</v>
      </c>
      <c r="K1017" s="53" t="s">
        <v>5749</v>
      </c>
      <c r="L1017" s="53" t="s">
        <v>4772</v>
      </c>
    </row>
    <row r="1018" spans="1:12" ht="15" customHeight="1" x14ac:dyDescent="0.35">
      <c r="A1018" s="53" t="s">
        <v>3460</v>
      </c>
      <c r="B1018" s="53" t="s">
        <v>2971</v>
      </c>
      <c r="C1018" s="55">
        <v>0</v>
      </c>
      <c r="D1018" s="55">
        <v>0</v>
      </c>
      <c r="E1018" s="53">
        <v>1</v>
      </c>
      <c r="F1018" s="53">
        <v>0</v>
      </c>
      <c r="G1018" s="55">
        <v>0</v>
      </c>
      <c r="H1018" s="55">
        <v>0</v>
      </c>
      <c r="I1018" s="55">
        <v>0</v>
      </c>
      <c r="J1018" s="53" t="s">
        <v>5301</v>
      </c>
      <c r="K1018" s="53" t="s">
        <v>5750</v>
      </c>
      <c r="L1018" s="53" t="s">
        <v>4772</v>
      </c>
    </row>
    <row r="1019" spans="1:12" ht="15" customHeight="1" x14ac:dyDescent="0.35">
      <c r="A1019" s="53" t="s">
        <v>3461</v>
      </c>
      <c r="B1019" s="53" t="s">
        <v>2971</v>
      </c>
      <c r="C1019" s="55">
        <v>0</v>
      </c>
      <c r="D1019" s="55">
        <v>0</v>
      </c>
      <c r="E1019" s="53">
        <v>1</v>
      </c>
      <c r="F1019" s="53">
        <v>0</v>
      </c>
      <c r="G1019" s="55">
        <v>0</v>
      </c>
      <c r="H1019" s="55">
        <v>0</v>
      </c>
      <c r="I1019" s="55">
        <v>0</v>
      </c>
      <c r="J1019" s="53" t="s">
        <v>4927</v>
      </c>
      <c r="K1019" s="53" t="s">
        <v>5751</v>
      </c>
      <c r="L1019" s="53" t="s">
        <v>4772</v>
      </c>
    </row>
    <row r="1020" spans="1:12" ht="15" customHeight="1" x14ac:dyDescent="0.35">
      <c r="A1020" s="53" t="s">
        <v>3462</v>
      </c>
      <c r="B1020" s="53" t="s">
        <v>2971</v>
      </c>
      <c r="C1020" s="55">
        <v>0</v>
      </c>
      <c r="D1020" s="55">
        <v>0</v>
      </c>
      <c r="E1020" s="53">
        <v>1</v>
      </c>
      <c r="F1020" s="53">
        <v>0</v>
      </c>
      <c r="G1020" s="55">
        <v>0</v>
      </c>
      <c r="H1020" s="55">
        <v>0</v>
      </c>
      <c r="I1020" s="55">
        <v>0</v>
      </c>
      <c r="J1020" s="53" t="s">
        <v>4770</v>
      </c>
      <c r="K1020" s="53" t="s">
        <v>5752</v>
      </c>
      <c r="L1020" s="53" t="s">
        <v>4772</v>
      </c>
    </row>
    <row r="1021" spans="1:12" ht="15" customHeight="1" x14ac:dyDescent="0.35">
      <c r="A1021" s="53" t="s">
        <v>3463</v>
      </c>
      <c r="B1021" s="53" t="s">
        <v>913</v>
      </c>
      <c r="C1021" s="55">
        <v>0</v>
      </c>
      <c r="D1021" s="55">
        <v>0</v>
      </c>
      <c r="E1021" s="53">
        <v>1</v>
      </c>
      <c r="F1021" s="53">
        <v>0</v>
      </c>
      <c r="G1021" s="55">
        <v>0</v>
      </c>
      <c r="H1021" s="55">
        <v>0</v>
      </c>
      <c r="I1021" s="55">
        <v>0</v>
      </c>
      <c r="J1021" s="53" t="s">
        <v>5099</v>
      </c>
      <c r="K1021" s="53" t="s">
        <v>5753</v>
      </c>
      <c r="L1021" s="53" t="s">
        <v>4772</v>
      </c>
    </row>
    <row r="1022" spans="1:12" ht="15" customHeight="1" x14ac:dyDescent="0.35">
      <c r="A1022" s="53" t="s">
        <v>3464</v>
      </c>
      <c r="B1022" s="53" t="s">
        <v>1077</v>
      </c>
      <c r="C1022" s="55">
        <v>0</v>
      </c>
      <c r="D1022" s="55">
        <v>0</v>
      </c>
      <c r="E1022" s="53">
        <v>1</v>
      </c>
      <c r="F1022" s="53">
        <v>0</v>
      </c>
      <c r="G1022" s="55">
        <v>0</v>
      </c>
      <c r="H1022" s="55">
        <v>0</v>
      </c>
      <c r="I1022" s="55">
        <v>0</v>
      </c>
      <c r="J1022" s="53" t="s">
        <v>4770</v>
      </c>
      <c r="K1022" s="53" t="s">
        <v>5754</v>
      </c>
      <c r="L1022" s="53" t="s">
        <v>4772</v>
      </c>
    </row>
    <row r="1023" spans="1:12" ht="15" customHeight="1" x14ac:dyDescent="0.35">
      <c r="A1023" s="53" t="s">
        <v>3465</v>
      </c>
      <c r="B1023" s="53" t="s">
        <v>2602</v>
      </c>
      <c r="C1023" s="55">
        <v>0</v>
      </c>
      <c r="D1023" s="55">
        <v>0</v>
      </c>
      <c r="E1023" s="53">
        <v>1</v>
      </c>
      <c r="F1023" s="53">
        <v>0</v>
      </c>
      <c r="G1023" s="55">
        <v>0</v>
      </c>
      <c r="H1023" s="55">
        <v>0</v>
      </c>
      <c r="I1023" s="55">
        <v>0</v>
      </c>
      <c r="J1023" s="53" t="s">
        <v>4770</v>
      </c>
      <c r="K1023" s="53" t="s">
        <v>5755</v>
      </c>
      <c r="L1023" s="53" t="s">
        <v>4772</v>
      </c>
    </row>
    <row r="1024" spans="1:12" ht="15" customHeight="1" x14ac:dyDescent="0.35">
      <c r="A1024" s="53" t="s">
        <v>3466</v>
      </c>
      <c r="B1024" s="53" t="s">
        <v>2971</v>
      </c>
      <c r="C1024" s="55">
        <v>0</v>
      </c>
      <c r="D1024" s="55">
        <v>0</v>
      </c>
      <c r="E1024" s="53">
        <v>1</v>
      </c>
      <c r="F1024" s="53">
        <v>0</v>
      </c>
      <c r="G1024" s="55">
        <v>0</v>
      </c>
      <c r="H1024" s="55">
        <v>0</v>
      </c>
      <c r="I1024" s="55">
        <v>0</v>
      </c>
      <c r="J1024" s="53" t="s">
        <v>4770</v>
      </c>
      <c r="K1024" s="53" t="s">
        <v>5756</v>
      </c>
      <c r="L1024" s="53" t="s">
        <v>4772</v>
      </c>
    </row>
    <row r="1025" spans="1:12" ht="15" customHeight="1" x14ac:dyDescent="0.35">
      <c r="A1025" s="53" t="s">
        <v>3467</v>
      </c>
      <c r="B1025" s="53" t="s">
        <v>1077</v>
      </c>
      <c r="C1025" s="55">
        <v>0</v>
      </c>
      <c r="D1025" s="55">
        <v>0</v>
      </c>
      <c r="E1025" s="53">
        <v>1</v>
      </c>
      <c r="F1025" s="53">
        <v>0</v>
      </c>
      <c r="G1025" s="55">
        <v>0</v>
      </c>
      <c r="H1025" s="55">
        <v>0</v>
      </c>
      <c r="I1025" s="55">
        <v>0</v>
      </c>
      <c r="J1025" s="53" t="s">
        <v>4770</v>
      </c>
      <c r="K1025" s="53" t="s">
        <v>5757</v>
      </c>
      <c r="L1025" s="53" t="s">
        <v>4772</v>
      </c>
    </row>
    <row r="1026" spans="1:12" ht="15" customHeight="1" x14ac:dyDescent="0.35">
      <c r="A1026" s="53" t="s">
        <v>3468</v>
      </c>
      <c r="B1026" s="53" t="s">
        <v>1646</v>
      </c>
      <c r="C1026" s="55">
        <v>0</v>
      </c>
      <c r="D1026" s="55">
        <v>0</v>
      </c>
      <c r="E1026" s="53">
        <v>1</v>
      </c>
      <c r="F1026" s="53">
        <v>0</v>
      </c>
      <c r="G1026" s="55">
        <v>0</v>
      </c>
      <c r="H1026" s="55">
        <v>0</v>
      </c>
      <c r="I1026" s="55">
        <v>0</v>
      </c>
      <c r="J1026" s="53" t="s">
        <v>4770</v>
      </c>
      <c r="K1026" s="53" t="s">
        <v>5720</v>
      </c>
      <c r="L1026" s="53" t="s">
        <v>4772</v>
      </c>
    </row>
    <row r="1027" spans="1:12" ht="15" customHeight="1" x14ac:dyDescent="0.35">
      <c r="A1027" s="53" t="s">
        <v>3469</v>
      </c>
      <c r="B1027" s="53" t="s">
        <v>909</v>
      </c>
      <c r="C1027" s="55">
        <v>0</v>
      </c>
      <c r="D1027" s="55">
        <v>0</v>
      </c>
      <c r="E1027" s="53">
        <v>1</v>
      </c>
      <c r="F1027" s="53">
        <v>0</v>
      </c>
      <c r="G1027" s="55">
        <v>0</v>
      </c>
      <c r="H1027" s="55">
        <v>0</v>
      </c>
      <c r="I1027" s="55">
        <v>0</v>
      </c>
      <c r="J1027" s="53" t="s">
        <v>5316</v>
      </c>
      <c r="K1027" s="53" t="s">
        <v>5758</v>
      </c>
      <c r="L1027" s="53" t="s">
        <v>4772</v>
      </c>
    </row>
    <row r="1028" spans="1:12" ht="15" customHeight="1" x14ac:dyDescent="0.35">
      <c r="A1028" s="53" t="s">
        <v>3470</v>
      </c>
      <c r="B1028" s="53" t="s">
        <v>909</v>
      </c>
      <c r="C1028" s="55">
        <v>0</v>
      </c>
      <c r="D1028" s="55">
        <v>0</v>
      </c>
      <c r="E1028" s="53">
        <v>1</v>
      </c>
      <c r="F1028" s="53">
        <v>0</v>
      </c>
      <c r="G1028" s="55">
        <v>0</v>
      </c>
      <c r="H1028" s="55">
        <v>0</v>
      </c>
      <c r="I1028" s="55">
        <v>0</v>
      </c>
      <c r="J1028" s="53" t="s">
        <v>4770</v>
      </c>
      <c r="K1028" s="53" t="s">
        <v>5759</v>
      </c>
      <c r="L1028" s="53" t="s">
        <v>4772</v>
      </c>
    </row>
    <row r="1029" spans="1:12" ht="15" customHeight="1" x14ac:dyDescent="0.35">
      <c r="A1029" s="53" t="s">
        <v>3471</v>
      </c>
      <c r="B1029" s="53" t="s">
        <v>909</v>
      </c>
      <c r="C1029" s="55">
        <v>0</v>
      </c>
      <c r="D1029" s="55">
        <v>0</v>
      </c>
      <c r="E1029" s="53">
        <v>1</v>
      </c>
      <c r="F1029" s="53">
        <v>0</v>
      </c>
      <c r="G1029" s="55">
        <v>0</v>
      </c>
      <c r="H1029" s="55">
        <v>0</v>
      </c>
      <c r="I1029" s="55">
        <v>0</v>
      </c>
      <c r="J1029" s="53" t="s">
        <v>4770</v>
      </c>
      <c r="K1029" s="53" t="s">
        <v>5760</v>
      </c>
      <c r="L1029" s="53" t="s">
        <v>4772</v>
      </c>
    </row>
    <row r="1030" spans="1:12" ht="15" customHeight="1" x14ac:dyDescent="0.35">
      <c r="A1030" s="53" t="s">
        <v>3472</v>
      </c>
      <c r="B1030" s="53" t="s">
        <v>2971</v>
      </c>
      <c r="C1030" s="55">
        <v>0</v>
      </c>
      <c r="D1030" s="55">
        <v>0</v>
      </c>
      <c r="E1030" s="53">
        <v>1</v>
      </c>
      <c r="F1030" s="53">
        <v>0</v>
      </c>
      <c r="G1030" s="55">
        <v>0</v>
      </c>
      <c r="H1030" s="55">
        <v>0</v>
      </c>
      <c r="I1030" s="55">
        <v>0</v>
      </c>
      <c r="J1030" s="53" t="s">
        <v>5099</v>
      </c>
      <c r="K1030" s="53" t="s">
        <v>5761</v>
      </c>
      <c r="L1030" s="53" t="s">
        <v>4772</v>
      </c>
    </row>
    <row r="1031" spans="1:12" ht="15" customHeight="1" x14ac:dyDescent="0.35">
      <c r="A1031" s="53" t="s">
        <v>3473</v>
      </c>
      <c r="B1031" s="53" t="s">
        <v>921</v>
      </c>
      <c r="C1031" s="55">
        <v>0</v>
      </c>
      <c r="D1031" s="55">
        <v>0</v>
      </c>
      <c r="E1031" s="53">
        <v>1</v>
      </c>
      <c r="F1031" s="53">
        <v>0</v>
      </c>
      <c r="G1031" s="55">
        <v>0</v>
      </c>
      <c r="H1031" s="55">
        <v>0</v>
      </c>
      <c r="I1031" s="55">
        <v>0</v>
      </c>
      <c r="J1031" s="53" t="s">
        <v>4770</v>
      </c>
      <c r="K1031" s="53" t="s">
        <v>5762</v>
      </c>
      <c r="L1031" s="53" t="s">
        <v>4772</v>
      </c>
    </row>
    <row r="1032" spans="1:12" ht="15" customHeight="1" x14ac:dyDescent="0.35">
      <c r="A1032" s="53" t="s">
        <v>3474</v>
      </c>
      <c r="B1032" s="53" t="s">
        <v>1143</v>
      </c>
      <c r="C1032" s="55">
        <v>0</v>
      </c>
      <c r="D1032" s="55">
        <v>0</v>
      </c>
      <c r="E1032" s="53">
        <v>1</v>
      </c>
      <c r="F1032" s="53">
        <v>0</v>
      </c>
      <c r="G1032" s="55">
        <v>0</v>
      </c>
      <c r="H1032" s="55">
        <v>0</v>
      </c>
      <c r="I1032" s="55">
        <v>0</v>
      </c>
      <c r="J1032" s="53" t="s">
        <v>4770</v>
      </c>
      <c r="K1032" s="53" t="s">
        <v>5763</v>
      </c>
      <c r="L1032" s="53" t="s">
        <v>4772</v>
      </c>
    </row>
    <row r="1033" spans="1:12" ht="15" customHeight="1" x14ac:dyDescent="0.35">
      <c r="A1033" s="53" t="s">
        <v>3475</v>
      </c>
      <c r="B1033" s="53" t="s">
        <v>2602</v>
      </c>
      <c r="C1033" s="55">
        <v>0</v>
      </c>
      <c r="D1033" s="55">
        <v>0</v>
      </c>
      <c r="E1033" s="53">
        <v>1</v>
      </c>
      <c r="F1033" s="53">
        <v>0</v>
      </c>
      <c r="G1033" s="55">
        <v>0</v>
      </c>
      <c r="H1033" s="55">
        <v>0</v>
      </c>
      <c r="I1033" s="55">
        <v>0</v>
      </c>
      <c r="J1033" s="53" t="s">
        <v>4770</v>
      </c>
      <c r="K1033" s="53" t="s">
        <v>5764</v>
      </c>
      <c r="L1033" s="53" t="s">
        <v>4772</v>
      </c>
    </row>
    <row r="1034" spans="1:12" ht="15" customHeight="1" x14ac:dyDescent="0.35">
      <c r="A1034" s="53" t="s">
        <v>3476</v>
      </c>
      <c r="B1034" s="53" t="s">
        <v>1143</v>
      </c>
      <c r="C1034" s="55">
        <v>0</v>
      </c>
      <c r="D1034" s="55">
        <v>0</v>
      </c>
      <c r="E1034" s="53">
        <v>1</v>
      </c>
      <c r="F1034" s="53">
        <v>0</v>
      </c>
      <c r="G1034" s="55">
        <v>0</v>
      </c>
      <c r="H1034" s="55">
        <v>0</v>
      </c>
      <c r="I1034" s="55">
        <v>0</v>
      </c>
      <c r="J1034" s="53" t="s">
        <v>4770</v>
      </c>
      <c r="K1034" s="53" t="s">
        <v>5765</v>
      </c>
      <c r="L1034" s="53" t="s">
        <v>4772</v>
      </c>
    </row>
    <row r="1035" spans="1:12" ht="15" customHeight="1" x14ac:dyDescent="0.35">
      <c r="A1035" s="53" t="s">
        <v>3477</v>
      </c>
      <c r="B1035" s="53" t="s">
        <v>2598</v>
      </c>
      <c r="C1035" s="55">
        <v>0</v>
      </c>
      <c r="D1035" s="55">
        <v>0</v>
      </c>
      <c r="E1035" s="53">
        <v>1</v>
      </c>
      <c r="F1035" s="53">
        <v>0</v>
      </c>
      <c r="G1035" s="55">
        <v>0</v>
      </c>
      <c r="H1035" s="55">
        <v>0</v>
      </c>
      <c r="I1035" s="55">
        <v>0</v>
      </c>
      <c r="J1035" s="53" t="s">
        <v>4927</v>
      </c>
      <c r="K1035" s="53" t="s">
        <v>5766</v>
      </c>
      <c r="L1035" s="53" t="s">
        <v>4772</v>
      </c>
    </row>
    <row r="1036" spans="1:12" ht="15" customHeight="1" x14ac:dyDescent="0.35">
      <c r="A1036" s="53" t="s">
        <v>3478</v>
      </c>
      <c r="B1036" s="53" t="s">
        <v>909</v>
      </c>
      <c r="C1036" s="55">
        <v>0</v>
      </c>
      <c r="D1036" s="55">
        <v>0</v>
      </c>
      <c r="E1036" s="53">
        <v>1</v>
      </c>
      <c r="F1036" s="53">
        <v>0</v>
      </c>
      <c r="G1036" s="55">
        <v>0</v>
      </c>
      <c r="H1036" s="55">
        <v>0</v>
      </c>
      <c r="I1036" s="55">
        <v>0</v>
      </c>
      <c r="J1036" s="53" t="s">
        <v>4770</v>
      </c>
      <c r="K1036" s="53" t="s">
        <v>5767</v>
      </c>
      <c r="L1036" s="53" t="s">
        <v>4772</v>
      </c>
    </row>
    <row r="1037" spans="1:12" ht="15" customHeight="1" x14ac:dyDescent="0.35">
      <c r="A1037" s="53" t="s">
        <v>3479</v>
      </c>
      <c r="B1037" s="53" t="s">
        <v>1122</v>
      </c>
      <c r="C1037" s="55">
        <v>0</v>
      </c>
      <c r="D1037" s="55">
        <v>0</v>
      </c>
      <c r="E1037" s="53">
        <v>1</v>
      </c>
      <c r="F1037" s="53">
        <v>0</v>
      </c>
      <c r="G1037" s="55">
        <v>0</v>
      </c>
      <c r="H1037" s="55">
        <v>0</v>
      </c>
      <c r="I1037" s="55">
        <v>0</v>
      </c>
      <c r="J1037" s="53" t="s">
        <v>4770</v>
      </c>
      <c r="K1037" s="53" t="s">
        <v>5768</v>
      </c>
      <c r="L1037" s="53" t="s">
        <v>4772</v>
      </c>
    </row>
    <row r="1038" spans="1:12" ht="15" customHeight="1" x14ac:dyDescent="0.35">
      <c r="A1038" s="53" t="s">
        <v>3480</v>
      </c>
      <c r="B1038" s="53" t="s">
        <v>1122</v>
      </c>
      <c r="C1038" s="55">
        <v>0</v>
      </c>
      <c r="D1038" s="55">
        <v>0</v>
      </c>
      <c r="E1038" s="53">
        <v>1</v>
      </c>
      <c r="F1038" s="53">
        <v>0</v>
      </c>
      <c r="G1038" s="55">
        <v>0</v>
      </c>
      <c r="H1038" s="55">
        <v>0</v>
      </c>
      <c r="I1038" s="55">
        <v>0</v>
      </c>
      <c r="J1038" s="53" t="s">
        <v>4770</v>
      </c>
      <c r="K1038" s="53" t="s">
        <v>5769</v>
      </c>
      <c r="L1038" s="53" t="s">
        <v>4772</v>
      </c>
    </row>
    <row r="1039" spans="1:12" ht="15" customHeight="1" x14ac:dyDescent="0.35">
      <c r="A1039" s="53" t="s">
        <v>3481</v>
      </c>
      <c r="B1039" s="53" t="s">
        <v>1050</v>
      </c>
      <c r="C1039" s="55">
        <v>0</v>
      </c>
      <c r="D1039" s="55">
        <v>0</v>
      </c>
      <c r="E1039" s="53">
        <v>1</v>
      </c>
      <c r="F1039" s="53">
        <v>0</v>
      </c>
      <c r="G1039" s="55">
        <v>0</v>
      </c>
      <c r="H1039" s="55">
        <v>0</v>
      </c>
      <c r="I1039" s="55">
        <v>0</v>
      </c>
      <c r="J1039" s="53" t="s">
        <v>5099</v>
      </c>
      <c r="K1039" s="53" t="s">
        <v>5770</v>
      </c>
      <c r="L1039" s="53" t="s">
        <v>4772</v>
      </c>
    </row>
    <row r="1040" spans="1:12" ht="15" customHeight="1" x14ac:dyDescent="0.35">
      <c r="A1040" s="53" t="s">
        <v>3482</v>
      </c>
      <c r="B1040" s="53" t="s">
        <v>1157</v>
      </c>
      <c r="C1040" s="55">
        <v>0</v>
      </c>
      <c r="D1040" s="55">
        <v>0</v>
      </c>
      <c r="E1040" s="53">
        <v>1</v>
      </c>
      <c r="F1040" s="53">
        <v>0</v>
      </c>
      <c r="G1040" s="55">
        <v>0</v>
      </c>
      <c r="H1040" s="55">
        <v>0</v>
      </c>
      <c r="I1040" s="55">
        <v>0</v>
      </c>
      <c r="J1040" s="53" t="s">
        <v>4927</v>
      </c>
      <c r="K1040" s="53" t="s">
        <v>5771</v>
      </c>
      <c r="L1040" s="53" t="s">
        <v>4772</v>
      </c>
    </row>
    <row r="1041" spans="1:12" ht="15" customHeight="1" x14ac:dyDescent="0.35">
      <c r="A1041" s="53" t="s">
        <v>3483</v>
      </c>
      <c r="B1041" s="53" t="s">
        <v>1009</v>
      </c>
      <c r="C1041" s="55">
        <v>0</v>
      </c>
      <c r="D1041" s="55">
        <v>0</v>
      </c>
      <c r="E1041" s="53">
        <v>1</v>
      </c>
      <c r="F1041" s="53">
        <v>0</v>
      </c>
      <c r="G1041" s="55">
        <v>0</v>
      </c>
      <c r="H1041" s="55">
        <v>0</v>
      </c>
      <c r="I1041" s="55">
        <v>0</v>
      </c>
      <c r="J1041" s="53" t="s">
        <v>4927</v>
      </c>
      <c r="K1041" s="53" t="s">
        <v>5772</v>
      </c>
      <c r="L1041" s="53" t="s">
        <v>4772</v>
      </c>
    </row>
    <row r="1042" spans="1:12" ht="15" customHeight="1" x14ac:dyDescent="0.35">
      <c r="A1042" s="53" t="s">
        <v>3484</v>
      </c>
      <c r="B1042" s="53" t="s">
        <v>3411</v>
      </c>
      <c r="C1042" s="55">
        <v>0</v>
      </c>
      <c r="D1042" s="55">
        <v>0</v>
      </c>
      <c r="E1042" s="53">
        <v>1</v>
      </c>
      <c r="F1042" s="53">
        <v>0</v>
      </c>
      <c r="G1042" s="55">
        <v>0</v>
      </c>
      <c r="H1042" s="55">
        <v>0</v>
      </c>
      <c r="I1042" s="55">
        <v>0</v>
      </c>
      <c r="J1042" s="53" t="s">
        <v>4770</v>
      </c>
      <c r="K1042" s="53" t="s">
        <v>5773</v>
      </c>
      <c r="L1042" s="53" t="s">
        <v>4772</v>
      </c>
    </row>
    <row r="1043" spans="1:12" ht="15" customHeight="1" x14ac:dyDescent="0.35">
      <c r="A1043" s="53" t="s">
        <v>3485</v>
      </c>
      <c r="B1043" s="53" t="s">
        <v>1659</v>
      </c>
      <c r="C1043" s="55">
        <v>0</v>
      </c>
      <c r="D1043" s="55">
        <v>0</v>
      </c>
      <c r="E1043" s="53">
        <v>1</v>
      </c>
      <c r="F1043" s="53">
        <v>0</v>
      </c>
      <c r="G1043" s="55">
        <v>0</v>
      </c>
      <c r="H1043" s="55">
        <v>0</v>
      </c>
      <c r="I1043" s="55">
        <v>0</v>
      </c>
      <c r="J1043" s="53" t="s">
        <v>4770</v>
      </c>
      <c r="K1043" s="53" t="s">
        <v>5774</v>
      </c>
      <c r="L1043" s="53" t="s">
        <v>4772</v>
      </c>
    </row>
    <row r="1044" spans="1:12" ht="15" customHeight="1" x14ac:dyDescent="0.35">
      <c r="A1044" s="53" t="s">
        <v>3486</v>
      </c>
      <c r="B1044" s="53" t="s">
        <v>1084</v>
      </c>
      <c r="C1044" s="55">
        <v>0</v>
      </c>
      <c r="D1044" s="55">
        <v>0</v>
      </c>
      <c r="E1044" s="53">
        <v>1</v>
      </c>
      <c r="F1044" s="53">
        <v>0</v>
      </c>
      <c r="G1044" s="55">
        <v>0</v>
      </c>
      <c r="H1044" s="55">
        <v>0</v>
      </c>
      <c r="I1044" s="55">
        <v>0</v>
      </c>
      <c r="J1044" s="53" t="s">
        <v>5220</v>
      </c>
      <c r="K1044" s="53" t="s">
        <v>5775</v>
      </c>
      <c r="L1044" s="53" t="s">
        <v>4772</v>
      </c>
    </row>
    <row r="1045" spans="1:12" ht="15" customHeight="1" x14ac:dyDescent="0.35">
      <c r="A1045" s="53" t="s">
        <v>3487</v>
      </c>
      <c r="B1045" s="53" t="s">
        <v>1077</v>
      </c>
      <c r="C1045" s="55">
        <v>0</v>
      </c>
      <c r="D1045" s="55">
        <v>0</v>
      </c>
      <c r="E1045" s="53">
        <v>1</v>
      </c>
      <c r="F1045" s="53">
        <v>0</v>
      </c>
      <c r="G1045" s="55">
        <v>0</v>
      </c>
      <c r="H1045" s="55">
        <v>0</v>
      </c>
      <c r="I1045" s="55">
        <v>0</v>
      </c>
      <c r="J1045" s="53" t="s">
        <v>4770</v>
      </c>
      <c r="K1045" s="53" t="s">
        <v>5776</v>
      </c>
      <c r="L1045" s="53" t="s">
        <v>4772</v>
      </c>
    </row>
    <row r="1046" spans="1:12" ht="15" customHeight="1" x14ac:dyDescent="0.35">
      <c r="A1046" s="53" t="s">
        <v>3488</v>
      </c>
      <c r="B1046" s="53" t="s">
        <v>921</v>
      </c>
      <c r="C1046" s="55">
        <v>0</v>
      </c>
      <c r="D1046" s="55">
        <v>0</v>
      </c>
      <c r="E1046" s="53">
        <v>1</v>
      </c>
      <c r="F1046" s="53">
        <v>0</v>
      </c>
      <c r="G1046" s="55">
        <v>0</v>
      </c>
      <c r="H1046" s="55">
        <v>0</v>
      </c>
      <c r="I1046" s="55">
        <v>0</v>
      </c>
      <c r="J1046" s="53" t="s">
        <v>5178</v>
      </c>
      <c r="K1046" s="53" t="s">
        <v>5777</v>
      </c>
      <c r="L1046" s="53" t="s">
        <v>4772</v>
      </c>
    </row>
    <row r="1047" spans="1:12" ht="15" customHeight="1" x14ac:dyDescent="0.35">
      <c r="A1047" s="53" t="s">
        <v>3489</v>
      </c>
      <c r="B1047" s="53" t="s">
        <v>929</v>
      </c>
      <c r="C1047" s="55">
        <v>0</v>
      </c>
      <c r="D1047" s="55">
        <v>0</v>
      </c>
      <c r="E1047" s="53">
        <v>1</v>
      </c>
      <c r="F1047" s="53">
        <v>0</v>
      </c>
      <c r="G1047" s="55">
        <v>0</v>
      </c>
      <c r="H1047" s="55">
        <v>0</v>
      </c>
      <c r="I1047" s="55">
        <v>0</v>
      </c>
      <c r="J1047" s="53" t="s">
        <v>4684</v>
      </c>
      <c r="K1047" s="53" t="s">
        <v>5778</v>
      </c>
      <c r="L1047" s="53" t="s">
        <v>4772</v>
      </c>
    </row>
    <row r="1048" spans="1:12" ht="15" customHeight="1" x14ac:dyDescent="0.35">
      <c r="A1048" s="53" t="s">
        <v>3490</v>
      </c>
      <c r="B1048" s="53" t="s">
        <v>1077</v>
      </c>
      <c r="C1048" s="55">
        <v>0</v>
      </c>
      <c r="D1048" s="55">
        <v>0</v>
      </c>
      <c r="E1048" s="53">
        <v>1</v>
      </c>
      <c r="F1048" s="53">
        <v>0</v>
      </c>
      <c r="G1048" s="55">
        <v>0</v>
      </c>
      <c r="H1048" s="55">
        <v>0</v>
      </c>
      <c r="I1048" s="55">
        <v>0</v>
      </c>
      <c r="J1048" s="53" t="s">
        <v>5178</v>
      </c>
      <c r="K1048" s="53" t="s">
        <v>5779</v>
      </c>
      <c r="L1048" s="53" t="s">
        <v>4772</v>
      </c>
    </row>
    <row r="1049" spans="1:12" ht="15" customHeight="1" x14ac:dyDescent="0.35">
      <c r="A1049" s="53" t="s">
        <v>3491</v>
      </c>
      <c r="B1049" s="53" t="s">
        <v>2257</v>
      </c>
      <c r="C1049" s="55">
        <v>0</v>
      </c>
      <c r="D1049" s="55">
        <v>0</v>
      </c>
      <c r="E1049" s="53">
        <v>1</v>
      </c>
      <c r="F1049" s="53">
        <v>0</v>
      </c>
      <c r="G1049" s="55">
        <v>0</v>
      </c>
      <c r="H1049" s="55">
        <v>0</v>
      </c>
      <c r="I1049" s="55">
        <v>0</v>
      </c>
      <c r="J1049" s="53" t="s">
        <v>4927</v>
      </c>
      <c r="K1049" s="53" t="s">
        <v>5780</v>
      </c>
      <c r="L1049" s="53" t="s">
        <v>4772</v>
      </c>
    </row>
    <row r="1050" spans="1:12" ht="15" customHeight="1" x14ac:dyDescent="0.35">
      <c r="A1050" s="53" t="s">
        <v>3492</v>
      </c>
      <c r="B1050" s="53" t="s">
        <v>1111</v>
      </c>
      <c r="C1050" s="55">
        <v>0</v>
      </c>
      <c r="D1050" s="55">
        <v>0</v>
      </c>
      <c r="E1050" s="53">
        <v>1</v>
      </c>
      <c r="F1050" s="53">
        <v>0</v>
      </c>
      <c r="G1050" s="55">
        <v>0</v>
      </c>
      <c r="H1050" s="55">
        <v>0</v>
      </c>
      <c r="I1050" s="55">
        <v>0</v>
      </c>
      <c r="J1050" s="53" t="s">
        <v>5067</v>
      </c>
      <c r="K1050" s="53" t="s">
        <v>5781</v>
      </c>
      <c r="L1050" s="53" t="s">
        <v>4772</v>
      </c>
    </row>
    <row r="1051" spans="1:12" ht="15" customHeight="1" x14ac:dyDescent="0.35">
      <c r="A1051" s="53" t="s">
        <v>3493</v>
      </c>
      <c r="B1051" s="53" t="s">
        <v>1817</v>
      </c>
      <c r="C1051" s="55">
        <v>0</v>
      </c>
      <c r="D1051" s="55">
        <v>0</v>
      </c>
      <c r="E1051" s="53">
        <v>1</v>
      </c>
      <c r="F1051" s="53">
        <v>0</v>
      </c>
      <c r="G1051" s="55">
        <v>0</v>
      </c>
      <c r="H1051" s="55">
        <v>0</v>
      </c>
      <c r="I1051" s="55">
        <v>0</v>
      </c>
      <c r="J1051" s="53" t="s">
        <v>5067</v>
      </c>
      <c r="K1051" s="53" t="s">
        <v>5782</v>
      </c>
      <c r="L1051" s="53" t="s">
        <v>4772</v>
      </c>
    </row>
    <row r="1052" spans="1:12" ht="15" customHeight="1" x14ac:dyDescent="0.35">
      <c r="A1052" s="53" t="s">
        <v>3494</v>
      </c>
      <c r="B1052" s="53" t="s">
        <v>1077</v>
      </c>
      <c r="C1052" s="55">
        <v>0</v>
      </c>
      <c r="D1052" s="55">
        <v>0</v>
      </c>
      <c r="E1052" s="53">
        <v>1</v>
      </c>
      <c r="F1052" s="53">
        <v>0</v>
      </c>
      <c r="G1052" s="55">
        <v>0</v>
      </c>
      <c r="H1052" s="55">
        <v>0</v>
      </c>
      <c r="I1052" s="55">
        <v>0</v>
      </c>
      <c r="J1052" s="53" t="s">
        <v>5067</v>
      </c>
      <c r="K1052" s="53" t="s">
        <v>5783</v>
      </c>
      <c r="L1052" s="53" t="s">
        <v>4772</v>
      </c>
    </row>
    <row r="1053" spans="1:12" ht="15" customHeight="1" x14ac:dyDescent="0.35">
      <c r="A1053" s="53" t="s">
        <v>3495</v>
      </c>
      <c r="B1053" s="53" t="s">
        <v>2257</v>
      </c>
      <c r="C1053" s="55">
        <v>0</v>
      </c>
      <c r="D1053" s="55">
        <v>0</v>
      </c>
      <c r="E1053" s="53">
        <v>1</v>
      </c>
      <c r="F1053" s="53">
        <v>0</v>
      </c>
      <c r="G1053" s="55">
        <v>0</v>
      </c>
      <c r="H1053" s="55">
        <v>0</v>
      </c>
      <c r="I1053" s="55">
        <v>0</v>
      </c>
      <c r="J1053" s="53" t="s">
        <v>5067</v>
      </c>
      <c r="K1053" s="53" t="s">
        <v>5784</v>
      </c>
      <c r="L1053" s="53" t="s">
        <v>4772</v>
      </c>
    </row>
    <row r="1054" spans="1:12" ht="15" customHeight="1" x14ac:dyDescent="0.35">
      <c r="A1054" s="53" t="s">
        <v>3496</v>
      </c>
      <c r="B1054" s="53" t="s">
        <v>1101</v>
      </c>
      <c r="C1054" s="55">
        <v>0</v>
      </c>
      <c r="D1054" s="55">
        <v>0</v>
      </c>
      <c r="E1054" s="53">
        <v>1</v>
      </c>
      <c r="F1054" s="53">
        <v>0</v>
      </c>
      <c r="G1054" s="55">
        <v>0</v>
      </c>
      <c r="H1054" s="55">
        <v>0</v>
      </c>
      <c r="I1054" s="55">
        <v>0</v>
      </c>
      <c r="J1054" s="53" t="s">
        <v>4684</v>
      </c>
      <c r="K1054" s="53" t="s">
        <v>5785</v>
      </c>
      <c r="L1054" s="53" t="s">
        <v>4772</v>
      </c>
    </row>
    <row r="1055" spans="1:12" ht="15" customHeight="1" x14ac:dyDescent="0.35">
      <c r="A1055" s="53" t="s">
        <v>3497</v>
      </c>
      <c r="B1055" s="53" t="s">
        <v>909</v>
      </c>
      <c r="C1055" s="55">
        <v>0</v>
      </c>
      <c r="D1055" s="55">
        <v>0</v>
      </c>
      <c r="E1055" s="53">
        <v>1</v>
      </c>
      <c r="F1055" s="53">
        <v>0</v>
      </c>
      <c r="G1055" s="55">
        <v>0</v>
      </c>
      <c r="H1055" s="55">
        <v>0</v>
      </c>
      <c r="I1055" s="55">
        <v>0</v>
      </c>
      <c r="J1055" s="53" t="s">
        <v>4770</v>
      </c>
      <c r="K1055" s="53" t="s">
        <v>5786</v>
      </c>
      <c r="L1055" s="53" t="s">
        <v>4772</v>
      </c>
    </row>
    <row r="1056" spans="1:12" ht="15" customHeight="1" x14ac:dyDescent="0.35">
      <c r="A1056" s="53" t="s">
        <v>3498</v>
      </c>
      <c r="B1056" s="53" t="s">
        <v>2602</v>
      </c>
      <c r="C1056" s="55">
        <v>0</v>
      </c>
      <c r="D1056" s="55">
        <v>0</v>
      </c>
      <c r="E1056" s="53">
        <v>1</v>
      </c>
      <c r="F1056" s="53">
        <v>0</v>
      </c>
      <c r="G1056" s="55">
        <v>0</v>
      </c>
      <c r="H1056" s="55">
        <v>0</v>
      </c>
      <c r="I1056" s="55">
        <v>0</v>
      </c>
      <c r="J1056" s="53" t="s">
        <v>4770</v>
      </c>
      <c r="K1056" s="53" t="s">
        <v>5787</v>
      </c>
      <c r="L1056" s="53" t="s">
        <v>4772</v>
      </c>
    </row>
    <row r="1057" spans="1:12" ht="15" customHeight="1" x14ac:dyDescent="0.35">
      <c r="A1057" s="53" t="s">
        <v>3499</v>
      </c>
      <c r="B1057" s="53" t="s">
        <v>1240</v>
      </c>
      <c r="C1057" s="55">
        <v>0</v>
      </c>
      <c r="D1057" s="55">
        <v>0</v>
      </c>
      <c r="E1057" s="53">
        <v>1</v>
      </c>
      <c r="F1057" s="53">
        <v>0</v>
      </c>
      <c r="G1057" s="55">
        <v>0</v>
      </c>
      <c r="H1057" s="55">
        <v>0</v>
      </c>
      <c r="I1057" s="55">
        <v>0</v>
      </c>
      <c r="J1057" s="53" t="s">
        <v>4927</v>
      </c>
      <c r="K1057" s="53" t="s">
        <v>5788</v>
      </c>
      <c r="L1057" s="53" t="s">
        <v>4772</v>
      </c>
    </row>
    <row r="1058" spans="1:12" ht="15" customHeight="1" x14ac:dyDescent="0.35">
      <c r="A1058" s="53" t="s">
        <v>3500</v>
      </c>
      <c r="B1058" s="53" t="s">
        <v>2792</v>
      </c>
      <c r="C1058" s="55">
        <v>0</v>
      </c>
      <c r="D1058" s="55">
        <v>0</v>
      </c>
      <c r="E1058" s="53">
        <v>1</v>
      </c>
      <c r="F1058" s="53">
        <v>0</v>
      </c>
      <c r="G1058" s="55">
        <v>0</v>
      </c>
      <c r="H1058" s="55">
        <v>0</v>
      </c>
      <c r="I1058" s="55">
        <v>0</v>
      </c>
      <c r="J1058" s="53" t="s">
        <v>5067</v>
      </c>
      <c r="K1058" s="53" t="s">
        <v>5789</v>
      </c>
      <c r="L1058" s="53" t="s">
        <v>4772</v>
      </c>
    </row>
    <row r="1059" spans="1:12" ht="15" customHeight="1" x14ac:dyDescent="0.35">
      <c r="A1059" s="53" t="s">
        <v>3501</v>
      </c>
      <c r="B1059" s="53" t="s">
        <v>989</v>
      </c>
      <c r="C1059" s="55">
        <v>0</v>
      </c>
      <c r="D1059" s="55">
        <v>0</v>
      </c>
      <c r="E1059" s="53">
        <v>1</v>
      </c>
      <c r="F1059" s="53">
        <v>0</v>
      </c>
      <c r="G1059" s="55">
        <v>0</v>
      </c>
      <c r="H1059" s="55">
        <v>0</v>
      </c>
      <c r="I1059" s="55">
        <v>0</v>
      </c>
      <c r="J1059" s="53" t="s">
        <v>5099</v>
      </c>
      <c r="K1059" s="53" t="s">
        <v>5790</v>
      </c>
      <c r="L1059" s="53" t="s">
        <v>4772</v>
      </c>
    </row>
    <row r="1060" spans="1:12" ht="15" customHeight="1" x14ac:dyDescent="0.35">
      <c r="A1060" s="53" t="s">
        <v>3502</v>
      </c>
      <c r="B1060" s="53" t="s">
        <v>963</v>
      </c>
      <c r="C1060" s="55">
        <v>0</v>
      </c>
      <c r="D1060" s="55">
        <v>0</v>
      </c>
      <c r="E1060" s="53">
        <v>1</v>
      </c>
      <c r="F1060" s="53">
        <v>0</v>
      </c>
      <c r="G1060" s="55">
        <v>0</v>
      </c>
      <c r="H1060" s="55">
        <v>0</v>
      </c>
      <c r="I1060" s="55">
        <v>0</v>
      </c>
      <c r="J1060" s="53" t="s">
        <v>4770</v>
      </c>
      <c r="K1060" s="53" t="s">
        <v>5791</v>
      </c>
      <c r="L1060" s="53" t="s">
        <v>4772</v>
      </c>
    </row>
    <row r="1061" spans="1:12" ht="15" customHeight="1" x14ac:dyDescent="0.35">
      <c r="A1061" s="53" t="s">
        <v>3503</v>
      </c>
      <c r="B1061" s="53" t="s">
        <v>989</v>
      </c>
      <c r="C1061" s="55">
        <v>0</v>
      </c>
      <c r="D1061" s="55">
        <v>0</v>
      </c>
      <c r="E1061" s="53">
        <v>1</v>
      </c>
      <c r="F1061" s="53">
        <v>0</v>
      </c>
      <c r="G1061" s="55">
        <v>0</v>
      </c>
      <c r="H1061" s="55">
        <v>0</v>
      </c>
      <c r="I1061" s="55">
        <v>0</v>
      </c>
      <c r="J1061" s="53" t="s">
        <v>5099</v>
      </c>
      <c r="K1061" s="53" t="s">
        <v>5792</v>
      </c>
      <c r="L1061" s="53" t="s">
        <v>4772</v>
      </c>
    </row>
    <row r="1062" spans="1:12" ht="15" customHeight="1" x14ac:dyDescent="0.35">
      <c r="A1062" s="53" t="s">
        <v>3504</v>
      </c>
      <c r="B1062" s="53" t="s">
        <v>2971</v>
      </c>
      <c r="C1062" s="55">
        <v>0</v>
      </c>
      <c r="D1062" s="55">
        <v>0</v>
      </c>
      <c r="E1062" s="53">
        <v>1</v>
      </c>
      <c r="F1062" s="53">
        <v>0</v>
      </c>
      <c r="G1062" s="55">
        <v>0</v>
      </c>
      <c r="H1062" s="55">
        <v>0</v>
      </c>
      <c r="I1062" s="55">
        <v>0</v>
      </c>
      <c r="J1062" s="53" t="s">
        <v>4770</v>
      </c>
      <c r="K1062" s="53" t="s">
        <v>5793</v>
      </c>
      <c r="L1062" s="53" t="s">
        <v>4772</v>
      </c>
    </row>
    <row r="1063" spans="1:12" ht="15" customHeight="1" x14ac:dyDescent="0.35">
      <c r="A1063" s="53" t="s">
        <v>3505</v>
      </c>
      <c r="B1063" s="53" t="s">
        <v>989</v>
      </c>
      <c r="C1063" s="55">
        <v>0</v>
      </c>
      <c r="D1063" s="55">
        <v>0</v>
      </c>
      <c r="E1063" s="53">
        <v>1</v>
      </c>
      <c r="F1063" s="53">
        <v>0</v>
      </c>
      <c r="G1063" s="55">
        <v>0</v>
      </c>
      <c r="H1063" s="55">
        <v>0</v>
      </c>
      <c r="I1063" s="55">
        <v>0</v>
      </c>
      <c r="J1063" s="53" t="s">
        <v>5099</v>
      </c>
      <c r="K1063" s="53" t="s">
        <v>5794</v>
      </c>
      <c r="L1063" s="53" t="s">
        <v>4772</v>
      </c>
    </row>
    <row r="1064" spans="1:12" ht="15" customHeight="1" x14ac:dyDescent="0.35">
      <c r="A1064" s="53" t="s">
        <v>3506</v>
      </c>
      <c r="B1064" s="53" t="s">
        <v>1299</v>
      </c>
      <c r="C1064" s="55">
        <v>0</v>
      </c>
      <c r="D1064" s="55">
        <v>0</v>
      </c>
      <c r="E1064" s="53">
        <v>1</v>
      </c>
      <c r="F1064" s="53">
        <v>0</v>
      </c>
      <c r="G1064" s="55">
        <v>0</v>
      </c>
      <c r="H1064" s="55">
        <v>0</v>
      </c>
      <c r="I1064" s="55">
        <v>0</v>
      </c>
      <c r="J1064" s="53" t="s">
        <v>5099</v>
      </c>
      <c r="K1064" s="53" t="s">
        <v>5795</v>
      </c>
      <c r="L1064" s="53" t="s">
        <v>4772</v>
      </c>
    </row>
    <row r="1065" spans="1:12" ht="15" customHeight="1" x14ac:dyDescent="0.35">
      <c r="A1065" s="53" t="s">
        <v>3507</v>
      </c>
      <c r="B1065" s="53" t="s">
        <v>996</v>
      </c>
      <c r="C1065" s="55">
        <v>0</v>
      </c>
      <c r="D1065" s="55">
        <v>0</v>
      </c>
      <c r="E1065" s="53">
        <v>1</v>
      </c>
      <c r="F1065" s="53">
        <v>0</v>
      </c>
      <c r="G1065" s="55">
        <v>0</v>
      </c>
      <c r="H1065" s="55">
        <v>0</v>
      </c>
      <c r="I1065" s="55">
        <v>0</v>
      </c>
      <c r="J1065" s="53" t="s">
        <v>4927</v>
      </c>
      <c r="K1065" s="53" t="s">
        <v>5796</v>
      </c>
      <c r="L1065" s="53" t="s">
        <v>4772</v>
      </c>
    </row>
    <row r="1066" spans="1:12" ht="15" customHeight="1" x14ac:dyDescent="0.35">
      <c r="A1066" s="53" t="s">
        <v>3508</v>
      </c>
      <c r="B1066" s="53" t="s">
        <v>925</v>
      </c>
      <c r="C1066" s="55">
        <v>0</v>
      </c>
      <c r="D1066" s="55">
        <v>0</v>
      </c>
      <c r="E1066" s="53">
        <v>1</v>
      </c>
      <c r="F1066" s="53">
        <v>0</v>
      </c>
      <c r="G1066" s="55">
        <v>0</v>
      </c>
      <c r="H1066" s="55">
        <v>0</v>
      </c>
      <c r="I1066" s="55">
        <v>0</v>
      </c>
      <c r="J1066" s="53" t="s">
        <v>4770</v>
      </c>
      <c r="K1066" s="53" t="s">
        <v>5797</v>
      </c>
      <c r="L1066" s="53" t="s">
        <v>4772</v>
      </c>
    </row>
    <row r="1067" spans="1:12" ht="15" customHeight="1" x14ac:dyDescent="0.35">
      <c r="A1067" s="53" t="s">
        <v>3509</v>
      </c>
      <c r="B1067" s="53" t="s">
        <v>946</v>
      </c>
      <c r="C1067" s="55">
        <v>0</v>
      </c>
      <c r="D1067" s="55">
        <v>0</v>
      </c>
      <c r="E1067" s="53">
        <v>1</v>
      </c>
      <c r="F1067" s="53">
        <v>0</v>
      </c>
      <c r="G1067" s="55">
        <v>0</v>
      </c>
      <c r="H1067" s="55">
        <v>0</v>
      </c>
      <c r="I1067" s="55">
        <v>0</v>
      </c>
      <c r="J1067" s="53" t="s">
        <v>5099</v>
      </c>
      <c r="K1067" s="53" t="s">
        <v>5798</v>
      </c>
      <c r="L1067" s="53" t="s">
        <v>4772</v>
      </c>
    </row>
    <row r="1068" spans="1:12" ht="15" customHeight="1" x14ac:dyDescent="0.35">
      <c r="A1068" s="53" t="s">
        <v>3510</v>
      </c>
      <c r="B1068" s="53" t="s">
        <v>1118</v>
      </c>
      <c r="C1068" s="55">
        <v>0</v>
      </c>
      <c r="D1068" s="55">
        <v>0</v>
      </c>
      <c r="E1068" s="53">
        <v>1</v>
      </c>
      <c r="F1068" s="53">
        <v>0</v>
      </c>
      <c r="G1068" s="55">
        <v>0</v>
      </c>
      <c r="H1068" s="55">
        <v>0</v>
      </c>
      <c r="I1068" s="55">
        <v>0</v>
      </c>
      <c r="J1068" s="53" t="s">
        <v>4927</v>
      </c>
      <c r="K1068" s="53" t="s">
        <v>5799</v>
      </c>
      <c r="L1068" s="53" t="s">
        <v>4772</v>
      </c>
    </row>
    <row r="1069" spans="1:12" ht="15" customHeight="1" x14ac:dyDescent="0.35">
      <c r="A1069" s="53" t="s">
        <v>3511</v>
      </c>
      <c r="B1069" s="53" t="s">
        <v>925</v>
      </c>
      <c r="C1069" s="55">
        <v>0</v>
      </c>
      <c r="D1069" s="55">
        <v>0</v>
      </c>
      <c r="E1069" s="53">
        <v>1</v>
      </c>
      <c r="F1069" s="53">
        <v>0</v>
      </c>
      <c r="G1069" s="55">
        <v>0</v>
      </c>
      <c r="H1069" s="55">
        <v>0</v>
      </c>
      <c r="I1069" s="55">
        <v>0</v>
      </c>
      <c r="J1069" s="53" t="s">
        <v>5178</v>
      </c>
      <c r="K1069" s="53" t="s">
        <v>5800</v>
      </c>
      <c r="L1069" s="53" t="s">
        <v>4772</v>
      </c>
    </row>
    <row r="1070" spans="1:12" ht="15" customHeight="1" x14ac:dyDescent="0.35">
      <c r="A1070" s="53" t="s">
        <v>3512</v>
      </c>
      <c r="B1070" s="53" t="s">
        <v>913</v>
      </c>
      <c r="C1070" s="55">
        <v>0</v>
      </c>
      <c r="D1070" s="55">
        <v>0</v>
      </c>
      <c r="E1070" s="53">
        <v>1</v>
      </c>
      <c r="F1070" s="53">
        <v>0</v>
      </c>
      <c r="G1070" s="55">
        <v>0</v>
      </c>
      <c r="H1070" s="55">
        <v>0</v>
      </c>
      <c r="I1070" s="55">
        <v>0</v>
      </c>
      <c r="J1070" s="53" t="s">
        <v>5099</v>
      </c>
      <c r="K1070" s="53" t="s">
        <v>5801</v>
      </c>
      <c r="L1070" s="53" t="s">
        <v>4772</v>
      </c>
    </row>
    <row r="1071" spans="1:12" ht="15" customHeight="1" x14ac:dyDescent="0.35">
      <c r="A1071" s="53" t="s">
        <v>3513</v>
      </c>
      <c r="B1071" s="53" t="s">
        <v>1050</v>
      </c>
      <c r="C1071" s="55">
        <v>0</v>
      </c>
      <c r="D1071" s="55">
        <v>0</v>
      </c>
      <c r="E1071" s="53">
        <v>1</v>
      </c>
      <c r="F1071" s="53">
        <v>0</v>
      </c>
      <c r="G1071" s="55">
        <v>0</v>
      </c>
      <c r="H1071" s="55">
        <v>0</v>
      </c>
      <c r="I1071" s="55">
        <v>0</v>
      </c>
      <c r="J1071" s="53" t="s">
        <v>5099</v>
      </c>
      <c r="K1071" s="53" t="s">
        <v>5801</v>
      </c>
      <c r="L1071" s="53" t="s">
        <v>4772</v>
      </c>
    </row>
    <row r="1072" spans="1:12" ht="15" customHeight="1" x14ac:dyDescent="0.35">
      <c r="A1072" s="53" t="s">
        <v>3514</v>
      </c>
      <c r="B1072" s="53" t="s">
        <v>1077</v>
      </c>
      <c r="C1072" s="55">
        <v>0</v>
      </c>
      <c r="D1072" s="55">
        <v>0</v>
      </c>
      <c r="E1072" s="53">
        <v>1</v>
      </c>
      <c r="F1072" s="53">
        <v>0</v>
      </c>
      <c r="G1072" s="55">
        <v>0</v>
      </c>
      <c r="H1072" s="55">
        <v>0</v>
      </c>
      <c r="I1072" s="55">
        <v>0</v>
      </c>
      <c r="J1072" s="53" t="s">
        <v>4770</v>
      </c>
      <c r="K1072" s="53" t="s">
        <v>5802</v>
      </c>
      <c r="L1072" s="53" t="s">
        <v>4772</v>
      </c>
    </row>
    <row r="1073" spans="1:12" ht="15" customHeight="1" x14ac:dyDescent="0.35">
      <c r="A1073" s="53" t="s">
        <v>3515</v>
      </c>
      <c r="B1073" s="53" t="s">
        <v>921</v>
      </c>
      <c r="C1073" s="55">
        <v>0</v>
      </c>
      <c r="D1073" s="55">
        <v>0</v>
      </c>
      <c r="E1073" s="53">
        <v>1</v>
      </c>
      <c r="F1073" s="53">
        <v>0</v>
      </c>
      <c r="G1073" s="55">
        <v>0</v>
      </c>
      <c r="H1073" s="55">
        <v>0</v>
      </c>
      <c r="I1073" s="55">
        <v>0</v>
      </c>
      <c r="J1073" s="53" t="s">
        <v>4684</v>
      </c>
      <c r="K1073" s="53" t="s">
        <v>5803</v>
      </c>
      <c r="L1073" s="53" t="s">
        <v>4686</v>
      </c>
    </row>
    <row r="1074" spans="1:12" ht="15" customHeight="1" x14ac:dyDescent="0.35">
      <c r="A1074" s="53" t="s">
        <v>3516</v>
      </c>
      <c r="B1074" s="53" t="s">
        <v>925</v>
      </c>
      <c r="C1074" s="55">
        <v>0</v>
      </c>
      <c r="D1074" s="55">
        <v>0</v>
      </c>
      <c r="E1074" s="53">
        <v>1</v>
      </c>
      <c r="F1074" s="53">
        <v>0</v>
      </c>
      <c r="G1074" s="55">
        <v>0</v>
      </c>
      <c r="H1074" s="55">
        <v>0</v>
      </c>
      <c r="I1074" s="55">
        <v>0</v>
      </c>
      <c r="J1074" s="53" t="s">
        <v>4770</v>
      </c>
      <c r="K1074" s="53" t="s">
        <v>5804</v>
      </c>
      <c r="L1074" s="53" t="s">
        <v>4686</v>
      </c>
    </row>
    <row r="1075" spans="1:12" ht="15" customHeight="1" x14ac:dyDescent="0.35">
      <c r="A1075" s="53" t="s">
        <v>3517</v>
      </c>
      <c r="B1075" s="53" t="s">
        <v>909</v>
      </c>
      <c r="C1075" s="55">
        <v>0</v>
      </c>
      <c r="D1075" s="55">
        <v>0</v>
      </c>
      <c r="E1075" s="53">
        <v>1</v>
      </c>
      <c r="F1075" s="53">
        <v>0</v>
      </c>
      <c r="G1075" s="55">
        <v>0</v>
      </c>
      <c r="H1075" s="55">
        <v>0</v>
      </c>
      <c r="I1075" s="55">
        <v>0</v>
      </c>
      <c r="J1075" s="53" t="s">
        <v>4770</v>
      </c>
      <c r="K1075" s="53" t="s">
        <v>5805</v>
      </c>
      <c r="L1075" s="53" t="s">
        <v>4686</v>
      </c>
    </row>
    <row r="1076" spans="1:12" ht="15" customHeight="1" x14ac:dyDescent="0.35">
      <c r="A1076" s="53" t="s">
        <v>3518</v>
      </c>
      <c r="B1076" s="53" t="s">
        <v>909</v>
      </c>
      <c r="C1076" s="55">
        <v>0</v>
      </c>
      <c r="D1076" s="55">
        <v>0</v>
      </c>
      <c r="E1076" s="53">
        <v>1</v>
      </c>
      <c r="F1076" s="53">
        <v>0</v>
      </c>
      <c r="G1076" s="55">
        <v>0</v>
      </c>
      <c r="H1076" s="55">
        <v>0</v>
      </c>
      <c r="I1076" s="55">
        <v>0</v>
      </c>
      <c r="J1076" s="53" t="s">
        <v>4770</v>
      </c>
      <c r="K1076" s="53" t="s">
        <v>5806</v>
      </c>
      <c r="L1076" s="53" t="s">
        <v>4686</v>
      </c>
    </row>
    <row r="1077" spans="1:12" ht="15" customHeight="1" x14ac:dyDescent="0.35">
      <c r="A1077" s="53" t="s">
        <v>3519</v>
      </c>
      <c r="B1077" s="53" t="s">
        <v>946</v>
      </c>
      <c r="C1077" s="55">
        <v>0</v>
      </c>
      <c r="D1077" s="55">
        <v>0</v>
      </c>
      <c r="E1077" s="53">
        <v>1</v>
      </c>
      <c r="F1077" s="53">
        <v>0</v>
      </c>
      <c r="G1077" s="55">
        <v>0</v>
      </c>
      <c r="H1077" s="55">
        <v>0</v>
      </c>
      <c r="I1077" s="55">
        <v>0</v>
      </c>
      <c r="J1077" s="53" t="s">
        <v>4770</v>
      </c>
      <c r="K1077" s="53" t="s">
        <v>5807</v>
      </c>
      <c r="L1077" s="53" t="s">
        <v>4686</v>
      </c>
    </row>
    <row r="1078" spans="1:12" ht="15" customHeight="1" x14ac:dyDescent="0.35">
      <c r="A1078" s="53" t="s">
        <v>3520</v>
      </c>
      <c r="B1078" s="53" t="s">
        <v>909</v>
      </c>
      <c r="C1078" s="55">
        <v>0</v>
      </c>
      <c r="D1078" s="55">
        <v>0</v>
      </c>
      <c r="E1078" s="53">
        <v>1</v>
      </c>
      <c r="F1078" s="53">
        <v>0</v>
      </c>
      <c r="G1078" s="55">
        <v>0</v>
      </c>
      <c r="H1078" s="55">
        <v>0</v>
      </c>
      <c r="I1078" s="55">
        <v>0</v>
      </c>
      <c r="J1078" s="53" t="s">
        <v>4770</v>
      </c>
      <c r="K1078" s="53" t="s">
        <v>5808</v>
      </c>
      <c r="L1078" s="53" t="s">
        <v>4686</v>
      </c>
    </row>
    <row r="1079" spans="1:12" ht="15" customHeight="1" x14ac:dyDescent="0.35">
      <c r="A1079" s="53" t="s">
        <v>3521</v>
      </c>
      <c r="B1079" s="53" t="s">
        <v>909</v>
      </c>
      <c r="C1079" s="55">
        <v>0</v>
      </c>
      <c r="D1079" s="55">
        <v>0</v>
      </c>
      <c r="E1079" s="53">
        <v>1</v>
      </c>
      <c r="F1079" s="53">
        <v>0</v>
      </c>
      <c r="G1079" s="55">
        <v>0</v>
      </c>
      <c r="H1079" s="55">
        <v>0</v>
      </c>
      <c r="I1079" s="55">
        <v>0</v>
      </c>
      <c r="J1079" s="53" t="s">
        <v>4770</v>
      </c>
      <c r="K1079" s="53" t="s">
        <v>5809</v>
      </c>
      <c r="L1079" s="53" t="s">
        <v>4686</v>
      </c>
    </row>
    <row r="1080" spans="1:12" ht="15" customHeight="1" x14ac:dyDescent="0.35">
      <c r="A1080" s="53" t="s">
        <v>3522</v>
      </c>
      <c r="B1080" s="53" t="s">
        <v>1077</v>
      </c>
      <c r="C1080" s="55">
        <v>0</v>
      </c>
      <c r="D1080" s="55">
        <v>0</v>
      </c>
      <c r="E1080" s="53">
        <v>1</v>
      </c>
      <c r="F1080" s="53">
        <v>0</v>
      </c>
      <c r="G1080" s="55">
        <v>0</v>
      </c>
      <c r="H1080" s="55">
        <v>0</v>
      </c>
      <c r="I1080" s="55">
        <v>0</v>
      </c>
      <c r="J1080" s="53" t="s">
        <v>5306</v>
      </c>
      <c r="K1080" s="53" t="s">
        <v>5810</v>
      </c>
      <c r="L1080" s="53" t="s">
        <v>4686</v>
      </c>
    </row>
    <row r="1081" spans="1:12" ht="15" customHeight="1" x14ac:dyDescent="0.35">
      <c r="A1081" s="53" t="s">
        <v>3523</v>
      </c>
      <c r="B1081" s="53" t="s">
        <v>1050</v>
      </c>
      <c r="C1081" s="55">
        <v>0</v>
      </c>
      <c r="D1081" s="55">
        <v>0</v>
      </c>
      <c r="E1081" s="53">
        <v>1</v>
      </c>
      <c r="F1081" s="53">
        <v>0</v>
      </c>
      <c r="G1081" s="55">
        <v>0</v>
      </c>
      <c r="H1081" s="55">
        <v>0</v>
      </c>
      <c r="I1081" s="55">
        <v>0</v>
      </c>
      <c r="J1081" s="53" t="s">
        <v>5099</v>
      </c>
      <c r="K1081" s="53" t="s">
        <v>5720</v>
      </c>
      <c r="L1081" s="53" t="s">
        <v>4686</v>
      </c>
    </row>
    <row r="1082" spans="1:12" ht="15" customHeight="1" x14ac:dyDescent="0.35">
      <c r="A1082" s="53" t="s">
        <v>3524</v>
      </c>
      <c r="B1082" s="53" t="s">
        <v>1111</v>
      </c>
      <c r="C1082" s="55">
        <v>0</v>
      </c>
      <c r="D1082" s="55">
        <v>0</v>
      </c>
      <c r="E1082" s="53">
        <v>1</v>
      </c>
      <c r="F1082" s="53">
        <v>0</v>
      </c>
      <c r="G1082" s="55">
        <v>0</v>
      </c>
      <c r="H1082" s="55">
        <v>0</v>
      </c>
      <c r="I1082" s="55">
        <v>0</v>
      </c>
      <c r="J1082" s="53" t="s">
        <v>5220</v>
      </c>
      <c r="K1082" s="53" t="s">
        <v>5811</v>
      </c>
      <c r="L1082" s="53" t="s">
        <v>4686</v>
      </c>
    </row>
    <row r="1083" spans="1:12" ht="15" customHeight="1" x14ac:dyDescent="0.35">
      <c r="A1083" s="53" t="s">
        <v>3525</v>
      </c>
      <c r="B1083" s="53" t="s">
        <v>1143</v>
      </c>
      <c r="C1083" s="55">
        <v>0</v>
      </c>
      <c r="D1083" s="55">
        <v>0</v>
      </c>
      <c r="E1083" s="53">
        <v>1</v>
      </c>
      <c r="F1083" s="53">
        <v>0</v>
      </c>
      <c r="G1083" s="55">
        <v>0</v>
      </c>
      <c r="H1083" s="55">
        <v>0</v>
      </c>
      <c r="I1083" s="55">
        <v>0</v>
      </c>
      <c r="J1083" s="53" t="s">
        <v>4770</v>
      </c>
      <c r="K1083" s="53" t="s">
        <v>5812</v>
      </c>
      <c r="L1083" s="53" t="s">
        <v>4686</v>
      </c>
    </row>
    <row r="1084" spans="1:12" ht="15" customHeight="1" x14ac:dyDescent="0.35">
      <c r="A1084" s="53" t="s">
        <v>3526</v>
      </c>
      <c r="B1084" s="53" t="s">
        <v>909</v>
      </c>
      <c r="C1084" s="55">
        <v>0</v>
      </c>
      <c r="D1084" s="55">
        <v>0</v>
      </c>
      <c r="E1084" s="53">
        <v>1</v>
      </c>
      <c r="F1084" s="53">
        <v>0</v>
      </c>
      <c r="G1084" s="55">
        <v>0</v>
      </c>
      <c r="H1084" s="55">
        <v>0</v>
      </c>
      <c r="I1084" s="55">
        <v>0</v>
      </c>
      <c r="J1084" s="53" t="s">
        <v>4770</v>
      </c>
      <c r="K1084" s="53" t="s">
        <v>5813</v>
      </c>
      <c r="L1084" s="53" t="s">
        <v>4686</v>
      </c>
    </row>
    <row r="1085" spans="1:12" ht="15" customHeight="1" x14ac:dyDescent="0.35">
      <c r="A1085" s="53" t="s">
        <v>3527</v>
      </c>
      <c r="B1085" s="53" t="s">
        <v>1077</v>
      </c>
      <c r="C1085" s="55">
        <v>0</v>
      </c>
      <c r="D1085" s="55">
        <v>0</v>
      </c>
      <c r="E1085" s="53">
        <v>1</v>
      </c>
      <c r="F1085" s="53">
        <v>0</v>
      </c>
      <c r="G1085" s="55">
        <v>0</v>
      </c>
      <c r="H1085" s="55">
        <v>0</v>
      </c>
      <c r="I1085" s="55">
        <v>0</v>
      </c>
      <c r="J1085" s="53" t="s">
        <v>4770</v>
      </c>
      <c r="K1085" s="53" t="s">
        <v>5814</v>
      </c>
      <c r="L1085" s="53" t="s">
        <v>4686</v>
      </c>
    </row>
    <row r="1086" spans="1:12" ht="15" customHeight="1" x14ac:dyDescent="0.35">
      <c r="A1086" s="53" t="s">
        <v>3528</v>
      </c>
      <c r="B1086" s="53" t="s">
        <v>2971</v>
      </c>
      <c r="C1086" s="55">
        <v>0</v>
      </c>
      <c r="D1086" s="55">
        <v>0</v>
      </c>
      <c r="E1086" s="53">
        <v>1</v>
      </c>
      <c r="F1086" s="53">
        <v>0</v>
      </c>
      <c r="G1086" s="55">
        <v>0</v>
      </c>
      <c r="H1086" s="55">
        <v>0</v>
      </c>
      <c r="I1086" s="55">
        <v>0</v>
      </c>
      <c r="J1086" s="53" t="s">
        <v>5099</v>
      </c>
      <c r="K1086" s="53" t="s">
        <v>5815</v>
      </c>
      <c r="L1086" s="53" t="s">
        <v>4686</v>
      </c>
    </row>
    <row r="1087" spans="1:12" ht="15" customHeight="1" x14ac:dyDescent="0.35">
      <c r="A1087" s="53" t="s">
        <v>3529</v>
      </c>
      <c r="B1087" s="53" t="s">
        <v>1077</v>
      </c>
      <c r="C1087" s="55">
        <v>0</v>
      </c>
      <c r="D1087" s="55">
        <v>0</v>
      </c>
      <c r="E1087" s="53">
        <v>1</v>
      </c>
      <c r="F1087" s="53">
        <v>0</v>
      </c>
      <c r="G1087" s="55">
        <v>0</v>
      </c>
      <c r="H1087" s="55">
        <v>0</v>
      </c>
      <c r="I1087" s="55">
        <v>0</v>
      </c>
      <c r="J1087" s="53" t="s">
        <v>5196</v>
      </c>
      <c r="K1087" s="53" t="s">
        <v>5816</v>
      </c>
      <c r="L1087" s="53" t="s">
        <v>4686</v>
      </c>
    </row>
    <row r="1088" spans="1:12" ht="15" customHeight="1" x14ac:dyDescent="0.35">
      <c r="A1088" s="53" t="s">
        <v>3530</v>
      </c>
      <c r="B1088" s="53" t="s">
        <v>946</v>
      </c>
      <c r="C1088" s="55">
        <v>0</v>
      </c>
      <c r="D1088" s="55">
        <v>0</v>
      </c>
      <c r="E1088" s="53">
        <v>1</v>
      </c>
      <c r="F1088" s="53">
        <v>0</v>
      </c>
      <c r="G1088" s="55">
        <v>0</v>
      </c>
      <c r="H1088" s="55">
        <v>0</v>
      </c>
      <c r="I1088" s="55">
        <v>0</v>
      </c>
      <c r="J1088" s="53" t="s">
        <v>4770</v>
      </c>
      <c r="K1088" s="53" t="s">
        <v>5817</v>
      </c>
      <c r="L1088" s="53" t="s">
        <v>4686</v>
      </c>
    </row>
    <row r="1089" spans="1:12" ht="15" customHeight="1" x14ac:dyDescent="0.35">
      <c r="A1089" s="53" t="s">
        <v>3531</v>
      </c>
      <c r="B1089" s="53" t="s">
        <v>946</v>
      </c>
      <c r="C1089" s="55">
        <v>0</v>
      </c>
      <c r="D1089" s="55">
        <v>0</v>
      </c>
      <c r="E1089" s="53">
        <v>1</v>
      </c>
      <c r="F1089" s="53">
        <v>0</v>
      </c>
      <c r="G1089" s="55">
        <v>0</v>
      </c>
      <c r="H1089" s="55">
        <v>0</v>
      </c>
      <c r="I1089" s="55">
        <v>0</v>
      </c>
      <c r="J1089" s="53" t="s">
        <v>4770</v>
      </c>
      <c r="K1089" s="53" t="s">
        <v>5818</v>
      </c>
      <c r="L1089" s="53" t="s">
        <v>4686</v>
      </c>
    </row>
    <row r="1090" spans="1:12" ht="15" customHeight="1" x14ac:dyDescent="0.35">
      <c r="A1090" s="53" t="s">
        <v>3532</v>
      </c>
      <c r="B1090" s="53" t="s">
        <v>2971</v>
      </c>
      <c r="C1090" s="55">
        <v>0</v>
      </c>
      <c r="D1090" s="55">
        <v>0</v>
      </c>
      <c r="E1090" s="53">
        <v>1</v>
      </c>
      <c r="F1090" s="53">
        <v>0</v>
      </c>
      <c r="G1090" s="55">
        <v>0</v>
      </c>
      <c r="H1090" s="55">
        <v>0</v>
      </c>
      <c r="I1090" s="55">
        <v>0</v>
      </c>
      <c r="J1090" s="53" t="s">
        <v>4770</v>
      </c>
      <c r="K1090" s="53" t="s">
        <v>5819</v>
      </c>
      <c r="L1090" s="53" t="s">
        <v>4686</v>
      </c>
    </row>
    <row r="1091" spans="1:12" ht="15" customHeight="1" x14ac:dyDescent="0.35">
      <c r="A1091" s="53" t="s">
        <v>3533</v>
      </c>
      <c r="B1091" s="53" t="s">
        <v>1817</v>
      </c>
      <c r="C1091" s="55">
        <v>0</v>
      </c>
      <c r="D1091" s="55">
        <v>0</v>
      </c>
      <c r="E1091" s="53">
        <v>1</v>
      </c>
      <c r="F1091" s="53">
        <v>0</v>
      </c>
      <c r="G1091" s="55">
        <v>0</v>
      </c>
      <c r="H1091" s="55">
        <v>0</v>
      </c>
      <c r="I1091" s="55">
        <v>0</v>
      </c>
      <c r="J1091" s="53" t="s">
        <v>4927</v>
      </c>
      <c r="K1091" s="53" t="s">
        <v>5820</v>
      </c>
      <c r="L1091" s="53" t="s">
        <v>4686</v>
      </c>
    </row>
    <row r="1092" spans="1:12" ht="15" customHeight="1" x14ac:dyDescent="0.35">
      <c r="A1092" s="53" t="s">
        <v>3534</v>
      </c>
      <c r="B1092" s="53" t="s">
        <v>1143</v>
      </c>
      <c r="C1092" s="55">
        <v>0</v>
      </c>
      <c r="D1092" s="55">
        <v>0</v>
      </c>
      <c r="E1092" s="53">
        <v>1</v>
      </c>
      <c r="F1092" s="53">
        <v>0</v>
      </c>
      <c r="G1092" s="55">
        <v>0</v>
      </c>
      <c r="H1092" s="55">
        <v>0</v>
      </c>
      <c r="I1092" s="55">
        <v>0</v>
      </c>
      <c r="J1092" s="53" t="s">
        <v>5067</v>
      </c>
      <c r="K1092" s="53" t="s">
        <v>5821</v>
      </c>
      <c r="L1092" s="53" t="s">
        <v>4686</v>
      </c>
    </row>
    <row r="1093" spans="1:12" ht="15" customHeight="1" x14ac:dyDescent="0.35">
      <c r="A1093" s="53" t="s">
        <v>3535</v>
      </c>
      <c r="B1093" s="53" t="s">
        <v>1118</v>
      </c>
      <c r="C1093" s="55">
        <v>0</v>
      </c>
      <c r="D1093" s="55">
        <v>0</v>
      </c>
      <c r="E1093" s="53">
        <v>1</v>
      </c>
      <c r="F1093" s="53">
        <v>0</v>
      </c>
      <c r="G1093" s="55">
        <v>0</v>
      </c>
      <c r="H1093" s="55">
        <v>0</v>
      </c>
      <c r="I1093" s="55">
        <v>0</v>
      </c>
      <c r="J1093" s="53" t="s">
        <v>4770</v>
      </c>
      <c r="K1093" s="53" t="s">
        <v>5822</v>
      </c>
      <c r="L1093" s="53" t="s">
        <v>4686</v>
      </c>
    </row>
    <row r="1094" spans="1:12" ht="15" customHeight="1" x14ac:dyDescent="0.35">
      <c r="A1094" s="53" t="s">
        <v>3536</v>
      </c>
      <c r="B1094" s="53" t="s">
        <v>946</v>
      </c>
      <c r="C1094" s="55">
        <v>0</v>
      </c>
      <c r="D1094" s="55">
        <v>0</v>
      </c>
      <c r="E1094" s="53">
        <v>1</v>
      </c>
      <c r="F1094" s="53">
        <v>0</v>
      </c>
      <c r="G1094" s="55">
        <v>0</v>
      </c>
      <c r="H1094" s="55">
        <v>0</v>
      </c>
      <c r="I1094" s="55">
        <v>0</v>
      </c>
      <c r="J1094" s="53" t="s">
        <v>4770</v>
      </c>
      <c r="K1094" s="53" t="s">
        <v>5823</v>
      </c>
      <c r="L1094" s="53" t="s">
        <v>4686</v>
      </c>
    </row>
    <row r="1095" spans="1:12" ht="15" customHeight="1" x14ac:dyDescent="0.35">
      <c r="A1095" s="53" t="s">
        <v>3537</v>
      </c>
      <c r="B1095" s="53" t="s">
        <v>1143</v>
      </c>
      <c r="C1095" s="55">
        <v>0</v>
      </c>
      <c r="D1095" s="55">
        <v>0</v>
      </c>
      <c r="E1095" s="53">
        <v>1</v>
      </c>
      <c r="F1095" s="53">
        <v>0</v>
      </c>
      <c r="G1095" s="55">
        <v>0</v>
      </c>
      <c r="H1095" s="55">
        <v>0</v>
      </c>
      <c r="I1095" s="55">
        <v>0</v>
      </c>
      <c r="J1095" s="53" t="s">
        <v>4770</v>
      </c>
      <c r="K1095" s="53" t="s">
        <v>5824</v>
      </c>
      <c r="L1095" s="53" t="s">
        <v>4686</v>
      </c>
    </row>
    <row r="1096" spans="1:12" ht="15" customHeight="1" x14ac:dyDescent="0.35">
      <c r="A1096" s="53" t="s">
        <v>3538</v>
      </c>
      <c r="B1096" s="53" t="s">
        <v>989</v>
      </c>
      <c r="C1096" s="55">
        <v>0</v>
      </c>
      <c r="D1096" s="55">
        <v>0</v>
      </c>
      <c r="E1096" s="53">
        <v>1</v>
      </c>
      <c r="F1096" s="53">
        <v>0</v>
      </c>
      <c r="G1096" s="55">
        <v>0</v>
      </c>
      <c r="H1096" s="55">
        <v>0</v>
      </c>
      <c r="I1096" s="55">
        <v>0</v>
      </c>
      <c r="J1096" s="53" t="s">
        <v>5099</v>
      </c>
      <c r="K1096" s="53" t="s">
        <v>5825</v>
      </c>
      <c r="L1096" s="53" t="s">
        <v>4686</v>
      </c>
    </row>
    <row r="1097" spans="1:12" ht="15" customHeight="1" x14ac:dyDescent="0.35">
      <c r="A1097" s="53" t="s">
        <v>3539</v>
      </c>
      <c r="B1097" s="53" t="s">
        <v>1690</v>
      </c>
      <c r="C1097" s="55">
        <v>0</v>
      </c>
      <c r="D1097" s="55">
        <v>0</v>
      </c>
      <c r="E1097" s="53">
        <v>1</v>
      </c>
      <c r="F1097" s="53">
        <v>0</v>
      </c>
      <c r="G1097" s="55">
        <v>0</v>
      </c>
      <c r="H1097" s="55">
        <v>0</v>
      </c>
      <c r="I1097" s="55">
        <v>0</v>
      </c>
      <c r="J1097" s="53" t="s">
        <v>5178</v>
      </c>
      <c r="K1097" s="53" t="s">
        <v>5826</v>
      </c>
      <c r="L1097" s="53" t="s">
        <v>4686</v>
      </c>
    </row>
    <row r="1098" spans="1:12" ht="15" customHeight="1" x14ac:dyDescent="0.35">
      <c r="A1098" s="53" t="s">
        <v>3540</v>
      </c>
      <c r="B1098" s="53" t="s">
        <v>1077</v>
      </c>
      <c r="C1098" s="55">
        <v>0</v>
      </c>
      <c r="D1098" s="55">
        <v>0</v>
      </c>
      <c r="E1098" s="53">
        <v>1</v>
      </c>
      <c r="F1098" s="53">
        <v>0</v>
      </c>
      <c r="G1098" s="55">
        <v>0</v>
      </c>
      <c r="H1098" s="55">
        <v>0</v>
      </c>
      <c r="I1098" s="55">
        <v>0</v>
      </c>
      <c r="J1098" s="53" t="s">
        <v>4770</v>
      </c>
      <c r="K1098" s="53" t="s">
        <v>5827</v>
      </c>
      <c r="L1098" s="53" t="s">
        <v>4686</v>
      </c>
    </row>
    <row r="1099" spans="1:12" ht="15" customHeight="1" x14ac:dyDescent="0.35">
      <c r="A1099" s="53" t="s">
        <v>3541</v>
      </c>
      <c r="B1099" s="53" t="s">
        <v>1659</v>
      </c>
      <c r="C1099" s="55">
        <v>0</v>
      </c>
      <c r="D1099" s="55">
        <v>0</v>
      </c>
      <c r="E1099" s="53">
        <v>1</v>
      </c>
      <c r="F1099" s="53">
        <v>0</v>
      </c>
      <c r="G1099" s="55">
        <v>0</v>
      </c>
      <c r="H1099" s="55">
        <v>0</v>
      </c>
      <c r="I1099" s="55">
        <v>0</v>
      </c>
      <c r="J1099" s="53" t="s">
        <v>4927</v>
      </c>
      <c r="K1099" s="53" t="s">
        <v>5828</v>
      </c>
      <c r="L1099" s="53" t="s">
        <v>4686</v>
      </c>
    </row>
    <row r="1100" spans="1:12" ht="15" customHeight="1" x14ac:dyDescent="0.35">
      <c r="A1100" s="53" t="s">
        <v>3542</v>
      </c>
      <c r="B1100" s="53" t="s">
        <v>1077</v>
      </c>
      <c r="C1100" s="55">
        <v>0</v>
      </c>
      <c r="D1100" s="55">
        <v>0</v>
      </c>
      <c r="E1100" s="53">
        <v>1</v>
      </c>
      <c r="F1100" s="53">
        <v>0</v>
      </c>
      <c r="G1100" s="55">
        <v>0</v>
      </c>
      <c r="H1100" s="55">
        <v>0</v>
      </c>
      <c r="I1100" s="55">
        <v>0</v>
      </c>
      <c r="J1100" s="53" t="s">
        <v>4770</v>
      </c>
      <c r="K1100" s="53" t="s">
        <v>5829</v>
      </c>
      <c r="L1100" s="53" t="s">
        <v>4686</v>
      </c>
    </row>
    <row r="1101" spans="1:12" ht="15" customHeight="1" x14ac:dyDescent="0.35">
      <c r="A1101" s="53" t="s">
        <v>3543</v>
      </c>
      <c r="B1101" s="53" t="s">
        <v>1659</v>
      </c>
      <c r="C1101" s="55">
        <v>0</v>
      </c>
      <c r="D1101" s="55">
        <v>0</v>
      </c>
      <c r="E1101" s="53">
        <v>1</v>
      </c>
      <c r="F1101" s="53">
        <v>0</v>
      </c>
      <c r="G1101" s="55">
        <v>0</v>
      </c>
      <c r="H1101" s="55">
        <v>0</v>
      </c>
      <c r="I1101" s="55">
        <v>0</v>
      </c>
      <c r="J1101" s="53" t="s">
        <v>4770</v>
      </c>
      <c r="K1101" s="53" t="s">
        <v>5830</v>
      </c>
      <c r="L1101" s="53" t="s">
        <v>4686</v>
      </c>
    </row>
    <row r="1102" spans="1:12" ht="15" customHeight="1" x14ac:dyDescent="0.35">
      <c r="A1102" s="53" t="s">
        <v>3544</v>
      </c>
      <c r="B1102" s="53" t="s">
        <v>929</v>
      </c>
      <c r="C1102" s="55">
        <v>0</v>
      </c>
      <c r="D1102" s="55">
        <v>0</v>
      </c>
      <c r="E1102" s="53">
        <v>1</v>
      </c>
      <c r="F1102" s="53">
        <v>0</v>
      </c>
      <c r="G1102" s="55">
        <v>0</v>
      </c>
      <c r="H1102" s="55">
        <v>0</v>
      </c>
      <c r="I1102" s="55">
        <v>0</v>
      </c>
      <c r="J1102" s="53" t="s">
        <v>4770</v>
      </c>
      <c r="K1102" s="53" t="s">
        <v>5831</v>
      </c>
      <c r="L1102" s="53" t="s">
        <v>4686</v>
      </c>
    </row>
    <row r="1103" spans="1:12" ht="15" customHeight="1" x14ac:dyDescent="0.35">
      <c r="A1103" s="53" t="s">
        <v>3545</v>
      </c>
      <c r="B1103" s="53" t="s">
        <v>2602</v>
      </c>
      <c r="C1103" s="55">
        <v>0</v>
      </c>
      <c r="D1103" s="55">
        <v>0</v>
      </c>
      <c r="E1103" s="53">
        <v>1</v>
      </c>
      <c r="F1103" s="53">
        <v>0</v>
      </c>
      <c r="G1103" s="55">
        <v>0</v>
      </c>
      <c r="H1103" s="55">
        <v>0</v>
      </c>
      <c r="I1103" s="55">
        <v>0</v>
      </c>
      <c r="J1103" s="53" t="s">
        <v>4770</v>
      </c>
      <c r="K1103" s="53" t="s">
        <v>5832</v>
      </c>
      <c r="L1103" s="53" t="s">
        <v>4686</v>
      </c>
    </row>
    <row r="1104" spans="1:12" ht="15" customHeight="1" x14ac:dyDescent="0.35">
      <c r="A1104" s="53" t="s">
        <v>3546</v>
      </c>
      <c r="B1104" s="53" t="s">
        <v>2602</v>
      </c>
      <c r="C1104" s="55">
        <v>0</v>
      </c>
      <c r="D1104" s="55">
        <v>0</v>
      </c>
      <c r="E1104" s="53">
        <v>1</v>
      </c>
      <c r="F1104" s="53">
        <v>0</v>
      </c>
      <c r="G1104" s="55">
        <v>0</v>
      </c>
      <c r="H1104" s="55">
        <v>0</v>
      </c>
      <c r="I1104" s="55">
        <v>0</v>
      </c>
      <c r="J1104" s="53" t="s">
        <v>4770</v>
      </c>
      <c r="K1104" s="53" t="s">
        <v>5832</v>
      </c>
      <c r="L1104" s="53" t="s">
        <v>4686</v>
      </c>
    </row>
    <row r="1105" spans="1:12" ht="15" customHeight="1" x14ac:dyDescent="0.35">
      <c r="A1105" s="53" t="s">
        <v>3547</v>
      </c>
      <c r="B1105" s="53" t="s">
        <v>2602</v>
      </c>
      <c r="C1105" s="55">
        <v>0</v>
      </c>
      <c r="D1105" s="55">
        <v>0</v>
      </c>
      <c r="E1105" s="53">
        <v>1</v>
      </c>
      <c r="F1105" s="53">
        <v>0</v>
      </c>
      <c r="G1105" s="55">
        <v>0</v>
      </c>
      <c r="H1105" s="55">
        <v>0</v>
      </c>
      <c r="I1105" s="55">
        <v>0</v>
      </c>
      <c r="J1105" s="53" t="s">
        <v>4770</v>
      </c>
      <c r="K1105" s="53"/>
      <c r="L1105" s="53" t="s">
        <v>4686</v>
      </c>
    </row>
    <row r="1106" spans="1:12" ht="15" customHeight="1" x14ac:dyDescent="0.35">
      <c r="A1106" s="53" t="s">
        <v>3548</v>
      </c>
      <c r="B1106" s="53" t="s">
        <v>1817</v>
      </c>
      <c r="C1106" s="55">
        <v>0</v>
      </c>
      <c r="D1106" s="55">
        <v>0</v>
      </c>
      <c r="E1106" s="53">
        <v>1</v>
      </c>
      <c r="F1106" s="53">
        <v>0</v>
      </c>
      <c r="G1106" s="55">
        <v>0</v>
      </c>
      <c r="H1106" s="55">
        <v>0</v>
      </c>
      <c r="I1106" s="55">
        <v>0</v>
      </c>
      <c r="J1106" s="53" t="s">
        <v>4927</v>
      </c>
      <c r="K1106" s="53" t="s">
        <v>5833</v>
      </c>
      <c r="L1106" s="53" t="s">
        <v>4686</v>
      </c>
    </row>
    <row r="1107" spans="1:12" ht="15" customHeight="1" x14ac:dyDescent="0.35">
      <c r="A1107" s="53" t="s">
        <v>3549</v>
      </c>
      <c r="B1107" s="53" t="s">
        <v>1143</v>
      </c>
      <c r="C1107" s="55">
        <v>0</v>
      </c>
      <c r="D1107" s="55">
        <v>0</v>
      </c>
      <c r="E1107" s="53">
        <v>1</v>
      </c>
      <c r="F1107" s="53">
        <v>0</v>
      </c>
      <c r="G1107" s="55">
        <v>0</v>
      </c>
      <c r="H1107" s="55">
        <v>0</v>
      </c>
      <c r="I1107" s="55">
        <v>0</v>
      </c>
      <c r="J1107" s="53" t="s">
        <v>4770</v>
      </c>
      <c r="K1107" s="53" t="s">
        <v>5834</v>
      </c>
      <c r="L1107" s="53" t="s">
        <v>4686</v>
      </c>
    </row>
    <row r="1108" spans="1:12" ht="15" customHeight="1" x14ac:dyDescent="0.35">
      <c r="A1108" s="53" t="s">
        <v>3550</v>
      </c>
      <c r="B1108" s="53" t="s">
        <v>1143</v>
      </c>
      <c r="C1108" s="55">
        <v>0</v>
      </c>
      <c r="D1108" s="55">
        <v>0</v>
      </c>
      <c r="E1108" s="53">
        <v>1</v>
      </c>
      <c r="F1108" s="53">
        <v>0</v>
      </c>
      <c r="G1108" s="55">
        <v>0</v>
      </c>
      <c r="H1108" s="55">
        <v>0</v>
      </c>
      <c r="I1108" s="55">
        <v>0</v>
      </c>
      <c r="J1108" s="53" t="s">
        <v>4770</v>
      </c>
      <c r="K1108" s="53" t="s">
        <v>5835</v>
      </c>
      <c r="L1108" s="53" t="s">
        <v>4686</v>
      </c>
    </row>
    <row r="1109" spans="1:12" ht="15" customHeight="1" x14ac:dyDescent="0.35">
      <c r="A1109" s="53" t="s">
        <v>3551</v>
      </c>
      <c r="B1109" s="53" t="s">
        <v>1659</v>
      </c>
      <c r="C1109" s="55">
        <v>0</v>
      </c>
      <c r="D1109" s="55">
        <v>0</v>
      </c>
      <c r="E1109" s="53">
        <v>1</v>
      </c>
      <c r="F1109" s="53">
        <v>0</v>
      </c>
      <c r="G1109" s="55">
        <v>0</v>
      </c>
      <c r="H1109" s="55">
        <v>0</v>
      </c>
      <c r="I1109" s="55">
        <v>0</v>
      </c>
      <c r="J1109" s="53" t="s">
        <v>5067</v>
      </c>
      <c r="K1109" s="53" t="s">
        <v>5836</v>
      </c>
      <c r="L1109" s="53" t="s">
        <v>4686</v>
      </c>
    </row>
    <row r="1110" spans="1:12" ht="15" customHeight="1" x14ac:dyDescent="0.35">
      <c r="A1110" s="53" t="s">
        <v>3552</v>
      </c>
      <c r="B1110" s="53" t="s">
        <v>1077</v>
      </c>
      <c r="C1110" s="55">
        <v>0</v>
      </c>
      <c r="D1110" s="55">
        <v>0</v>
      </c>
      <c r="E1110" s="53">
        <v>1</v>
      </c>
      <c r="F1110" s="53">
        <v>0</v>
      </c>
      <c r="G1110" s="55">
        <v>0</v>
      </c>
      <c r="H1110" s="55">
        <v>0</v>
      </c>
      <c r="I1110" s="55">
        <v>0</v>
      </c>
      <c r="J1110" s="53" t="s">
        <v>4770</v>
      </c>
      <c r="K1110" s="53" t="s">
        <v>5837</v>
      </c>
      <c r="L1110" s="53" t="s">
        <v>4686</v>
      </c>
    </row>
    <row r="1111" spans="1:12" ht="15" customHeight="1" x14ac:dyDescent="0.35">
      <c r="A1111" s="53" t="s">
        <v>3553</v>
      </c>
      <c r="B1111" s="53" t="s">
        <v>963</v>
      </c>
      <c r="C1111" s="55">
        <v>0</v>
      </c>
      <c r="D1111" s="55">
        <v>0</v>
      </c>
      <c r="E1111" s="53">
        <v>1</v>
      </c>
      <c r="F1111" s="53">
        <v>0</v>
      </c>
      <c r="G1111" s="55">
        <v>0</v>
      </c>
      <c r="H1111" s="55">
        <v>0</v>
      </c>
      <c r="I1111" s="55">
        <v>0</v>
      </c>
      <c r="J1111" s="53" t="s">
        <v>4770</v>
      </c>
      <c r="K1111" s="53" t="s">
        <v>5838</v>
      </c>
      <c r="L1111" s="53" t="s">
        <v>4686</v>
      </c>
    </row>
    <row r="1112" spans="1:12" ht="15" customHeight="1" x14ac:dyDescent="0.35">
      <c r="A1112" s="53" t="s">
        <v>3554</v>
      </c>
      <c r="B1112" s="53" t="s">
        <v>909</v>
      </c>
      <c r="C1112" s="55">
        <v>0</v>
      </c>
      <c r="D1112" s="55">
        <v>0</v>
      </c>
      <c r="E1112" s="53">
        <v>1</v>
      </c>
      <c r="F1112" s="53">
        <v>0</v>
      </c>
      <c r="G1112" s="55">
        <v>0</v>
      </c>
      <c r="H1112" s="55">
        <v>0</v>
      </c>
      <c r="I1112" s="55">
        <v>0</v>
      </c>
      <c r="J1112" s="53" t="s">
        <v>4927</v>
      </c>
      <c r="K1112" s="53" t="s">
        <v>5839</v>
      </c>
      <c r="L1112" s="53" t="s">
        <v>4686</v>
      </c>
    </row>
    <row r="1113" spans="1:12" ht="15" customHeight="1" x14ac:dyDescent="0.35">
      <c r="A1113" s="53" t="s">
        <v>3555</v>
      </c>
      <c r="B1113" s="53" t="s">
        <v>1240</v>
      </c>
      <c r="C1113" s="55">
        <v>0</v>
      </c>
      <c r="D1113" s="55">
        <v>0</v>
      </c>
      <c r="E1113" s="53">
        <v>1</v>
      </c>
      <c r="F1113" s="53">
        <v>0</v>
      </c>
      <c r="G1113" s="55">
        <v>0</v>
      </c>
      <c r="H1113" s="55">
        <v>0</v>
      </c>
      <c r="I1113" s="55">
        <v>0</v>
      </c>
      <c r="J1113" s="53" t="s">
        <v>4927</v>
      </c>
      <c r="K1113" s="53" t="s">
        <v>5840</v>
      </c>
      <c r="L1113" s="53" t="s">
        <v>4686</v>
      </c>
    </row>
    <row r="1114" spans="1:12" ht="15" customHeight="1" x14ac:dyDescent="0.35">
      <c r="A1114" s="53" t="s">
        <v>3556</v>
      </c>
      <c r="B1114" s="53" t="s">
        <v>1817</v>
      </c>
      <c r="C1114" s="55">
        <v>0</v>
      </c>
      <c r="D1114" s="55">
        <v>0</v>
      </c>
      <c r="E1114" s="53">
        <v>1</v>
      </c>
      <c r="F1114" s="53">
        <v>0</v>
      </c>
      <c r="G1114" s="55">
        <v>0</v>
      </c>
      <c r="H1114" s="55">
        <v>0</v>
      </c>
      <c r="I1114" s="55">
        <v>0</v>
      </c>
      <c r="J1114" s="53" t="s">
        <v>5067</v>
      </c>
      <c r="K1114" s="53" t="s">
        <v>5841</v>
      </c>
      <c r="L1114" s="53" t="s">
        <v>4686</v>
      </c>
    </row>
    <row r="1115" spans="1:12" ht="15" customHeight="1" x14ac:dyDescent="0.35">
      <c r="A1115" s="53" t="s">
        <v>3557</v>
      </c>
      <c r="B1115" s="53" t="s">
        <v>905</v>
      </c>
      <c r="C1115" s="55">
        <v>0</v>
      </c>
      <c r="D1115" s="55">
        <v>0</v>
      </c>
      <c r="E1115" s="53">
        <v>1</v>
      </c>
      <c r="F1115" s="53">
        <v>0</v>
      </c>
      <c r="G1115" s="55">
        <v>0</v>
      </c>
      <c r="H1115" s="55">
        <v>0</v>
      </c>
      <c r="I1115" s="55">
        <v>0</v>
      </c>
      <c r="J1115" s="53" t="s">
        <v>4770</v>
      </c>
      <c r="K1115" s="53" t="s">
        <v>5842</v>
      </c>
      <c r="L1115" s="53" t="s">
        <v>4686</v>
      </c>
    </row>
    <row r="1116" spans="1:12" ht="15" customHeight="1" x14ac:dyDescent="0.35">
      <c r="A1116" s="53" t="s">
        <v>3558</v>
      </c>
      <c r="B1116" s="53" t="s">
        <v>921</v>
      </c>
      <c r="C1116" s="55">
        <v>0</v>
      </c>
      <c r="D1116" s="55">
        <v>0</v>
      </c>
      <c r="E1116" s="53">
        <v>1</v>
      </c>
      <c r="F1116" s="53">
        <v>0</v>
      </c>
      <c r="G1116" s="55">
        <v>0</v>
      </c>
      <c r="H1116" s="55">
        <v>0</v>
      </c>
      <c r="I1116" s="55">
        <v>0</v>
      </c>
      <c r="J1116" s="53" t="s">
        <v>5359</v>
      </c>
      <c r="K1116" s="53" t="s">
        <v>5843</v>
      </c>
      <c r="L1116" s="53" t="s">
        <v>4686</v>
      </c>
    </row>
    <row r="1117" spans="1:12" ht="15" customHeight="1" x14ac:dyDescent="0.35">
      <c r="A1117" s="53" t="s">
        <v>3559</v>
      </c>
      <c r="B1117" s="53" t="s">
        <v>1240</v>
      </c>
      <c r="C1117" s="55">
        <v>0</v>
      </c>
      <c r="D1117" s="55">
        <v>0</v>
      </c>
      <c r="E1117" s="53">
        <v>1</v>
      </c>
      <c r="F1117" s="53">
        <v>0</v>
      </c>
      <c r="G1117" s="55">
        <v>0</v>
      </c>
      <c r="H1117" s="55">
        <v>0</v>
      </c>
      <c r="I1117" s="55">
        <v>0</v>
      </c>
      <c r="J1117" s="53" t="s">
        <v>4927</v>
      </c>
      <c r="K1117" s="53" t="s">
        <v>5844</v>
      </c>
      <c r="L1117" s="53" t="s">
        <v>4686</v>
      </c>
    </row>
    <row r="1118" spans="1:12" ht="15" customHeight="1" x14ac:dyDescent="0.35">
      <c r="A1118" s="53" t="s">
        <v>3560</v>
      </c>
      <c r="B1118" s="53" t="s">
        <v>1143</v>
      </c>
      <c r="C1118" s="55">
        <v>0</v>
      </c>
      <c r="D1118" s="55">
        <v>0</v>
      </c>
      <c r="E1118" s="53">
        <v>1</v>
      </c>
      <c r="F1118" s="53">
        <v>0</v>
      </c>
      <c r="G1118" s="55">
        <v>0</v>
      </c>
      <c r="H1118" s="55">
        <v>0</v>
      </c>
      <c r="I1118" s="55">
        <v>0</v>
      </c>
      <c r="J1118" s="53" t="s">
        <v>4770</v>
      </c>
      <c r="K1118" s="53" t="s">
        <v>5845</v>
      </c>
      <c r="L1118" s="53" t="s">
        <v>4686</v>
      </c>
    </row>
    <row r="1119" spans="1:12" ht="15" customHeight="1" x14ac:dyDescent="0.35">
      <c r="A1119" s="53" t="s">
        <v>3561</v>
      </c>
      <c r="B1119" s="53" t="s">
        <v>1118</v>
      </c>
      <c r="C1119" s="55">
        <v>0</v>
      </c>
      <c r="D1119" s="55">
        <v>0</v>
      </c>
      <c r="E1119" s="53">
        <v>1</v>
      </c>
      <c r="F1119" s="53">
        <v>0</v>
      </c>
      <c r="G1119" s="55">
        <v>0</v>
      </c>
      <c r="H1119" s="55">
        <v>0</v>
      </c>
      <c r="I1119" s="55">
        <v>0</v>
      </c>
      <c r="J1119" s="53" t="s">
        <v>5220</v>
      </c>
      <c r="K1119" s="53" t="s">
        <v>5846</v>
      </c>
      <c r="L1119" s="53" t="s">
        <v>4686</v>
      </c>
    </row>
    <row r="1120" spans="1:12" ht="15" customHeight="1" x14ac:dyDescent="0.35">
      <c r="A1120" s="53" t="s">
        <v>3562</v>
      </c>
      <c r="B1120" s="53" t="s">
        <v>989</v>
      </c>
      <c r="C1120" s="55">
        <v>0</v>
      </c>
      <c r="D1120" s="55">
        <v>0</v>
      </c>
      <c r="E1120" s="53">
        <v>1</v>
      </c>
      <c r="F1120" s="53">
        <v>0</v>
      </c>
      <c r="G1120" s="55">
        <v>0</v>
      </c>
      <c r="H1120" s="55">
        <v>0</v>
      </c>
      <c r="I1120" s="55">
        <v>0</v>
      </c>
      <c r="J1120" s="53" t="s">
        <v>5099</v>
      </c>
      <c r="K1120" s="53" t="s">
        <v>5847</v>
      </c>
      <c r="L1120" s="53" t="s">
        <v>4686</v>
      </c>
    </row>
    <row r="1121" spans="1:12" ht="15" customHeight="1" x14ac:dyDescent="0.35">
      <c r="A1121" s="53" t="s">
        <v>3563</v>
      </c>
      <c r="B1121" s="53" t="s">
        <v>959</v>
      </c>
      <c r="C1121" s="55">
        <v>0</v>
      </c>
      <c r="D1121" s="55">
        <v>0</v>
      </c>
      <c r="E1121" s="53">
        <v>1</v>
      </c>
      <c r="F1121" s="53">
        <v>0</v>
      </c>
      <c r="G1121" s="55">
        <v>0</v>
      </c>
      <c r="H1121" s="55">
        <v>0</v>
      </c>
      <c r="I1121" s="55">
        <v>0</v>
      </c>
      <c r="J1121" s="53" t="s">
        <v>4770</v>
      </c>
      <c r="K1121" s="53" t="s">
        <v>5848</v>
      </c>
      <c r="L1121" s="53" t="s">
        <v>4686</v>
      </c>
    </row>
    <row r="1122" spans="1:12" ht="15" customHeight="1" x14ac:dyDescent="0.35">
      <c r="A1122" s="53" t="s">
        <v>3564</v>
      </c>
      <c r="B1122" s="53" t="s">
        <v>1494</v>
      </c>
      <c r="C1122" s="55">
        <v>0</v>
      </c>
      <c r="D1122" s="55">
        <v>0</v>
      </c>
      <c r="E1122" s="53">
        <v>1</v>
      </c>
      <c r="F1122" s="53">
        <v>0</v>
      </c>
      <c r="G1122" s="55">
        <v>0</v>
      </c>
      <c r="H1122" s="55">
        <v>0</v>
      </c>
      <c r="I1122" s="55">
        <v>0</v>
      </c>
      <c r="J1122" s="53" t="s">
        <v>5067</v>
      </c>
      <c r="K1122" s="53" t="s">
        <v>5849</v>
      </c>
      <c r="L1122" s="53" t="s">
        <v>4686</v>
      </c>
    </row>
    <row r="1123" spans="1:12" ht="15" customHeight="1" x14ac:dyDescent="0.35">
      <c r="A1123" s="53" t="s">
        <v>3565</v>
      </c>
      <c r="B1123" s="53" t="s">
        <v>898</v>
      </c>
      <c r="C1123" s="55">
        <v>0</v>
      </c>
      <c r="D1123" s="55">
        <v>0</v>
      </c>
      <c r="E1123" s="53">
        <v>1</v>
      </c>
      <c r="F1123" s="53">
        <v>0</v>
      </c>
      <c r="G1123" s="55">
        <v>0</v>
      </c>
      <c r="H1123" s="55">
        <v>0</v>
      </c>
      <c r="I1123" s="55">
        <v>0</v>
      </c>
      <c r="J1123" s="53" t="s">
        <v>5067</v>
      </c>
      <c r="K1123" s="53" t="s">
        <v>5850</v>
      </c>
      <c r="L1123" s="53" t="s">
        <v>4686</v>
      </c>
    </row>
    <row r="1124" spans="1:12" ht="15" customHeight="1" x14ac:dyDescent="0.35">
      <c r="A1124" s="53" t="s">
        <v>3566</v>
      </c>
      <c r="B1124" s="53" t="s">
        <v>1084</v>
      </c>
      <c r="C1124" s="55">
        <v>0</v>
      </c>
      <c r="D1124" s="55">
        <v>0</v>
      </c>
      <c r="E1124" s="53">
        <v>1</v>
      </c>
      <c r="F1124" s="53">
        <v>0</v>
      </c>
      <c r="G1124" s="55">
        <v>0</v>
      </c>
      <c r="H1124" s="55">
        <v>0</v>
      </c>
      <c r="I1124" s="55">
        <v>0</v>
      </c>
      <c r="J1124" s="53" t="s">
        <v>4770</v>
      </c>
      <c r="K1124" s="53" t="s">
        <v>5851</v>
      </c>
      <c r="L1124" s="53" t="s">
        <v>4686</v>
      </c>
    </row>
    <row r="1125" spans="1:12" ht="15" customHeight="1" x14ac:dyDescent="0.35">
      <c r="A1125" s="53" t="s">
        <v>3567</v>
      </c>
      <c r="B1125" s="53" t="s">
        <v>2971</v>
      </c>
      <c r="C1125" s="55">
        <v>0</v>
      </c>
      <c r="D1125" s="55">
        <v>0</v>
      </c>
      <c r="E1125" s="53">
        <v>1</v>
      </c>
      <c r="F1125" s="53">
        <v>0</v>
      </c>
      <c r="G1125" s="55">
        <v>0</v>
      </c>
      <c r="H1125" s="55">
        <v>0</v>
      </c>
      <c r="I1125" s="55">
        <v>0</v>
      </c>
      <c r="J1125" s="53" t="s">
        <v>5067</v>
      </c>
      <c r="K1125" s="53" t="s">
        <v>5852</v>
      </c>
      <c r="L1125" s="53" t="s">
        <v>4871</v>
      </c>
    </row>
    <row r="1126" spans="1:12" ht="15" customHeight="1" x14ac:dyDescent="0.35">
      <c r="A1126" s="53" t="s">
        <v>3568</v>
      </c>
      <c r="B1126" s="53" t="s">
        <v>959</v>
      </c>
      <c r="C1126" s="55">
        <v>0</v>
      </c>
      <c r="D1126" s="55">
        <v>0</v>
      </c>
      <c r="E1126" s="53">
        <v>1</v>
      </c>
      <c r="F1126" s="53">
        <v>0</v>
      </c>
      <c r="G1126" s="55">
        <v>0</v>
      </c>
      <c r="H1126" s="55">
        <v>0</v>
      </c>
      <c r="I1126" s="55">
        <v>0</v>
      </c>
      <c r="J1126" s="53" t="s">
        <v>4770</v>
      </c>
      <c r="K1126" s="53" t="s">
        <v>5853</v>
      </c>
      <c r="L1126" s="53" t="s">
        <v>4871</v>
      </c>
    </row>
    <row r="1127" spans="1:12" ht="15" customHeight="1" x14ac:dyDescent="0.35">
      <c r="A1127" s="53" t="s">
        <v>3569</v>
      </c>
      <c r="B1127" s="53" t="s">
        <v>905</v>
      </c>
      <c r="C1127" s="55">
        <v>0</v>
      </c>
      <c r="D1127" s="55">
        <v>0</v>
      </c>
      <c r="E1127" s="53">
        <v>1</v>
      </c>
      <c r="F1127" s="53">
        <v>0</v>
      </c>
      <c r="G1127" s="55">
        <v>0</v>
      </c>
      <c r="H1127" s="55">
        <v>0</v>
      </c>
      <c r="I1127" s="55">
        <v>0</v>
      </c>
      <c r="J1127" s="53" t="s">
        <v>5220</v>
      </c>
      <c r="K1127" s="53" t="s">
        <v>5854</v>
      </c>
      <c r="L1127" s="53" t="s">
        <v>4871</v>
      </c>
    </row>
    <row r="1128" spans="1:12" ht="15" customHeight="1" x14ac:dyDescent="0.35">
      <c r="A1128" s="53" t="s">
        <v>3570</v>
      </c>
      <c r="B1128" s="53" t="s">
        <v>1077</v>
      </c>
      <c r="C1128" s="55">
        <v>0</v>
      </c>
      <c r="D1128" s="55">
        <v>0</v>
      </c>
      <c r="E1128" s="53">
        <v>1</v>
      </c>
      <c r="F1128" s="53">
        <v>0</v>
      </c>
      <c r="G1128" s="55">
        <v>0</v>
      </c>
      <c r="H1128" s="55">
        <v>0</v>
      </c>
      <c r="I1128" s="55">
        <v>0</v>
      </c>
      <c r="J1128" s="53" t="s">
        <v>4770</v>
      </c>
      <c r="K1128" s="53" t="s">
        <v>5855</v>
      </c>
      <c r="L1128" s="53" t="s">
        <v>4871</v>
      </c>
    </row>
    <row r="1129" spans="1:12" ht="15" customHeight="1" x14ac:dyDescent="0.35">
      <c r="A1129" s="53" t="s">
        <v>3571</v>
      </c>
      <c r="B1129" s="53" t="s">
        <v>909</v>
      </c>
      <c r="C1129" s="55">
        <v>0</v>
      </c>
      <c r="D1129" s="55">
        <v>0</v>
      </c>
      <c r="E1129" s="53">
        <v>1</v>
      </c>
      <c r="F1129" s="53">
        <v>0</v>
      </c>
      <c r="G1129" s="55">
        <v>0</v>
      </c>
      <c r="H1129" s="55">
        <v>0</v>
      </c>
      <c r="I1129" s="55">
        <v>0</v>
      </c>
      <c r="J1129" s="53" t="s">
        <v>4770</v>
      </c>
      <c r="K1129" s="53" t="s">
        <v>5856</v>
      </c>
      <c r="L1129" s="53" t="s">
        <v>4871</v>
      </c>
    </row>
    <row r="1130" spans="1:12" ht="15" customHeight="1" x14ac:dyDescent="0.35">
      <c r="A1130" s="53" t="s">
        <v>3572</v>
      </c>
      <c r="B1130" s="53" t="s">
        <v>1101</v>
      </c>
      <c r="C1130" s="55">
        <v>0</v>
      </c>
      <c r="D1130" s="55">
        <v>0</v>
      </c>
      <c r="E1130" s="53">
        <v>1</v>
      </c>
      <c r="F1130" s="53">
        <v>0</v>
      </c>
      <c r="G1130" s="55">
        <v>0</v>
      </c>
      <c r="H1130" s="55">
        <v>0</v>
      </c>
      <c r="I1130" s="55">
        <v>0</v>
      </c>
      <c r="J1130" s="53" t="s">
        <v>4684</v>
      </c>
      <c r="K1130" s="53" t="s">
        <v>5857</v>
      </c>
      <c r="L1130" s="53" t="s">
        <v>4871</v>
      </c>
    </row>
    <row r="1131" spans="1:12" ht="15" customHeight="1" x14ac:dyDescent="0.35">
      <c r="A1131" s="53" t="s">
        <v>3573</v>
      </c>
      <c r="B1131" s="53" t="s">
        <v>1077</v>
      </c>
      <c r="C1131" s="55">
        <v>0</v>
      </c>
      <c r="D1131" s="55">
        <v>0</v>
      </c>
      <c r="E1131" s="53">
        <v>1</v>
      </c>
      <c r="F1131" s="53">
        <v>0</v>
      </c>
      <c r="G1131" s="55">
        <v>0</v>
      </c>
      <c r="H1131" s="55">
        <v>0</v>
      </c>
      <c r="I1131" s="55">
        <v>0</v>
      </c>
      <c r="J1131" s="53" t="s">
        <v>4770</v>
      </c>
      <c r="K1131" s="53" t="s">
        <v>5858</v>
      </c>
      <c r="L1131" s="53" t="s">
        <v>4871</v>
      </c>
    </row>
    <row r="1132" spans="1:12" ht="15" customHeight="1" x14ac:dyDescent="0.35">
      <c r="A1132" s="53" t="s">
        <v>3574</v>
      </c>
      <c r="B1132" s="53" t="s">
        <v>921</v>
      </c>
      <c r="C1132" s="55">
        <v>0</v>
      </c>
      <c r="D1132" s="55">
        <v>0</v>
      </c>
      <c r="E1132" s="53">
        <v>1</v>
      </c>
      <c r="F1132" s="53">
        <v>1</v>
      </c>
      <c r="G1132" s="55">
        <v>1</v>
      </c>
      <c r="H1132" s="55">
        <v>0</v>
      </c>
      <c r="I1132" s="55">
        <v>0</v>
      </c>
      <c r="J1132" s="53" t="s">
        <v>4927</v>
      </c>
      <c r="K1132" s="53" t="s">
        <v>5859</v>
      </c>
      <c r="L1132" s="53" t="s">
        <v>4871</v>
      </c>
    </row>
    <row r="1133" spans="1:12" ht="15" customHeight="1" x14ac:dyDescent="0.35">
      <c r="A1133" s="53" t="s">
        <v>3575</v>
      </c>
      <c r="B1133" s="53" t="s">
        <v>921</v>
      </c>
      <c r="C1133" s="55">
        <v>0</v>
      </c>
      <c r="D1133" s="55">
        <v>0</v>
      </c>
      <c r="E1133" s="53">
        <v>1</v>
      </c>
      <c r="F1133" s="53">
        <v>0</v>
      </c>
      <c r="G1133" s="55">
        <v>0</v>
      </c>
      <c r="H1133" s="55">
        <v>0</v>
      </c>
      <c r="I1133" s="55">
        <v>0</v>
      </c>
      <c r="J1133" s="53" t="s">
        <v>5220</v>
      </c>
      <c r="K1133" s="53" t="s">
        <v>5221</v>
      </c>
      <c r="L1133" s="53" t="s">
        <v>4871</v>
      </c>
    </row>
    <row r="1134" spans="1:12" ht="15" customHeight="1" x14ac:dyDescent="0.35">
      <c r="A1134" s="53" t="s">
        <v>3576</v>
      </c>
      <c r="B1134" s="53" t="s">
        <v>1143</v>
      </c>
      <c r="C1134" s="55">
        <v>0</v>
      </c>
      <c r="D1134" s="55">
        <v>0</v>
      </c>
      <c r="E1134" s="53">
        <v>1</v>
      </c>
      <c r="F1134" s="53">
        <v>1</v>
      </c>
      <c r="G1134" s="55">
        <v>1</v>
      </c>
      <c r="H1134" s="55">
        <v>0</v>
      </c>
      <c r="I1134" s="55">
        <v>0</v>
      </c>
      <c r="J1134" s="53" t="s">
        <v>4770</v>
      </c>
      <c r="K1134" s="53" t="s">
        <v>5860</v>
      </c>
      <c r="L1134" s="53" t="s">
        <v>4871</v>
      </c>
    </row>
    <row r="1135" spans="1:12" ht="15" customHeight="1" x14ac:dyDescent="0.35">
      <c r="A1135" s="53" t="s">
        <v>3577</v>
      </c>
      <c r="B1135" s="53" t="s">
        <v>946</v>
      </c>
      <c r="C1135" s="55">
        <v>0</v>
      </c>
      <c r="D1135" s="55">
        <v>0</v>
      </c>
      <c r="E1135" s="53">
        <v>1</v>
      </c>
      <c r="F1135" s="53">
        <v>0</v>
      </c>
      <c r="G1135" s="55">
        <v>0</v>
      </c>
      <c r="H1135" s="55">
        <v>0</v>
      </c>
      <c r="I1135" s="55">
        <v>0</v>
      </c>
      <c r="J1135" s="53" t="s">
        <v>5316</v>
      </c>
      <c r="K1135" s="53" t="s">
        <v>5861</v>
      </c>
      <c r="L1135" s="53" t="s">
        <v>4871</v>
      </c>
    </row>
    <row r="1136" spans="1:12" ht="15" customHeight="1" x14ac:dyDescent="0.35">
      <c r="A1136" s="53" t="s">
        <v>3578</v>
      </c>
      <c r="B1136" s="53" t="s">
        <v>1009</v>
      </c>
      <c r="C1136" s="55">
        <v>0</v>
      </c>
      <c r="D1136" s="55">
        <v>0</v>
      </c>
      <c r="E1136" s="53">
        <v>1</v>
      </c>
      <c r="F1136" s="53">
        <v>0</v>
      </c>
      <c r="G1136" s="55">
        <v>0</v>
      </c>
      <c r="H1136" s="55">
        <v>0</v>
      </c>
      <c r="I1136" s="55">
        <v>0</v>
      </c>
      <c r="J1136" s="53" t="s">
        <v>4927</v>
      </c>
      <c r="K1136" s="53" t="s">
        <v>5862</v>
      </c>
      <c r="L1136" s="53" t="s">
        <v>4871</v>
      </c>
    </row>
    <row r="1137" spans="1:12" ht="15" customHeight="1" x14ac:dyDescent="0.35">
      <c r="A1137" s="53" t="s">
        <v>3579</v>
      </c>
      <c r="B1137" s="53" t="s">
        <v>909</v>
      </c>
      <c r="C1137" s="55">
        <v>0</v>
      </c>
      <c r="D1137" s="55">
        <v>0</v>
      </c>
      <c r="E1137" s="53">
        <v>1</v>
      </c>
      <c r="F1137" s="53">
        <v>0</v>
      </c>
      <c r="G1137" s="55">
        <v>0</v>
      </c>
      <c r="H1137" s="55">
        <v>0</v>
      </c>
      <c r="I1137" s="55">
        <v>0</v>
      </c>
      <c r="J1137" s="53" t="s">
        <v>4927</v>
      </c>
      <c r="K1137" s="53" t="s">
        <v>5863</v>
      </c>
      <c r="L1137" s="53" t="s">
        <v>4871</v>
      </c>
    </row>
    <row r="1138" spans="1:12" ht="15" customHeight="1" x14ac:dyDescent="0.35">
      <c r="A1138" s="53" t="s">
        <v>3580</v>
      </c>
      <c r="B1138" s="53" t="s">
        <v>1240</v>
      </c>
      <c r="C1138" s="55">
        <v>0</v>
      </c>
      <c r="D1138" s="55">
        <v>0</v>
      </c>
      <c r="E1138" s="53">
        <v>1</v>
      </c>
      <c r="F1138" s="53">
        <v>0</v>
      </c>
      <c r="G1138" s="55">
        <v>0</v>
      </c>
      <c r="H1138" s="55">
        <v>0</v>
      </c>
      <c r="I1138" s="55">
        <v>0</v>
      </c>
      <c r="J1138" s="53" t="s">
        <v>5067</v>
      </c>
      <c r="K1138" s="53" t="s">
        <v>5864</v>
      </c>
      <c r="L1138" s="53" t="s">
        <v>4871</v>
      </c>
    </row>
    <row r="1139" spans="1:12" ht="15" customHeight="1" x14ac:dyDescent="0.35">
      <c r="A1139" s="53" t="s">
        <v>3581</v>
      </c>
      <c r="B1139" s="53" t="s">
        <v>909</v>
      </c>
      <c r="C1139" s="55">
        <v>0</v>
      </c>
      <c r="D1139" s="55">
        <v>0</v>
      </c>
      <c r="E1139" s="53">
        <v>1</v>
      </c>
      <c r="F1139" s="53">
        <v>0</v>
      </c>
      <c r="G1139" s="55">
        <v>0</v>
      </c>
      <c r="H1139" s="55">
        <v>0</v>
      </c>
      <c r="I1139" s="55">
        <v>0</v>
      </c>
      <c r="J1139" s="53" t="s">
        <v>5306</v>
      </c>
      <c r="K1139" s="53" t="s">
        <v>5865</v>
      </c>
      <c r="L1139" s="53" t="s">
        <v>4871</v>
      </c>
    </row>
    <row r="1140" spans="1:12" ht="15" customHeight="1" x14ac:dyDescent="0.35">
      <c r="A1140" s="53" t="s">
        <v>3582</v>
      </c>
      <c r="B1140" s="53" t="s">
        <v>1050</v>
      </c>
      <c r="C1140" s="55">
        <v>0</v>
      </c>
      <c r="D1140" s="55">
        <v>0</v>
      </c>
      <c r="E1140" s="53">
        <v>1</v>
      </c>
      <c r="F1140" s="53">
        <v>0</v>
      </c>
      <c r="G1140" s="55">
        <v>0</v>
      </c>
      <c r="H1140" s="55">
        <v>0</v>
      </c>
      <c r="I1140" s="55">
        <v>0</v>
      </c>
      <c r="J1140" s="53" t="s">
        <v>4684</v>
      </c>
      <c r="K1140" s="53" t="s">
        <v>5866</v>
      </c>
      <c r="L1140" s="53" t="s">
        <v>4871</v>
      </c>
    </row>
    <row r="1141" spans="1:12" ht="15" customHeight="1" x14ac:dyDescent="0.35">
      <c r="A1141" s="53" t="s">
        <v>3583</v>
      </c>
      <c r="B1141" s="53" t="s">
        <v>963</v>
      </c>
      <c r="C1141" s="55">
        <v>0</v>
      </c>
      <c r="D1141" s="55">
        <v>0</v>
      </c>
      <c r="E1141" s="53">
        <v>1</v>
      </c>
      <c r="F1141" s="53">
        <v>0</v>
      </c>
      <c r="G1141" s="55">
        <v>0</v>
      </c>
      <c r="H1141" s="55">
        <v>0</v>
      </c>
      <c r="I1141" s="55">
        <v>0</v>
      </c>
      <c r="J1141" s="53" t="s">
        <v>4770</v>
      </c>
      <c r="K1141" s="53" t="s">
        <v>5867</v>
      </c>
      <c r="L1141" s="53" t="s">
        <v>4871</v>
      </c>
    </row>
    <row r="1142" spans="1:12" ht="15" customHeight="1" x14ac:dyDescent="0.35">
      <c r="A1142" s="53" t="s">
        <v>3584</v>
      </c>
      <c r="B1142" s="53" t="s">
        <v>1077</v>
      </c>
      <c r="C1142" s="55">
        <v>0</v>
      </c>
      <c r="D1142" s="55">
        <v>0</v>
      </c>
      <c r="E1142" s="53">
        <v>1</v>
      </c>
      <c r="F1142" s="53">
        <v>0</v>
      </c>
      <c r="G1142" s="55">
        <v>0</v>
      </c>
      <c r="H1142" s="55">
        <v>0</v>
      </c>
      <c r="I1142" s="55">
        <v>0</v>
      </c>
      <c r="J1142" s="53" t="s">
        <v>5220</v>
      </c>
      <c r="K1142" s="53" t="s">
        <v>5868</v>
      </c>
      <c r="L1142" s="53" t="s">
        <v>4871</v>
      </c>
    </row>
    <row r="1143" spans="1:12" ht="15" customHeight="1" x14ac:dyDescent="0.35">
      <c r="A1143" s="53" t="s">
        <v>3585</v>
      </c>
      <c r="B1143" s="53" t="s">
        <v>921</v>
      </c>
      <c r="C1143" s="55">
        <v>0</v>
      </c>
      <c r="D1143" s="55">
        <v>0</v>
      </c>
      <c r="E1143" s="53">
        <v>1</v>
      </c>
      <c r="F1143" s="53">
        <v>0</v>
      </c>
      <c r="G1143" s="55">
        <v>0</v>
      </c>
      <c r="H1143" s="55">
        <v>0</v>
      </c>
      <c r="I1143" s="55">
        <v>0</v>
      </c>
      <c r="J1143" s="53" t="s">
        <v>5220</v>
      </c>
      <c r="K1143" s="53" t="s">
        <v>5869</v>
      </c>
      <c r="L1143" s="53" t="s">
        <v>4871</v>
      </c>
    </row>
    <row r="1144" spans="1:12" ht="15" customHeight="1" x14ac:dyDescent="0.35">
      <c r="A1144" s="53" t="s">
        <v>3586</v>
      </c>
      <c r="B1144" s="53" t="s">
        <v>921</v>
      </c>
      <c r="C1144" s="55">
        <v>0</v>
      </c>
      <c r="D1144" s="55">
        <v>0</v>
      </c>
      <c r="E1144" s="53">
        <v>1</v>
      </c>
      <c r="F1144" s="53">
        <v>0</v>
      </c>
      <c r="G1144" s="55">
        <v>0</v>
      </c>
      <c r="H1144" s="55">
        <v>0</v>
      </c>
      <c r="I1144" s="55">
        <v>0</v>
      </c>
      <c r="J1144" s="53" t="s">
        <v>5220</v>
      </c>
      <c r="K1144" s="53" t="s">
        <v>5870</v>
      </c>
      <c r="L1144" s="53" t="s">
        <v>4871</v>
      </c>
    </row>
    <row r="1145" spans="1:12" ht="15" customHeight="1" x14ac:dyDescent="0.35">
      <c r="A1145" s="53" t="s">
        <v>3587</v>
      </c>
      <c r="B1145" s="53" t="s">
        <v>1122</v>
      </c>
      <c r="C1145" s="55">
        <v>0</v>
      </c>
      <c r="D1145" s="55">
        <v>0</v>
      </c>
      <c r="E1145" s="53">
        <v>1</v>
      </c>
      <c r="F1145" s="53">
        <v>0</v>
      </c>
      <c r="G1145" s="55">
        <v>0</v>
      </c>
      <c r="H1145" s="55">
        <v>0</v>
      </c>
      <c r="I1145" s="55">
        <v>0</v>
      </c>
      <c r="J1145" s="53" t="s">
        <v>4770</v>
      </c>
      <c r="K1145" s="53" t="s">
        <v>5871</v>
      </c>
      <c r="L1145" s="53" t="s">
        <v>4871</v>
      </c>
    </row>
    <row r="1146" spans="1:12" ht="15" customHeight="1" x14ac:dyDescent="0.35">
      <c r="A1146" s="53" t="s">
        <v>3588</v>
      </c>
      <c r="B1146" s="53" t="s">
        <v>1240</v>
      </c>
      <c r="C1146" s="55">
        <v>0</v>
      </c>
      <c r="D1146" s="55">
        <v>0</v>
      </c>
      <c r="E1146" s="53">
        <v>1</v>
      </c>
      <c r="F1146" s="53">
        <v>0</v>
      </c>
      <c r="G1146" s="55">
        <v>0</v>
      </c>
      <c r="H1146" s="55">
        <v>0</v>
      </c>
      <c r="I1146" s="55">
        <v>0</v>
      </c>
      <c r="J1146" s="53" t="s">
        <v>4684</v>
      </c>
      <c r="K1146" s="53" t="s">
        <v>5872</v>
      </c>
      <c r="L1146" s="53" t="s">
        <v>4871</v>
      </c>
    </row>
    <row r="1147" spans="1:12" ht="15" customHeight="1" x14ac:dyDescent="0.35">
      <c r="A1147" s="53" t="s">
        <v>3589</v>
      </c>
      <c r="B1147" s="53" t="s">
        <v>1009</v>
      </c>
      <c r="C1147" s="55">
        <v>0</v>
      </c>
      <c r="D1147" s="55">
        <v>0</v>
      </c>
      <c r="E1147" s="53">
        <v>1</v>
      </c>
      <c r="F1147" s="53">
        <v>0</v>
      </c>
      <c r="G1147" s="55">
        <v>0</v>
      </c>
      <c r="H1147" s="55">
        <v>0</v>
      </c>
      <c r="I1147" s="55">
        <v>0</v>
      </c>
      <c r="J1147" s="53" t="s">
        <v>4927</v>
      </c>
      <c r="K1147" s="53" t="s">
        <v>5873</v>
      </c>
      <c r="L1147" s="53" t="s">
        <v>4871</v>
      </c>
    </row>
    <row r="1148" spans="1:12" ht="15" customHeight="1" x14ac:dyDescent="0.35">
      <c r="A1148" s="53" t="s">
        <v>3590</v>
      </c>
      <c r="B1148" s="53" t="s">
        <v>3591</v>
      </c>
      <c r="C1148" s="55">
        <v>0</v>
      </c>
      <c r="D1148" s="55">
        <v>0</v>
      </c>
      <c r="E1148" s="53">
        <v>1</v>
      </c>
      <c r="F1148" s="53">
        <v>0</v>
      </c>
      <c r="G1148" s="55">
        <v>0</v>
      </c>
      <c r="H1148" s="55">
        <v>0</v>
      </c>
      <c r="I1148" s="55">
        <v>0</v>
      </c>
      <c r="J1148" s="53" t="s">
        <v>4770</v>
      </c>
      <c r="K1148" s="53" t="s">
        <v>5874</v>
      </c>
      <c r="L1148" s="53" t="s">
        <v>4871</v>
      </c>
    </row>
    <row r="1149" spans="1:12" ht="15" customHeight="1" x14ac:dyDescent="0.35">
      <c r="A1149" s="53" t="s">
        <v>3592</v>
      </c>
      <c r="B1149" s="53" t="s">
        <v>1240</v>
      </c>
      <c r="C1149" s="55">
        <v>0</v>
      </c>
      <c r="D1149" s="55">
        <v>0</v>
      </c>
      <c r="E1149" s="53">
        <v>1</v>
      </c>
      <c r="F1149" s="53">
        <v>0</v>
      </c>
      <c r="G1149" s="55">
        <v>0</v>
      </c>
      <c r="H1149" s="55">
        <v>0</v>
      </c>
      <c r="I1149" s="55">
        <v>0</v>
      </c>
      <c r="J1149" s="53" t="s">
        <v>4684</v>
      </c>
      <c r="K1149" s="53" t="s">
        <v>5875</v>
      </c>
      <c r="L1149" s="53" t="s">
        <v>4871</v>
      </c>
    </row>
    <row r="1150" spans="1:12" ht="15" customHeight="1" x14ac:dyDescent="0.35">
      <c r="A1150" s="53" t="s">
        <v>3593</v>
      </c>
      <c r="B1150" s="53" t="s">
        <v>909</v>
      </c>
      <c r="C1150" s="55">
        <v>0</v>
      </c>
      <c r="D1150" s="55">
        <v>0</v>
      </c>
      <c r="E1150" s="53">
        <v>1</v>
      </c>
      <c r="F1150" s="53">
        <v>0</v>
      </c>
      <c r="G1150" s="55">
        <v>0</v>
      </c>
      <c r="H1150" s="55">
        <v>0</v>
      </c>
      <c r="I1150" s="55">
        <v>0</v>
      </c>
      <c r="J1150" s="53" t="s">
        <v>5099</v>
      </c>
      <c r="K1150" s="53" t="s">
        <v>5876</v>
      </c>
      <c r="L1150" s="53" t="s">
        <v>4871</v>
      </c>
    </row>
    <row r="1151" spans="1:12" ht="15" customHeight="1" x14ac:dyDescent="0.35">
      <c r="A1151" s="53" t="s">
        <v>3594</v>
      </c>
      <c r="B1151" s="53" t="s">
        <v>2971</v>
      </c>
      <c r="C1151" s="55">
        <v>0</v>
      </c>
      <c r="D1151" s="55">
        <v>0</v>
      </c>
      <c r="E1151" s="53">
        <v>1</v>
      </c>
      <c r="F1151" s="53">
        <v>0</v>
      </c>
      <c r="G1151" s="55">
        <v>0</v>
      </c>
      <c r="H1151" s="55">
        <v>0</v>
      </c>
      <c r="I1151" s="55">
        <v>0</v>
      </c>
      <c r="J1151" s="53" t="s">
        <v>4770</v>
      </c>
      <c r="K1151" s="53" t="s">
        <v>5877</v>
      </c>
      <c r="L1151" s="53" t="s">
        <v>4871</v>
      </c>
    </row>
    <row r="1152" spans="1:12" ht="15" customHeight="1" x14ac:dyDescent="0.35">
      <c r="A1152" s="53" t="s">
        <v>3595</v>
      </c>
      <c r="B1152" s="53" t="s">
        <v>1077</v>
      </c>
      <c r="C1152" s="55">
        <v>0</v>
      </c>
      <c r="D1152" s="55">
        <v>0</v>
      </c>
      <c r="E1152" s="53">
        <v>1</v>
      </c>
      <c r="F1152" s="53">
        <v>0</v>
      </c>
      <c r="G1152" s="55">
        <v>0</v>
      </c>
      <c r="H1152" s="55">
        <v>0</v>
      </c>
      <c r="I1152" s="55">
        <v>0</v>
      </c>
      <c r="J1152" s="53" t="s">
        <v>4770</v>
      </c>
      <c r="K1152" s="53" t="s">
        <v>5878</v>
      </c>
      <c r="L1152" s="53" t="s">
        <v>4871</v>
      </c>
    </row>
    <row r="1153" spans="1:12" ht="15" customHeight="1" x14ac:dyDescent="0.35">
      <c r="A1153" s="53" t="s">
        <v>3596</v>
      </c>
      <c r="B1153" s="53" t="s">
        <v>1817</v>
      </c>
      <c r="C1153" s="55">
        <v>0</v>
      </c>
      <c r="D1153" s="55">
        <v>0</v>
      </c>
      <c r="E1153" s="53">
        <v>1</v>
      </c>
      <c r="F1153" s="53">
        <v>0</v>
      </c>
      <c r="G1153" s="55">
        <v>0</v>
      </c>
      <c r="H1153" s="55">
        <v>0</v>
      </c>
      <c r="I1153" s="55">
        <v>0</v>
      </c>
      <c r="J1153" s="53" t="s">
        <v>4927</v>
      </c>
      <c r="K1153" s="53" t="s">
        <v>5879</v>
      </c>
      <c r="L1153" s="53" t="s">
        <v>4871</v>
      </c>
    </row>
    <row r="1154" spans="1:12" ht="15" customHeight="1" x14ac:dyDescent="0.35">
      <c r="A1154" s="53" t="s">
        <v>3597</v>
      </c>
      <c r="B1154" s="53" t="s">
        <v>909</v>
      </c>
      <c r="C1154" s="55">
        <v>0</v>
      </c>
      <c r="D1154" s="55">
        <v>0</v>
      </c>
      <c r="E1154" s="53">
        <v>1</v>
      </c>
      <c r="F1154" s="53">
        <v>0</v>
      </c>
      <c r="G1154" s="55">
        <v>0</v>
      </c>
      <c r="H1154" s="55">
        <v>0</v>
      </c>
      <c r="I1154" s="55">
        <v>0</v>
      </c>
      <c r="J1154" s="53" t="s">
        <v>4770</v>
      </c>
      <c r="K1154" s="53" t="s">
        <v>5880</v>
      </c>
      <c r="L1154" s="53" t="s">
        <v>4871</v>
      </c>
    </row>
    <row r="1155" spans="1:12" ht="15" customHeight="1" x14ac:dyDescent="0.35">
      <c r="A1155" s="53" t="s">
        <v>3598</v>
      </c>
      <c r="B1155" s="53" t="s">
        <v>1077</v>
      </c>
      <c r="C1155" s="55">
        <v>0</v>
      </c>
      <c r="D1155" s="55">
        <v>0</v>
      </c>
      <c r="E1155" s="53">
        <v>1</v>
      </c>
      <c r="F1155" s="53">
        <v>0</v>
      </c>
      <c r="G1155" s="55">
        <v>0</v>
      </c>
      <c r="H1155" s="55">
        <v>0</v>
      </c>
      <c r="I1155" s="55">
        <v>0</v>
      </c>
      <c r="J1155" s="53" t="s">
        <v>5178</v>
      </c>
      <c r="K1155" s="53" t="s">
        <v>5881</v>
      </c>
      <c r="L1155" s="53" t="s">
        <v>4871</v>
      </c>
    </row>
    <row r="1156" spans="1:12" ht="15" customHeight="1" x14ac:dyDescent="0.35">
      <c r="A1156" s="53" t="s">
        <v>3599</v>
      </c>
      <c r="B1156" s="53" t="s">
        <v>1077</v>
      </c>
      <c r="C1156" s="55">
        <v>0</v>
      </c>
      <c r="D1156" s="55">
        <v>0</v>
      </c>
      <c r="E1156" s="53">
        <v>1</v>
      </c>
      <c r="F1156" s="53">
        <v>0</v>
      </c>
      <c r="G1156" s="55">
        <v>0</v>
      </c>
      <c r="H1156" s="55">
        <v>0</v>
      </c>
      <c r="I1156" s="55">
        <v>0</v>
      </c>
      <c r="J1156" s="53" t="s">
        <v>4770</v>
      </c>
      <c r="K1156" s="53" t="s">
        <v>5882</v>
      </c>
      <c r="L1156" s="53" t="s">
        <v>4871</v>
      </c>
    </row>
    <row r="1157" spans="1:12" ht="15" customHeight="1" x14ac:dyDescent="0.35">
      <c r="A1157" s="53" t="s">
        <v>3600</v>
      </c>
      <c r="B1157" s="53" t="s">
        <v>959</v>
      </c>
      <c r="C1157" s="55">
        <v>0</v>
      </c>
      <c r="D1157" s="55">
        <v>0</v>
      </c>
      <c r="E1157" s="53">
        <v>1</v>
      </c>
      <c r="F1157" s="53">
        <v>0</v>
      </c>
      <c r="G1157" s="55">
        <v>0</v>
      </c>
      <c r="H1157" s="55">
        <v>0</v>
      </c>
      <c r="I1157" s="55">
        <v>0</v>
      </c>
      <c r="J1157" s="53" t="s">
        <v>4684</v>
      </c>
      <c r="K1157" s="53" t="s">
        <v>5883</v>
      </c>
      <c r="L1157" s="53" t="s">
        <v>4871</v>
      </c>
    </row>
    <row r="1158" spans="1:12" ht="15" customHeight="1" x14ac:dyDescent="0.35">
      <c r="A1158" s="53" t="s">
        <v>3601</v>
      </c>
      <c r="B1158" s="53" t="s">
        <v>1077</v>
      </c>
      <c r="C1158" s="55">
        <v>0</v>
      </c>
      <c r="D1158" s="55">
        <v>0</v>
      </c>
      <c r="E1158" s="53">
        <v>1</v>
      </c>
      <c r="F1158" s="53">
        <v>0</v>
      </c>
      <c r="G1158" s="55">
        <v>0</v>
      </c>
      <c r="H1158" s="55">
        <v>0</v>
      </c>
      <c r="I1158" s="55">
        <v>0</v>
      </c>
      <c r="J1158" s="53" t="s">
        <v>4770</v>
      </c>
      <c r="K1158" s="53" t="s">
        <v>5884</v>
      </c>
      <c r="L1158" s="53" t="s">
        <v>4871</v>
      </c>
    </row>
    <row r="1159" spans="1:12" ht="15" customHeight="1" x14ac:dyDescent="0.35">
      <c r="A1159" s="53" t="s">
        <v>3602</v>
      </c>
      <c r="B1159" s="53" t="s">
        <v>1143</v>
      </c>
      <c r="C1159" s="55">
        <v>0</v>
      </c>
      <c r="D1159" s="55">
        <v>0</v>
      </c>
      <c r="E1159" s="53">
        <v>1</v>
      </c>
      <c r="F1159" s="53">
        <v>0</v>
      </c>
      <c r="G1159" s="55">
        <v>0</v>
      </c>
      <c r="H1159" s="55">
        <v>0</v>
      </c>
      <c r="I1159" s="55">
        <v>0</v>
      </c>
      <c r="J1159" s="53" t="s">
        <v>4770</v>
      </c>
      <c r="K1159" s="53" t="s">
        <v>5845</v>
      </c>
      <c r="L1159" s="53" t="s">
        <v>4871</v>
      </c>
    </row>
    <row r="1160" spans="1:12" ht="15" customHeight="1" x14ac:dyDescent="0.35">
      <c r="A1160" s="53" t="s">
        <v>3603</v>
      </c>
      <c r="B1160" s="53" t="s">
        <v>905</v>
      </c>
      <c r="C1160" s="55">
        <v>0</v>
      </c>
      <c r="D1160" s="55">
        <v>0</v>
      </c>
      <c r="E1160" s="53">
        <v>1</v>
      </c>
      <c r="F1160" s="53">
        <v>0</v>
      </c>
      <c r="G1160" s="55">
        <v>0</v>
      </c>
      <c r="H1160" s="55">
        <v>0</v>
      </c>
      <c r="I1160" s="55">
        <v>0</v>
      </c>
      <c r="J1160" s="53" t="s">
        <v>4770</v>
      </c>
      <c r="K1160" s="53" t="s">
        <v>5885</v>
      </c>
      <c r="L1160" s="53" t="s">
        <v>4871</v>
      </c>
    </row>
    <row r="1161" spans="1:12" ht="15" customHeight="1" x14ac:dyDescent="0.35">
      <c r="A1161" s="53" t="s">
        <v>3604</v>
      </c>
      <c r="B1161" s="53" t="s">
        <v>1136</v>
      </c>
      <c r="C1161" s="55">
        <v>0</v>
      </c>
      <c r="D1161" s="55">
        <v>0</v>
      </c>
      <c r="E1161" s="53">
        <v>1</v>
      </c>
      <c r="F1161" s="53">
        <v>0</v>
      </c>
      <c r="G1161" s="55">
        <v>0</v>
      </c>
      <c r="H1161" s="55">
        <v>0</v>
      </c>
      <c r="I1161" s="55">
        <v>0</v>
      </c>
      <c r="J1161" s="53" t="s">
        <v>4770</v>
      </c>
      <c r="K1161" s="53" t="s">
        <v>5886</v>
      </c>
      <c r="L1161" s="53" t="s">
        <v>4871</v>
      </c>
    </row>
    <row r="1162" spans="1:12" ht="15" customHeight="1" x14ac:dyDescent="0.35">
      <c r="A1162" s="53" t="s">
        <v>3605</v>
      </c>
      <c r="B1162" s="53" t="s">
        <v>2971</v>
      </c>
      <c r="C1162" s="55">
        <v>0</v>
      </c>
      <c r="D1162" s="55">
        <v>0</v>
      </c>
      <c r="E1162" s="53">
        <v>1</v>
      </c>
      <c r="F1162" s="53">
        <v>0</v>
      </c>
      <c r="G1162" s="55">
        <v>0</v>
      </c>
      <c r="H1162" s="55">
        <v>0</v>
      </c>
      <c r="I1162" s="55">
        <v>0</v>
      </c>
      <c r="J1162" s="53" t="s">
        <v>5067</v>
      </c>
      <c r="K1162" s="53" t="s">
        <v>5887</v>
      </c>
      <c r="L1162" s="53" t="s">
        <v>4871</v>
      </c>
    </row>
    <row r="1163" spans="1:12" ht="15" customHeight="1" x14ac:dyDescent="0.35">
      <c r="A1163" s="53" t="s">
        <v>3606</v>
      </c>
      <c r="B1163" s="53" t="s">
        <v>1101</v>
      </c>
      <c r="C1163" s="55">
        <v>0</v>
      </c>
      <c r="D1163" s="55">
        <v>0</v>
      </c>
      <c r="E1163" s="53">
        <v>1</v>
      </c>
      <c r="F1163" s="53">
        <v>0</v>
      </c>
      <c r="G1163" s="55">
        <v>0</v>
      </c>
      <c r="H1163" s="55">
        <v>0</v>
      </c>
      <c r="I1163" s="55">
        <v>0</v>
      </c>
      <c r="J1163" s="53" t="s">
        <v>5099</v>
      </c>
      <c r="K1163" s="53" t="s">
        <v>5888</v>
      </c>
      <c r="L1163" s="53" t="s">
        <v>4871</v>
      </c>
    </row>
    <row r="1164" spans="1:12" ht="15" customHeight="1" x14ac:dyDescent="0.35">
      <c r="A1164" s="53" t="s">
        <v>3607</v>
      </c>
      <c r="B1164" s="53" t="s">
        <v>1050</v>
      </c>
      <c r="C1164" s="55">
        <v>0</v>
      </c>
      <c r="D1164" s="55">
        <v>0</v>
      </c>
      <c r="E1164" s="53">
        <v>1</v>
      </c>
      <c r="F1164" s="53">
        <v>0</v>
      </c>
      <c r="G1164" s="55">
        <v>0</v>
      </c>
      <c r="H1164" s="55">
        <v>0</v>
      </c>
      <c r="I1164" s="55">
        <v>0</v>
      </c>
      <c r="J1164" s="53" t="s">
        <v>5099</v>
      </c>
      <c r="K1164" s="53" t="s">
        <v>5889</v>
      </c>
      <c r="L1164" s="53" t="s">
        <v>4871</v>
      </c>
    </row>
    <row r="1165" spans="1:12" ht="15" customHeight="1" x14ac:dyDescent="0.35">
      <c r="A1165" s="53" t="s">
        <v>3608</v>
      </c>
      <c r="B1165" s="53" t="s">
        <v>1077</v>
      </c>
      <c r="C1165" s="55">
        <v>0</v>
      </c>
      <c r="D1165" s="55">
        <v>0</v>
      </c>
      <c r="E1165" s="53">
        <v>1</v>
      </c>
      <c r="F1165" s="53">
        <v>0</v>
      </c>
      <c r="G1165" s="55">
        <v>0</v>
      </c>
      <c r="H1165" s="55">
        <v>0</v>
      </c>
      <c r="I1165" s="55">
        <v>0</v>
      </c>
      <c r="J1165" s="53" t="s">
        <v>5067</v>
      </c>
      <c r="K1165" s="53" t="s">
        <v>5890</v>
      </c>
      <c r="L1165" s="53" t="s">
        <v>4871</v>
      </c>
    </row>
    <row r="1166" spans="1:12" ht="15" customHeight="1" x14ac:dyDescent="0.35">
      <c r="A1166" s="53" t="s">
        <v>3609</v>
      </c>
      <c r="B1166" s="53" t="s">
        <v>1690</v>
      </c>
      <c r="C1166" s="55">
        <v>0</v>
      </c>
      <c r="D1166" s="55">
        <v>0</v>
      </c>
      <c r="E1166" s="53">
        <v>1</v>
      </c>
      <c r="F1166" s="53">
        <v>0</v>
      </c>
      <c r="G1166" s="55">
        <v>0</v>
      </c>
      <c r="H1166" s="55">
        <v>0</v>
      </c>
      <c r="I1166" s="55">
        <v>0</v>
      </c>
      <c r="J1166" s="53" t="s">
        <v>4770</v>
      </c>
      <c r="K1166" s="53" t="s">
        <v>5891</v>
      </c>
      <c r="L1166" s="53" t="s">
        <v>4871</v>
      </c>
    </row>
    <row r="1167" spans="1:12" ht="15" customHeight="1" x14ac:dyDescent="0.35">
      <c r="A1167" s="53" t="s">
        <v>3610</v>
      </c>
      <c r="B1167" s="53" t="s">
        <v>1077</v>
      </c>
      <c r="C1167" s="55">
        <v>0</v>
      </c>
      <c r="D1167" s="55">
        <v>0</v>
      </c>
      <c r="E1167" s="53">
        <v>1</v>
      </c>
      <c r="F1167" s="53">
        <v>0</v>
      </c>
      <c r="G1167" s="55">
        <v>0</v>
      </c>
      <c r="H1167" s="55">
        <v>0</v>
      </c>
      <c r="I1167" s="55">
        <v>0</v>
      </c>
      <c r="J1167" s="53" t="s">
        <v>5178</v>
      </c>
      <c r="K1167" s="53" t="s">
        <v>5892</v>
      </c>
      <c r="L1167" s="53" t="s">
        <v>4871</v>
      </c>
    </row>
    <row r="1168" spans="1:12" ht="15" customHeight="1" x14ac:dyDescent="0.35">
      <c r="A1168" s="53" t="s">
        <v>3611</v>
      </c>
      <c r="B1168" s="53" t="s">
        <v>1143</v>
      </c>
      <c r="C1168" s="55">
        <v>0</v>
      </c>
      <c r="D1168" s="55">
        <v>0</v>
      </c>
      <c r="E1168" s="53">
        <v>1</v>
      </c>
      <c r="F1168" s="53">
        <v>0</v>
      </c>
      <c r="G1168" s="55">
        <v>0</v>
      </c>
      <c r="H1168" s="55">
        <v>0</v>
      </c>
      <c r="I1168" s="55">
        <v>0</v>
      </c>
      <c r="J1168" s="53" t="s">
        <v>4770</v>
      </c>
      <c r="K1168" s="53" t="s">
        <v>5893</v>
      </c>
      <c r="L1168" s="53" t="s">
        <v>4871</v>
      </c>
    </row>
    <row r="1169" spans="1:12" ht="15" customHeight="1" x14ac:dyDescent="0.35">
      <c r="A1169" s="53" t="s">
        <v>3612</v>
      </c>
      <c r="B1169" s="53" t="s">
        <v>3052</v>
      </c>
      <c r="C1169" s="55">
        <v>0</v>
      </c>
      <c r="D1169" s="55">
        <v>0</v>
      </c>
      <c r="E1169" s="53">
        <v>1</v>
      </c>
      <c r="F1169" s="53">
        <v>0</v>
      </c>
      <c r="G1169" s="55">
        <v>0</v>
      </c>
      <c r="H1169" s="55">
        <v>0</v>
      </c>
      <c r="I1169" s="55">
        <v>0</v>
      </c>
      <c r="J1169" s="53" t="s">
        <v>5099</v>
      </c>
      <c r="K1169" s="53" t="s">
        <v>5894</v>
      </c>
      <c r="L1169" s="53" t="s">
        <v>4871</v>
      </c>
    </row>
    <row r="1170" spans="1:12" ht="15" customHeight="1" x14ac:dyDescent="0.35">
      <c r="A1170" s="53" t="s">
        <v>3613</v>
      </c>
      <c r="B1170" s="53" t="s">
        <v>909</v>
      </c>
      <c r="C1170" s="55">
        <v>0</v>
      </c>
      <c r="D1170" s="55">
        <v>0</v>
      </c>
      <c r="E1170" s="53">
        <v>1</v>
      </c>
      <c r="F1170" s="53">
        <v>0</v>
      </c>
      <c r="G1170" s="55">
        <v>0</v>
      </c>
      <c r="H1170" s="55">
        <v>0</v>
      </c>
      <c r="I1170" s="55">
        <v>0</v>
      </c>
      <c r="J1170" s="53" t="s">
        <v>4770</v>
      </c>
      <c r="K1170" s="53" t="s">
        <v>5895</v>
      </c>
      <c r="L1170" s="53" t="s">
        <v>4360</v>
      </c>
    </row>
    <row r="1171" spans="1:12" ht="15" customHeight="1" x14ac:dyDescent="0.35">
      <c r="A1171" s="53" t="s">
        <v>3614</v>
      </c>
      <c r="B1171" s="53" t="s">
        <v>2257</v>
      </c>
      <c r="C1171" s="55">
        <v>0</v>
      </c>
      <c r="D1171" s="55">
        <v>0</v>
      </c>
      <c r="E1171" s="53">
        <v>1</v>
      </c>
      <c r="F1171" s="53">
        <v>0</v>
      </c>
      <c r="G1171" s="55">
        <v>0</v>
      </c>
      <c r="H1171" s="55">
        <v>0</v>
      </c>
      <c r="I1171" s="55">
        <v>0</v>
      </c>
      <c r="J1171" s="53" t="s">
        <v>4927</v>
      </c>
      <c r="K1171" s="53" t="s">
        <v>5896</v>
      </c>
      <c r="L1171" s="53" t="s">
        <v>4360</v>
      </c>
    </row>
    <row r="1172" spans="1:12" ht="15" customHeight="1" x14ac:dyDescent="0.35">
      <c r="A1172" s="53" t="s">
        <v>3615</v>
      </c>
      <c r="B1172" s="53" t="s">
        <v>1143</v>
      </c>
      <c r="C1172" s="55">
        <v>0</v>
      </c>
      <c r="D1172" s="55">
        <v>0</v>
      </c>
      <c r="E1172" s="53">
        <v>1</v>
      </c>
      <c r="F1172" s="53">
        <v>0</v>
      </c>
      <c r="G1172" s="55">
        <v>0</v>
      </c>
      <c r="H1172" s="55">
        <v>0</v>
      </c>
      <c r="I1172" s="55">
        <v>0</v>
      </c>
      <c r="J1172" s="53" t="s">
        <v>5099</v>
      </c>
      <c r="K1172" s="53" t="s">
        <v>5897</v>
      </c>
      <c r="L1172" s="53" t="s">
        <v>4360</v>
      </c>
    </row>
    <row r="1173" spans="1:12" ht="15" customHeight="1" x14ac:dyDescent="0.35">
      <c r="A1173" s="53" t="s">
        <v>3616</v>
      </c>
      <c r="B1173" s="53" t="s">
        <v>2602</v>
      </c>
      <c r="C1173" s="55">
        <v>0</v>
      </c>
      <c r="D1173" s="55">
        <v>0</v>
      </c>
      <c r="E1173" s="53">
        <v>1</v>
      </c>
      <c r="F1173" s="53">
        <v>0</v>
      </c>
      <c r="G1173" s="55">
        <v>0</v>
      </c>
      <c r="H1173" s="55">
        <v>0</v>
      </c>
      <c r="I1173" s="55">
        <v>0</v>
      </c>
      <c r="J1173" s="53" t="s">
        <v>4770</v>
      </c>
      <c r="K1173" s="53" t="s">
        <v>5898</v>
      </c>
      <c r="L1173" s="53" t="s">
        <v>4360</v>
      </c>
    </row>
    <row r="1174" spans="1:12" ht="15" customHeight="1" x14ac:dyDescent="0.35">
      <c r="A1174" s="53" t="s">
        <v>3617</v>
      </c>
      <c r="B1174" s="53" t="s">
        <v>2598</v>
      </c>
      <c r="C1174" s="55">
        <v>0</v>
      </c>
      <c r="D1174" s="55">
        <v>0</v>
      </c>
      <c r="E1174" s="53">
        <v>1</v>
      </c>
      <c r="F1174" s="53">
        <v>0</v>
      </c>
      <c r="G1174" s="55">
        <v>0</v>
      </c>
      <c r="H1174" s="55">
        <v>0</v>
      </c>
      <c r="I1174" s="55">
        <v>0</v>
      </c>
      <c r="J1174" s="53" t="s">
        <v>5220</v>
      </c>
      <c r="K1174" s="53" t="s">
        <v>5899</v>
      </c>
      <c r="L1174" s="53" t="s">
        <v>4360</v>
      </c>
    </row>
    <row r="1175" spans="1:12" ht="15" customHeight="1" x14ac:dyDescent="0.35">
      <c r="A1175" s="53" t="s">
        <v>3618</v>
      </c>
      <c r="B1175" s="53" t="s">
        <v>1077</v>
      </c>
      <c r="C1175" s="55">
        <v>0</v>
      </c>
      <c r="D1175" s="55">
        <v>0</v>
      </c>
      <c r="E1175" s="53">
        <v>1</v>
      </c>
      <c r="F1175" s="53">
        <v>0</v>
      </c>
      <c r="G1175" s="55">
        <v>0</v>
      </c>
      <c r="H1175" s="55">
        <v>0</v>
      </c>
      <c r="I1175" s="55">
        <v>0</v>
      </c>
      <c r="J1175" s="53" t="s">
        <v>5301</v>
      </c>
      <c r="K1175" s="53" t="s">
        <v>5900</v>
      </c>
      <c r="L1175" s="53" t="s">
        <v>4360</v>
      </c>
    </row>
    <row r="1176" spans="1:12" ht="15" customHeight="1" x14ac:dyDescent="0.35">
      <c r="A1176" s="53" t="s">
        <v>3619</v>
      </c>
      <c r="B1176" s="53" t="s">
        <v>1143</v>
      </c>
      <c r="C1176" s="55">
        <v>0</v>
      </c>
      <c r="D1176" s="55">
        <v>0</v>
      </c>
      <c r="E1176" s="53">
        <v>1</v>
      </c>
      <c r="F1176" s="53">
        <v>0</v>
      </c>
      <c r="G1176" s="55">
        <v>0</v>
      </c>
      <c r="H1176" s="55">
        <v>0</v>
      </c>
      <c r="I1176" s="55">
        <v>0</v>
      </c>
      <c r="J1176" s="53" t="s">
        <v>5301</v>
      </c>
      <c r="K1176" s="53" t="s">
        <v>5901</v>
      </c>
      <c r="L1176" s="53" t="s">
        <v>4360</v>
      </c>
    </row>
    <row r="1177" spans="1:12" ht="15" customHeight="1" x14ac:dyDescent="0.35">
      <c r="A1177" s="53" t="s">
        <v>3620</v>
      </c>
      <c r="B1177" s="53" t="s">
        <v>909</v>
      </c>
      <c r="C1177" s="55">
        <v>0</v>
      </c>
      <c r="D1177" s="55">
        <v>0</v>
      </c>
      <c r="E1177" s="53">
        <v>1</v>
      </c>
      <c r="F1177" s="53">
        <v>0</v>
      </c>
      <c r="G1177" s="55">
        <v>0</v>
      </c>
      <c r="H1177" s="55">
        <v>0</v>
      </c>
      <c r="I1177" s="55">
        <v>0</v>
      </c>
      <c r="J1177" s="53" t="s">
        <v>5099</v>
      </c>
      <c r="K1177" s="53" t="s">
        <v>5902</v>
      </c>
      <c r="L1177" s="53" t="s">
        <v>4360</v>
      </c>
    </row>
    <row r="1178" spans="1:12" ht="15" customHeight="1" x14ac:dyDescent="0.35">
      <c r="A1178" s="53" t="s">
        <v>3621</v>
      </c>
      <c r="B1178" s="53" t="s">
        <v>909</v>
      </c>
      <c r="C1178" s="55">
        <v>0</v>
      </c>
      <c r="D1178" s="55">
        <v>0</v>
      </c>
      <c r="E1178" s="53">
        <v>1</v>
      </c>
      <c r="F1178" s="53">
        <v>0</v>
      </c>
      <c r="G1178" s="55">
        <v>0</v>
      </c>
      <c r="H1178" s="55">
        <v>0</v>
      </c>
      <c r="I1178" s="55">
        <v>0</v>
      </c>
      <c r="J1178" s="53" t="s">
        <v>5306</v>
      </c>
      <c r="K1178" s="53" t="s">
        <v>5903</v>
      </c>
      <c r="L1178" s="53" t="s">
        <v>4360</v>
      </c>
    </row>
    <row r="1179" spans="1:12" ht="15" customHeight="1" x14ac:dyDescent="0.35">
      <c r="A1179" s="53" t="s">
        <v>3622</v>
      </c>
      <c r="B1179" s="53" t="s">
        <v>1690</v>
      </c>
      <c r="C1179" s="55">
        <v>0</v>
      </c>
      <c r="D1179" s="55">
        <v>0</v>
      </c>
      <c r="E1179" s="53">
        <v>1</v>
      </c>
      <c r="F1179" s="53">
        <v>0</v>
      </c>
      <c r="G1179" s="55">
        <v>0</v>
      </c>
      <c r="H1179" s="55">
        <v>0</v>
      </c>
      <c r="I1179" s="55">
        <v>0</v>
      </c>
      <c r="J1179" s="53" t="s">
        <v>5301</v>
      </c>
      <c r="K1179" s="53" t="s">
        <v>5904</v>
      </c>
      <c r="L1179" s="53" t="s">
        <v>4360</v>
      </c>
    </row>
    <row r="1180" spans="1:12" ht="15" customHeight="1" x14ac:dyDescent="0.35">
      <c r="A1180" s="53" t="s">
        <v>3623</v>
      </c>
      <c r="B1180" s="53" t="s">
        <v>1077</v>
      </c>
      <c r="C1180" s="55">
        <v>0</v>
      </c>
      <c r="D1180" s="55">
        <v>0</v>
      </c>
      <c r="E1180" s="53">
        <v>1</v>
      </c>
      <c r="F1180" s="53">
        <v>0</v>
      </c>
      <c r="G1180" s="55">
        <v>0</v>
      </c>
      <c r="H1180" s="55">
        <v>0</v>
      </c>
      <c r="I1180" s="55">
        <v>0</v>
      </c>
      <c r="J1180" s="53" t="s">
        <v>5178</v>
      </c>
      <c r="K1180" s="53" t="s">
        <v>5905</v>
      </c>
      <c r="L1180" s="53" t="s">
        <v>4360</v>
      </c>
    </row>
    <row r="1181" spans="1:12" ht="15" customHeight="1" x14ac:dyDescent="0.35">
      <c r="A1181" s="53" t="s">
        <v>3624</v>
      </c>
      <c r="B1181" s="53" t="s">
        <v>1077</v>
      </c>
      <c r="C1181" s="55">
        <v>0</v>
      </c>
      <c r="D1181" s="55">
        <v>0</v>
      </c>
      <c r="E1181" s="53">
        <v>1</v>
      </c>
      <c r="F1181" s="53">
        <v>0</v>
      </c>
      <c r="G1181" s="55">
        <v>0</v>
      </c>
      <c r="H1181" s="55">
        <v>0</v>
      </c>
      <c r="I1181" s="55">
        <v>0</v>
      </c>
      <c r="J1181" s="53" t="s">
        <v>4770</v>
      </c>
      <c r="K1181" s="53" t="s">
        <v>5906</v>
      </c>
      <c r="L1181" s="53" t="s">
        <v>4360</v>
      </c>
    </row>
    <row r="1182" spans="1:12" ht="15" customHeight="1" x14ac:dyDescent="0.35">
      <c r="A1182" s="53" t="s">
        <v>3625</v>
      </c>
      <c r="B1182" s="53" t="s">
        <v>921</v>
      </c>
      <c r="C1182" s="55">
        <v>0</v>
      </c>
      <c r="D1182" s="55">
        <v>0</v>
      </c>
      <c r="E1182" s="53">
        <v>1</v>
      </c>
      <c r="F1182" s="53">
        <v>0</v>
      </c>
      <c r="G1182" s="55">
        <v>0</v>
      </c>
      <c r="H1182" s="55">
        <v>0</v>
      </c>
      <c r="I1182" s="55">
        <v>0</v>
      </c>
      <c r="J1182" s="53" t="s">
        <v>5220</v>
      </c>
      <c r="K1182" s="53" t="s">
        <v>5907</v>
      </c>
      <c r="L1182" s="53" t="s">
        <v>4360</v>
      </c>
    </row>
    <row r="1183" spans="1:12" ht="15" customHeight="1" x14ac:dyDescent="0.35">
      <c r="A1183" s="53" t="s">
        <v>3626</v>
      </c>
      <c r="B1183" s="53" t="s">
        <v>2971</v>
      </c>
      <c r="C1183" s="55">
        <v>0</v>
      </c>
      <c r="D1183" s="55">
        <v>0</v>
      </c>
      <c r="E1183" s="53">
        <v>1</v>
      </c>
      <c r="F1183" s="53">
        <v>0</v>
      </c>
      <c r="G1183" s="55">
        <v>0</v>
      </c>
      <c r="H1183" s="55">
        <v>0</v>
      </c>
      <c r="I1183" s="55">
        <v>0</v>
      </c>
      <c r="J1183" s="53" t="s">
        <v>5306</v>
      </c>
      <c r="K1183" s="53" t="s">
        <v>5908</v>
      </c>
      <c r="L1183" s="53" t="s">
        <v>4360</v>
      </c>
    </row>
    <row r="1184" spans="1:12" ht="15" customHeight="1" x14ac:dyDescent="0.35">
      <c r="A1184" s="53" t="s">
        <v>3627</v>
      </c>
      <c r="B1184" s="53" t="s">
        <v>1136</v>
      </c>
      <c r="C1184" s="55">
        <v>0</v>
      </c>
      <c r="D1184" s="55">
        <v>0</v>
      </c>
      <c r="E1184" s="53">
        <v>1</v>
      </c>
      <c r="F1184" s="53">
        <v>0</v>
      </c>
      <c r="G1184" s="55">
        <v>0</v>
      </c>
      <c r="H1184" s="55">
        <v>0</v>
      </c>
      <c r="I1184" s="55">
        <v>0</v>
      </c>
      <c r="J1184" s="53" t="s">
        <v>5099</v>
      </c>
      <c r="K1184" s="53" t="s">
        <v>5909</v>
      </c>
      <c r="L1184" s="53" t="s">
        <v>4360</v>
      </c>
    </row>
    <row r="1185" spans="1:12" ht="15" customHeight="1" x14ac:dyDescent="0.35">
      <c r="A1185" s="53" t="s">
        <v>3628</v>
      </c>
      <c r="B1185" s="53" t="s">
        <v>1143</v>
      </c>
      <c r="C1185" s="55">
        <v>0</v>
      </c>
      <c r="D1185" s="55">
        <v>0</v>
      </c>
      <c r="E1185" s="53">
        <v>1</v>
      </c>
      <c r="F1185" s="53">
        <v>0</v>
      </c>
      <c r="G1185" s="55">
        <v>0</v>
      </c>
      <c r="H1185" s="55">
        <v>0</v>
      </c>
      <c r="I1185" s="55">
        <v>0</v>
      </c>
      <c r="J1185" s="53" t="s">
        <v>5316</v>
      </c>
      <c r="K1185" s="53" t="s">
        <v>5910</v>
      </c>
      <c r="L1185" s="53" t="s">
        <v>4360</v>
      </c>
    </row>
    <row r="1186" spans="1:12" ht="15" customHeight="1" x14ac:dyDescent="0.35">
      <c r="A1186" s="53" t="s">
        <v>3629</v>
      </c>
      <c r="B1186" s="53" t="s">
        <v>1077</v>
      </c>
      <c r="C1186" s="55">
        <v>0</v>
      </c>
      <c r="D1186" s="55">
        <v>0</v>
      </c>
      <c r="E1186" s="53">
        <v>1</v>
      </c>
      <c r="F1186" s="53">
        <v>0</v>
      </c>
      <c r="G1186" s="55">
        <v>0</v>
      </c>
      <c r="H1186" s="55">
        <v>0</v>
      </c>
      <c r="I1186" s="55">
        <v>0</v>
      </c>
      <c r="J1186" s="53" t="s">
        <v>4770</v>
      </c>
      <c r="K1186" s="53" t="s">
        <v>5911</v>
      </c>
      <c r="L1186" s="53" t="s">
        <v>4360</v>
      </c>
    </row>
    <row r="1187" spans="1:12" ht="15" customHeight="1" x14ac:dyDescent="0.35">
      <c r="A1187" s="53" t="s">
        <v>3630</v>
      </c>
      <c r="B1187" s="53" t="s">
        <v>963</v>
      </c>
      <c r="C1187" s="55">
        <v>0</v>
      </c>
      <c r="D1187" s="55">
        <v>0</v>
      </c>
      <c r="E1187" s="53">
        <v>1</v>
      </c>
      <c r="F1187" s="53">
        <v>0</v>
      </c>
      <c r="G1187" s="55">
        <v>0</v>
      </c>
      <c r="H1187" s="55">
        <v>0</v>
      </c>
      <c r="I1187" s="55">
        <v>0</v>
      </c>
      <c r="J1187" s="53" t="s">
        <v>4770</v>
      </c>
      <c r="K1187" s="53" t="s">
        <v>5912</v>
      </c>
      <c r="L1187" s="53" t="s">
        <v>4360</v>
      </c>
    </row>
    <row r="1188" spans="1:12" ht="15" customHeight="1" x14ac:dyDescent="0.35">
      <c r="A1188" s="53" t="s">
        <v>3631</v>
      </c>
      <c r="B1188" s="53" t="s">
        <v>2971</v>
      </c>
      <c r="C1188" s="55">
        <v>0</v>
      </c>
      <c r="D1188" s="55">
        <v>0</v>
      </c>
      <c r="E1188" s="53">
        <v>1</v>
      </c>
      <c r="F1188" s="53">
        <v>0</v>
      </c>
      <c r="G1188" s="55">
        <v>0</v>
      </c>
      <c r="H1188" s="55">
        <v>0</v>
      </c>
      <c r="I1188" s="55">
        <v>0</v>
      </c>
      <c r="J1188" s="53" t="s">
        <v>5306</v>
      </c>
      <c r="K1188" s="53" t="s">
        <v>5913</v>
      </c>
      <c r="L1188" s="53" t="s">
        <v>4360</v>
      </c>
    </row>
    <row r="1189" spans="1:12" ht="15" customHeight="1" x14ac:dyDescent="0.35">
      <c r="A1189" s="53" t="s">
        <v>3632</v>
      </c>
      <c r="B1189" s="53" t="s">
        <v>921</v>
      </c>
      <c r="C1189" s="55">
        <v>0</v>
      </c>
      <c r="D1189" s="55">
        <v>0</v>
      </c>
      <c r="E1189" s="53">
        <v>1</v>
      </c>
      <c r="F1189" s="53">
        <v>0</v>
      </c>
      <c r="G1189" s="55">
        <v>0</v>
      </c>
      <c r="H1189" s="55">
        <v>0</v>
      </c>
      <c r="I1189" s="55">
        <v>0</v>
      </c>
      <c r="J1189" s="53" t="s">
        <v>5220</v>
      </c>
      <c r="K1189" s="53" t="s">
        <v>5907</v>
      </c>
      <c r="L1189" s="53" t="s">
        <v>4360</v>
      </c>
    </row>
    <row r="1190" spans="1:12" ht="15" customHeight="1" x14ac:dyDescent="0.35">
      <c r="A1190" s="53" t="s">
        <v>3633</v>
      </c>
      <c r="B1190" s="53" t="s">
        <v>909</v>
      </c>
      <c r="C1190" s="55">
        <v>0</v>
      </c>
      <c r="D1190" s="55">
        <v>0</v>
      </c>
      <c r="E1190" s="53">
        <v>1</v>
      </c>
      <c r="F1190" s="53">
        <v>0</v>
      </c>
      <c r="G1190" s="55">
        <v>0</v>
      </c>
      <c r="H1190" s="55">
        <v>0</v>
      </c>
      <c r="I1190" s="55">
        <v>0</v>
      </c>
      <c r="J1190" s="53" t="s">
        <v>5306</v>
      </c>
      <c r="K1190" s="53" t="s">
        <v>5914</v>
      </c>
      <c r="L1190" s="53" t="s">
        <v>4360</v>
      </c>
    </row>
    <row r="1191" spans="1:12" ht="15" customHeight="1" x14ac:dyDescent="0.35">
      <c r="A1191" s="53" t="s">
        <v>3634</v>
      </c>
      <c r="B1191" s="53" t="s">
        <v>921</v>
      </c>
      <c r="C1191" s="55">
        <v>0</v>
      </c>
      <c r="D1191" s="55">
        <v>0</v>
      </c>
      <c r="E1191" s="53">
        <v>1</v>
      </c>
      <c r="F1191" s="53">
        <v>0</v>
      </c>
      <c r="G1191" s="55">
        <v>0</v>
      </c>
      <c r="H1191" s="55">
        <v>0</v>
      </c>
      <c r="I1191" s="55">
        <v>0</v>
      </c>
      <c r="J1191" s="53" t="s">
        <v>4684</v>
      </c>
      <c r="K1191" s="53" t="s">
        <v>5915</v>
      </c>
      <c r="L1191" s="53" t="s">
        <v>4360</v>
      </c>
    </row>
    <row r="1192" spans="1:12" ht="15" customHeight="1" x14ac:dyDescent="0.35">
      <c r="A1192" s="53" t="s">
        <v>3635</v>
      </c>
      <c r="B1192" s="53" t="s">
        <v>1077</v>
      </c>
      <c r="C1192" s="55">
        <v>0</v>
      </c>
      <c r="D1192" s="55">
        <v>0</v>
      </c>
      <c r="E1192" s="53">
        <v>1</v>
      </c>
      <c r="F1192" s="53">
        <v>0</v>
      </c>
      <c r="G1192" s="55">
        <v>0</v>
      </c>
      <c r="H1192" s="55">
        <v>0</v>
      </c>
      <c r="I1192" s="55">
        <v>0</v>
      </c>
      <c r="J1192" s="53" t="s">
        <v>4770</v>
      </c>
      <c r="K1192" s="53" t="s">
        <v>5916</v>
      </c>
      <c r="L1192" s="53" t="s">
        <v>4360</v>
      </c>
    </row>
    <row r="1193" spans="1:12" ht="15" customHeight="1" x14ac:dyDescent="0.35">
      <c r="A1193" s="53" t="s">
        <v>3636</v>
      </c>
      <c r="B1193" s="53" t="s">
        <v>989</v>
      </c>
      <c r="C1193" s="55">
        <v>0</v>
      </c>
      <c r="D1193" s="55">
        <v>0</v>
      </c>
      <c r="E1193" s="53">
        <v>1</v>
      </c>
      <c r="F1193" s="53">
        <v>0</v>
      </c>
      <c r="G1193" s="55">
        <v>0</v>
      </c>
      <c r="H1193" s="55">
        <v>0</v>
      </c>
      <c r="I1193" s="55">
        <v>0</v>
      </c>
      <c r="J1193" s="53" t="s">
        <v>5099</v>
      </c>
      <c r="K1193" s="53" t="s">
        <v>5917</v>
      </c>
      <c r="L1193" s="53" t="s">
        <v>4360</v>
      </c>
    </row>
    <row r="1194" spans="1:12" ht="15" customHeight="1" x14ac:dyDescent="0.35">
      <c r="A1194" s="53" t="s">
        <v>3637</v>
      </c>
      <c r="B1194" s="53" t="s">
        <v>1240</v>
      </c>
      <c r="C1194" s="55">
        <v>0</v>
      </c>
      <c r="D1194" s="55">
        <v>0</v>
      </c>
      <c r="E1194" s="53">
        <v>1</v>
      </c>
      <c r="F1194" s="53">
        <v>0</v>
      </c>
      <c r="G1194" s="55">
        <v>0</v>
      </c>
      <c r="H1194" s="55">
        <v>0</v>
      </c>
      <c r="I1194" s="55">
        <v>0</v>
      </c>
      <c r="J1194" s="53" t="s">
        <v>4684</v>
      </c>
      <c r="K1194" s="53" t="s">
        <v>5918</v>
      </c>
      <c r="L1194" s="53" t="s">
        <v>4360</v>
      </c>
    </row>
    <row r="1195" spans="1:12" ht="15" customHeight="1" x14ac:dyDescent="0.35">
      <c r="A1195" s="53" t="s">
        <v>3638</v>
      </c>
      <c r="B1195" s="53" t="s">
        <v>1111</v>
      </c>
      <c r="C1195" s="55">
        <v>0</v>
      </c>
      <c r="D1195" s="55">
        <v>0</v>
      </c>
      <c r="E1195" s="53">
        <v>1</v>
      </c>
      <c r="F1195" s="53">
        <v>0</v>
      </c>
      <c r="G1195" s="55">
        <v>0</v>
      </c>
      <c r="H1195" s="55">
        <v>0</v>
      </c>
      <c r="I1195" s="55">
        <v>0</v>
      </c>
      <c r="J1195" s="53" t="s">
        <v>4927</v>
      </c>
      <c r="K1195" s="53" t="s">
        <v>5919</v>
      </c>
      <c r="L1195" s="53" t="s">
        <v>4360</v>
      </c>
    </row>
    <row r="1196" spans="1:12" ht="15" customHeight="1" x14ac:dyDescent="0.35">
      <c r="A1196" s="53" t="s">
        <v>3639</v>
      </c>
      <c r="B1196" s="53" t="s">
        <v>1050</v>
      </c>
      <c r="C1196" s="55">
        <v>0</v>
      </c>
      <c r="D1196" s="55">
        <v>0</v>
      </c>
      <c r="E1196" s="53">
        <v>1</v>
      </c>
      <c r="F1196" s="53">
        <v>0</v>
      </c>
      <c r="G1196" s="55">
        <v>0</v>
      </c>
      <c r="H1196" s="55">
        <v>0</v>
      </c>
      <c r="I1196" s="55">
        <v>0</v>
      </c>
      <c r="J1196" s="53" t="s">
        <v>5099</v>
      </c>
      <c r="K1196" s="53" t="s">
        <v>5920</v>
      </c>
      <c r="L1196" s="53" t="s">
        <v>4360</v>
      </c>
    </row>
    <row r="1197" spans="1:12" ht="15" customHeight="1" x14ac:dyDescent="0.35">
      <c r="A1197" s="53" t="s">
        <v>3640</v>
      </c>
      <c r="B1197" s="53" t="s">
        <v>909</v>
      </c>
      <c r="C1197" s="55">
        <v>0</v>
      </c>
      <c r="D1197" s="55">
        <v>0</v>
      </c>
      <c r="E1197" s="53">
        <v>1</v>
      </c>
      <c r="F1197" s="53">
        <v>0</v>
      </c>
      <c r="G1197" s="55">
        <v>0</v>
      </c>
      <c r="H1197" s="55">
        <v>0</v>
      </c>
      <c r="I1197" s="55">
        <v>0</v>
      </c>
      <c r="J1197" s="53" t="s">
        <v>5306</v>
      </c>
      <c r="K1197" s="53" t="s">
        <v>5921</v>
      </c>
      <c r="L1197" s="53" t="s">
        <v>4360</v>
      </c>
    </row>
    <row r="1198" spans="1:12" ht="15" customHeight="1" x14ac:dyDescent="0.35">
      <c r="A1198" s="53" t="s">
        <v>3641</v>
      </c>
      <c r="B1198" s="53" t="s">
        <v>909</v>
      </c>
      <c r="C1198" s="55">
        <v>0</v>
      </c>
      <c r="D1198" s="55">
        <v>0</v>
      </c>
      <c r="E1198" s="53">
        <v>1</v>
      </c>
      <c r="F1198" s="53">
        <v>0</v>
      </c>
      <c r="G1198" s="55">
        <v>0</v>
      </c>
      <c r="H1198" s="55">
        <v>0</v>
      </c>
      <c r="I1198" s="55">
        <v>0</v>
      </c>
      <c r="J1198" s="53" t="s">
        <v>5306</v>
      </c>
      <c r="K1198" s="53" t="s">
        <v>5922</v>
      </c>
      <c r="L1198" s="53" t="s">
        <v>4360</v>
      </c>
    </row>
    <row r="1199" spans="1:12" ht="15" customHeight="1" x14ac:dyDescent="0.35">
      <c r="A1199" s="53" t="s">
        <v>3642</v>
      </c>
      <c r="B1199" s="53" t="s">
        <v>1077</v>
      </c>
      <c r="C1199" s="55">
        <v>0</v>
      </c>
      <c r="D1199" s="55">
        <v>0</v>
      </c>
      <c r="E1199" s="53">
        <v>1</v>
      </c>
      <c r="F1199" s="53">
        <v>0</v>
      </c>
      <c r="G1199" s="55">
        <v>0</v>
      </c>
      <c r="H1199" s="55">
        <v>0</v>
      </c>
      <c r="I1199" s="55">
        <v>0</v>
      </c>
      <c r="J1199" s="53" t="s">
        <v>5316</v>
      </c>
      <c r="K1199" s="53" t="s">
        <v>5923</v>
      </c>
      <c r="L1199" s="53" t="s">
        <v>4360</v>
      </c>
    </row>
    <row r="1200" spans="1:12" ht="15" customHeight="1" x14ac:dyDescent="0.35">
      <c r="A1200" s="53" t="s">
        <v>3643</v>
      </c>
      <c r="B1200" s="53" t="s">
        <v>946</v>
      </c>
      <c r="C1200" s="55">
        <v>0</v>
      </c>
      <c r="D1200" s="55">
        <v>0</v>
      </c>
      <c r="E1200" s="53">
        <v>1</v>
      </c>
      <c r="F1200" s="53">
        <v>0</v>
      </c>
      <c r="G1200" s="55">
        <v>0</v>
      </c>
      <c r="H1200" s="55">
        <v>0</v>
      </c>
      <c r="I1200" s="55">
        <v>0</v>
      </c>
      <c r="J1200" s="53" t="s">
        <v>5178</v>
      </c>
      <c r="K1200" s="53" t="s">
        <v>5924</v>
      </c>
      <c r="L1200" s="53" t="s">
        <v>4360</v>
      </c>
    </row>
    <row r="1201" spans="1:12" ht="15" customHeight="1" x14ac:dyDescent="0.35">
      <c r="A1201" s="53" t="s">
        <v>3644</v>
      </c>
      <c r="B1201" s="53" t="s">
        <v>2971</v>
      </c>
      <c r="C1201" s="55">
        <v>0</v>
      </c>
      <c r="D1201" s="55">
        <v>0</v>
      </c>
      <c r="E1201" s="53">
        <v>1</v>
      </c>
      <c r="F1201" s="53">
        <v>0</v>
      </c>
      <c r="G1201" s="55">
        <v>0</v>
      </c>
      <c r="H1201" s="55">
        <v>0</v>
      </c>
      <c r="I1201" s="55">
        <v>0</v>
      </c>
      <c r="J1201" s="53" t="s">
        <v>5306</v>
      </c>
      <c r="K1201" s="53" t="s">
        <v>5925</v>
      </c>
      <c r="L1201" s="53" t="s">
        <v>4360</v>
      </c>
    </row>
    <row r="1202" spans="1:12" ht="15" customHeight="1" x14ac:dyDescent="0.35">
      <c r="A1202" s="53" t="s">
        <v>3645</v>
      </c>
      <c r="B1202" s="53" t="s">
        <v>2257</v>
      </c>
      <c r="C1202" s="55">
        <v>0</v>
      </c>
      <c r="D1202" s="55">
        <v>0</v>
      </c>
      <c r="E1202" s="53">
        <v>1</v>
      </c>
      <c r="F1202" s="53">
        <v>0</v>
      </c>
      <c r="G1202" s="55">
        <v>0</v>
      </c>
      <c r="H1202" s="55">
        <v>0</v>
      </c>
      <c r="I1202" s="55">
        <v>0</v>
      </c>
      <c r="J1202" s="53" t="s">
        <v>4927</v>
      </c>
      <c r="K1202" s="53" t="s">
        <v>5926</v>
      </c>
      <c r="L1202" s="53" t="s">
        <v>4360</v>
      </c>
    </row>
    <row r="1203" spans="1:12" ht="15" customHeight="1" x14ac:dyDescent="0.35">
      <c r="A1203" s="53" t="s">
        <v>3646</v>
      </c>
      <c r="B1203" s="53" t="s">
        <v>946</v>
      </c>
      <c r="C1203" s="55">
        <v>0</v>
      </c>
      <c r="D1203" s="55">
        <v>0</v>
      </c>
      <c r="E1203" s="53">
        <v>1</v>
      </c>
      <c r="F1203" s="53">
        <v>0</v>
      </c>
      <c r="G1203" s="55">
        <v>0</v>
      </c>
      <c r="H1203" s="55">
        <v>0</v>
      </c>
      <c r="I1203" s="55">
        <v>0</v>
      </c>
      <c r="J1203" s="53" t="s">
        <v>4770</v>
      </c>
      <c r="K1203" s="53" t="s">
        <v>5927</v>
      </c>
      <c r="L1203" s="53" t="s">
        <v>4360</v>
      </c>
    </row>
    <row r="1204" spans="1:12" ht="15" customHeight="1" x14ac:dyDescent="0.35">
      <c r="A1204" s="53" t="s">
        <v>3647</v>
      </c>
      <c r="B1204" s="53" t="s">
        <v>2257</v>
      </c>
      <c r="C1204" s="55">
        <v>0</v>
      </c>
      <c r="D1204" s="55">
        <v>0</v>
      </c>
      <c r="E1204" s="53">
        <v>1</v>
      </c>
      <c r="F1204" s="53">
        <v>0</v>
      </c>
      <c r="G1204" s="55">
        <v>0</v>
      </c>
      <c r="H1204" s="55">
        <v>0</v>
      </c>
      <c r="I1204" s="55">
        <v>0</v>
      </c>
      <c r="J1204" s="53" t="s">
        <v>5316</v>
      </c>
      <c r="K1204" s="53" t="s">
        <v>5928</v>
      </c>
      <c r="L1204" s="53" t="s">
        <v>4360</v>
      </c>
    </row>
    <row r="1205" spans="1:12" ht="15" customHeight="1" x14ac:dyDescent="0.35">
      <c r="A1205" s="53" t="s">
        <v>3648</v>
      </c>
      <c r="B1205" s="53" t="s">
        <v>1136</v>
      </c>
      <c r="C1205" s="55">
        <v>0</v>
      </c>
      <c r="D1205" s="55">
        <v>0</v>
      </c>
      <c r="E1205" s="53">
        <v>1</v>
      </c>
      <c r="F1205" s="53">
        <v>0</v>
      </c>
      <c r="G1205" s="55">
        <v>0</v>
      </c>
      <c r="H1205" s="55">
        <v>0</v>
      </c>
      <c r="I1205" s="55">
        <v>0</v>
      </c>
      <c r="J1205" s="53" t="s">
        <v>5220</v>
      </c>
      <c r="K1205" s="53" t="s">
        <v>5929</v>
      </c>
      <c r="L1205" s="53" t="s">
        <v>4360</v>
      </c>
    </row>
    <row r="1206" spans="1:12" ht="15" customHeight="1" x14ac:dyDescent="0.35">
      <c r="A1206" s="53" t="s">
        <v>3649</v>
      </c>
      <c r="B1206" s="53" t="s">
        <v>2971</v>
      </c>
      <c r="C1206" s="55">
        <v>0</v>
      </c>
      <c r="D1206" s="55">
        <v>0</v>
      </c>
      <c r="E1206" s="53">
        <v>1</v>
      </c>
      <c r="F1206" s="53">
        <v>0</v>
      </c>
      <c r="G1206" s="55">
        <v>0</v>
      </c>
      <c r="H1206" s="55">
        <v>0</v>
      </c>
      <c r="I1206" s="55">
        <v>0</v>
      </c>
      <c r="J1206" s="53" t="s">
        <v>5306</v>
      </c>
      <c r="K1206" s="53" t="s">
        <v>5930</v>
      </c>
      <c r="L1206" s="53" t="s">
        <v>4360</v>
      </c>
    </row>
    <row r="1207" spans="1:12" ht="15" customHeight="1" x14ac:dyDescent="0.35">
      <c r="A1207" s="53" t="s">
        <v>3650</v>
      </c>
      <c r="B1207" s="53" t="s">
        <v>1077</v>
      </c>
      <c r="C1207" s="55">
        <v>0</v>
      </c>
      <c r="D1207" s="55">
        <v>0</v>
      </c>
      <c r="E1207" s="53">
        <v>1</v>
      </c>
      <c r="F1207" s="53">
        <v>0</v>
      </c>
      <c r="G1207" s="55">
        <v>0</v>
      </c>
      <c r="H1207" s="55">
        <v>0</v>
      </c>
      <c r="I1207" s="55">
        <v>0</v>
      </c>
      <c r="J1207" s="53" t="s">
        <v>4770</v>
      </c>
      <c r="K1207" s="53" t="s">
        <v>5931</v>
      </c>
      <c r="L1207" s="53" t="s">
        <v>4360</v>
      </c>
    </row>
    <row r="1208" spans="1:12" ht="15" customHeight="1" x14ac:dyDescent="0.35">
      <c r="A1208" s="53" t="s">
        <v>3651</v>
      </c>
      <c r="B1208" s="53" t="s">
        <v>2598</v>
      </c>
      <c r="C1208" s="55">
        <v>0</v>
      </c>
      <c r="D1208" s="55">
        <v>0</v>
      </c>
      <c r="E1208" s="53">
        <v>1</v>
      </c>
      <c r="F1208" s="53">
        <v>1</v>
      </c>
      <c r="G1208" s="55">
        <v>1</v>
      </c>
      <c r="H1208" s="55">
        <v>0</v>
      </c>
      <c r="I1208" s="55">
        <v>0</v>
      </c>
      <c r="J1208" s="53" t="s">
        <v>4927</v>
      </c>
      <c r="K1208" s="53" t="s">
        <v>5932</v>
      </c>
      <c r="L1208" s="53" t="s">
        <v>4360</v>
      </c>
    </row>
    <row r="1209" spans="1:12" ht="15" customHeight="1" x14ac:dyDescent="0.35">
      <c r="A1209" s="53" t="s">
        <v>3652</v>
      </c>
      <c r="B1209" s="53" t="s">
        <v>1129</v>
      </c>
      <c r="C1209" s="55">
        <v>0</v>
      </c>
      <c r="D1209" s="55">
        <v>0</v>
      </c>
      <c r="E1209" s="53">
        <v>1</v>
      </c>
      <c r="F1209" s="53">
        <v>0</v>
      </c>
      <c r="G1209" s="55">
        <v>0</v>
      </c>
      <c r="H1209" s="55">
        <v>0</v>
      </c>
      <c r="I1209" s="55">
        <v>0</v>
      </c>
      <c r="J1209" s="53" t="s">
        <v>5099</v>
      </c>
      <c r="K1209" s="53" t="s">
        <v>5933</v>
      </c>
      <c r="L1209" s="53" t="s">
        <v>4360</v>
      </c>
    </row>
    <row r="1210" spans="1:12" ht="15" customHeight="1" x14ac:dyDescent="0.35">
      <c r="A1210" s="53" t="s">
        <v>3653</v>
      </c>
      <c r="B1210" s="53" t="s">
        <v>1690</v>
      </c>
      <c r="C1210" s="55">
        <v>0</v>
      </c>
      <c r="D1210" s="55">
        <v>0</v>
      </c>
      <c r="E1210" s="53">
        <v>1</v>
      </c>
      <c r="F1210" s="53">
        <v>0</v>
      </c>
      <c r="G1210" s="55">
        <v>0</v>
      </c>
      <c r="H1210" s="55">
        <v>0</v>
      </c>
      <c r="I1210" s="55">
        <v>0</v>
      </c>
      <c r="J1210" s="53" t="s">
        <v>4770</v>
      </c>
      <c r="K1210" s="53" t="s">
        <v>5934</v>
      </c>
      <c r="L1210" s="53" t="s">
        <v>4360</v>
      </c>
    </row>
    <row r="1211" spans="1:12" ht="15" customHeight="1" x14ac:dyDescent="0.35">
      <c r="A1211" s="53" t="s">
        <v>3654</v>
      </c>
      <c r="B1211" s="53" t="s">
        <v>1009</v>
      </c>
      <c r="C1211" s="55">
        <v>0</v>
      </c>
      <c r="D1211" s="55">
        <v>0</v>
      </c>
      <c r="E1211" s="53">
        <v>1</v>
      </c>
      <c r="F1211" s="53">
        <v>0</v>
      </c>
      <c r="G1211" s="55">
        <v>0</v>
      </c>
      <c r="H1211" s="55">
        <v>0</v>
      </c>
      <c r="I1211" s="55">
        <v>0</v>
      </c>
      <c r="J1211" s="53" t="s">
        <v>4927</v>
      </c>
      <c r="K1211" s="53" t="s">
        <v>5935</v>
      </c>
      <c r="L1211" s="53" t="s">
        <v>4360</v>
      </c>
    </row>
    <row r="1212" spans="1:12" ht="15" customHeight="1" x14ac:dyDescent="0.35">
      <c r="A1212" s="53" t="s">
        <v>3655</v>
      </c>
      <c r="B1212" s="53" t="s">
        <v>989</v>
      </c>
      <c r="C1212" s="55">
        <v>0</v>
      </c>
      <c r="D1212" s="55">
        <v>0</v>
      </c>
      <c r="E1212" s="53">
        <v>1</v>
      </c>
      <c r="F1212" s="53">
        <v>0</v>
      </c>
      <c r="G1212" s="55">
        <v>0</v>
      </c>
      <c r="H1212" s="55">
        <v>0</v>
      </c>
      <c r="I1212" s="55">
        <v>0</v>
      </c>
      <c r="J1212" s="53" t="s">
        <v>5099</v>
      </c>
      <c r="K1212" s="53" t="s">
        <v>5936</v>
      </c>
      <c r="L1212" s="53" t="s">
        <v>4673</v>
      </c>
    </row>
    <row r="1213" spans="1:12" ht="15" customHeight="1" x14ac:dyDescent="0.35">
      <c r="A1213" s="53" t="s">
        <v>3656</v>
      </c>
      <c r="B1213" s="53" t="s">
        <v>989</v>
      </c>
      <c r="C1213" s="55">
        <v>0</v>
      </c>
      <c r="D1213" s="55">
        <v>0</v>
      </c>
      <c r="E1213" s="53">
        <v>1</v>
      </c>
      <c r="F1213" s="53">
        <v>0</v>
      </c>
      <c r="G1213" s="55">
        <v>0</v>
      </c>
      <c r="H1213" s="55">
        <v>0</v>
      </c>
      <c r="I1213" s="55">
        <v>0</v>
      </c>
      <c r="J1213" s="53" t="s">
        <v>5099</v>
      </c>
      <c r="K1213" s="53" t="s">
        <v>5936</v>
      </c>
      <c r="L1213" s="53" t="s">
        <v>4673</v>
      </c>
    </row>
    <row r="1214" spans="1:12" ht="15" customHeight="1" x14ac:dyDescent="0.35">
      <c r="A1214" s="53" t="s">
        <v>3657</v>
      </c>
      <c r="B1214" s="53" t="s">
        <v>1240</v>
      </c>
      <c r="C1214" s="55">
        <v>0</v>
      </c>
      <c r="D1214" s="55">
        <v>0</v>
      </c>
      <c r="E1214" s="53">
        <v>1</v>
      </c>
      <c r="F1214" s="53">
        <v>0</v>
      </c>
      <c r="G1214" s="55">
        <v>0</v>
      </c>
      <c r="H1214" s="55">
        <v>0</v>
      </c>
      <c r="I1214" s="55">
        <v>0</v>
      </c>
      <c r="J1214" s="53" t="s">
        <v>4927</v>
      </c>
      <c r="K1214" s="53" t="s">
        <v>5937</v>
      </c>
      <c r="L1214" s="53" t="s">
        <v>4673</v>
      </c>
    </row>
    <row r="1215" spans="1:12" ht="15" customHeight="1" x14ac:dyDescent="0.35">
      <c r="A1215" s="53" t="s">
        <v>3658</v>
      </c>
      <c r="B1215" s="53" t="s">
        <v>1129</v>
      </c>
      <c r="C1215" s="55">
        <v>0</v>
      </c>
      <c r="D1215" s="55">
        <v>0</v>
      </c>
      <c r="E1215" s="53">
        <v>1</v>
      </c>
      <c r="F1215" s="53">
        <v>0</v>
      </c>
      <c r="G1215" s="55">
        <v>0</v>
      </c>
      <c r="H1215" s="55">
        <v>0</v>
      </c>
      <c r="I1215" s="55">
        <v>0</v>
      </c>
      <c r="J1215" s="53" t="s">
        <v>4770</v>
      </c>
      <c r="K1215" s="53" t="s">
        <v>5938</v>
      </c>
      <c r="L1215" s="53" t="s">
        <v>4673</v>
      </c>
    </row>
    <row r="1216" spans="1:12" ht="15" customHeight="1" x14ac:dyDescent="0.35">
      <c r="A1216" s="53" t="s">
        <v>3659</v>
      </c>
      <c r="B1216" s="53" t="s">
        <v>3404</v>
      </c>
      <c r="C1216" s="55">
        <v>0</v>
      </c>
      <c r="D1216" s="55">
        <v>0</v>
      </c>
      <c r="E1216" s="53">
        <v>1</v>
      </c>
      <c r="F1216" s="53">
        <v>0</v>
      </c>
      <c r="G1216" s="55">
        <v>0</v>
      </c>
      <c r="H1216" s="55">
        <v>0</v>
      </c>
      <c r="I1216" s="55">
        <v>0</v>
      </c>
      <c r="J1216" s="53" t="s">
        <v>5067</v>
      </c>
      <c r="K1216" s="53" t="s">
        <v>5939</v>
      </c>
      <c r="L1216" s="53" t="s">
        <v>4673</v>
      </c>
    </row>
    <row r="1217" spans="1:12" ht="15" customHeight="1" x14ac:dyDescent="0.35">
      <c r="A1217" s="53" t="s">
        <v>3660</v>
      </c>
      <c r="B1217" s="53" t="s">
        <v>989</v>
      </c>
      <c r="C1217" s="55">
        <v>0</v>
      </c>
      <c r="D1217" s="55">
        <v>0</v>
      </c>
      <c r="E1217" s="53">
        <v>1</v>
      </c>
      <c r="F1217" s="53">
        <v>0</v>
      </c>
      <c r="G1217" s="55">
        <v>0</v>
      </c>
      <c r="H1217" s="55">
        <v>0</v>
      </c>
      <c r="I1217" s="55">
        <v>0</v>
      </c>
      <c r="J1217" s="53" t="s">
        <v>4684</v>
      </c>
      <c r="K1217" s="53" t="s">
        <v>5940</v>
      </c>
      <c r="L1217" s="53" t="s">
        <v>4673</v>
      </c>
    </row>
    <row r="1218" spans="1:12" ht="15" customHeight="1" x14ac:dyDescent="0.35">
      <c r="A1218" s="53" t="s">
        <v>3661</v>
      </c>
      <c r="B1218" s="53" t="s">
        <v>898</v>
      </c>
      <c r="C1218" s="55">
        <v>0</v>
      </c>
      <c r="D1218" s="55">
        <v>0</v>
      </c>
      <c r="E1218" s="53">
        <v>1</v>
      </c>
      <c r="F1218" s="53">
        <v>0</v>
      </c>
      <c r="G1218" s="55">
        <v>0</v>
      </c>
      <c r="H1218" s="55">
        <v>0</v>
      </c>
      <c r="I1218" s="55">
        <v>0</v>
      </c>
      <c r="J1218" s="53" t="s">
        <v>5067</v>
      </c>
      <c r="K1218" s="53" t="s">
        <v>5941</v>
      </c>
      <c r="L1218" s="53" t="s">
        <v>4673</v>
      </c>
    </row>
    <row r="1219" spans="1:12" ht="15" customHeight="1" x14ac:dyDescent="0.35">
      <c r="A1219" s="53" t="s">
        <v>3662</v>
      </c>
      <c r="B1219" s="53" t="s">
        <v>989</v>
      </c>
      <c r="C1219" s="55">
        <v>0</v>
      </c>
      <c r="D1219" s="55">
        <v>0</v>
      </c>
      <c r="E1219" s="53">
        <v>1</v>
      </c>
      <c r="F1219" s="53">
        <v>0</v>
      </c>
      <c r="G1219" s="55">
        <v>0</v>
      </c>
      <c r="H1219" s="55">
        <v>0</v>
      </c>
      <c r="I1219" s="55">
        <v>0</v>
      </c>
      <c r="J1219" s="53" t="s">
        <v>5067</v>
      </c>
      <c r="K1219" s="53" t="s">
        <v>5942</v>
      </c>
      <c r="L1219" s="53" t="s">
        <v>4673</v>
      </c>
    </row>
    <row r="1220" spans="1:12" ht="15" customHeight="1" x14ac:dyDescent="0.35">
      <c r="A1220" s="53" t="s">
        <v>3663</v>
      </c>
      <c r="B1220" s="53" t="s">
        <v>2598</v>
      </c>
      <c r="C1220" s="55">
        <v>0</v>
      </c>
      <c r="D1220" s="55">
        <v>0</v>
      </c>
      <c r="E1220" s="53">
        <v>1</v>
      </c>
      <c r="F1220" s="53">
        <v>1</v>
      </c>
      <c r="G1220" s="55">
        <v>1</v>
      </c>
      <c r="H1220" s="55">
        <v>0</v>
      </c>
      <c r="I1220" s="55">
        <v>0</v>
      </c>
      <c r="J1220" s="53" t="s">
        <v>4927</v>
      </c>
      <c r="K1220" s="53" t="s">
        <v>5943</v>
      </c>
      <c r="L1220" s="53" t="s">
        <v>4673</v>
      </c>
    </row>
    <row r="1221" spans="1:12" ht="15" customHeight="1" x14ac:dyDescent="0.35">
      <c r="A1221" s="53" t="s">
        <v>3664</v>
      </c>
      <c r="B1221" s="53" t="s">
        <v>909</v>
      </c>
      <c r="C1221" s="55">
        <v>0</v>
      </c>
      <c r="D1221" s="55">
        <v>0</v>
      </c>
      <c r="E1221" s="53">
        <v>1</v>
      </c>
      <c r="F1221" s="53">
        <v>0</v>
      </c>
      <c r="G1221" s="55">
        <v>0</v>
      </c>
      <c r="H1221" s="55">
        <v>0</v>
      </c>
      <c r="I1221" s="55">
        <v>0</v>
      </c>
      <c r="J1221" s="53" t="s">
        <v>4770</v>
      </c>
      <c r="K1221" s="53" t="s">
        <v>5944</v>
      </c>
      <c r="L1221" s="53" t="s">
        <v>4673</v>
      </c>
    </row>
    <row r="1222" spans="1:12" ht="15" customHeight="1" x14ac:dyDescent="0.35">
      <c r="A1222" s="53" t="s">
        <v>3665</v>
      </c>
      <c r="B1222" s="53" t="s">
        <v>1101</v>
      </c>
      <c r="C1222" s="55">
        <v>0</v>
      </c>
      <c r="D1222" s="55">
        <v>0</v>
      </c>
      <c r="E1222" s="53">
        <v>1</v>
      </c>
      <c r="F1222" s="53">
        <v>0</v>
      </c>
      <c r="G1222" s="55">
        <v>0</v>
      </c>
      <c r="H1222" s="55">
        <v>0</v>
      </c>
      <c r="I1222" s="55">
        <v>0</v>
      </c>
      <c r="J1222" s="53" t="s">
        <v>5099</v>
      </c>
      <c r="K1222" s="53" t="s">
        <v>5945</v>
      </c>
      <c r="L1222" s="53" t="s">
        <v>4673</v>
      </c>
    </row>
    <row r="1223" spans="1:12" ht="15" customHeight="1" x14ac:dyDescent="0.35">
      <c r="A1223" s="53" t="s">
        <v>3666</v>
      </c>
      <c r="B1223" s="53" t="s">
        <v>1101</v>
      </c>
      <c r="C1223" s="55">
        <v>0</v>
      </c>
      <c r="D1223" s="55">
        <v>0</v>
      </c>
      <c r="E1223" s="53">
        <v>1</v>
      </c>
      <c r="F1223" s="53">
        <v>0</v>
      </c>
      <c r="G1223" s="55">
        <v>0</v>
      </c>
      <c r="H1223" s="55">
        <v>0</v>
      </c>
      <c r="I1223" s="55">
        <v>0</v>
      </c>
      <c r="J1223" s="53" t="s">
        <v>5099</v>
      </c>
      <c r="K1223" s="53" t="s">
        <v>5946</v>
      </c>
      <c r="L1223" s="53" t="s">
        <v>4673</v>
      </c>
    </row>
    <row r="1224" spans="1:12" ht="15" customHeight="1" x14ac:dyDescent="0.35">
      <c r="A1224" s="53" t="s">
        <v>3667</v>
      </c>
      <c r="B1224" s="53" t="s">
        <v>1136</v>
      </c>
      <c r="C1224" s="55">
        <v>0</v>
      </c>
      <c r="D1224" s="55">
        <v>0</v>
      </c>
      <c r="E1224" s="53">
        <v>1</v>
      </c>
      <c r="F1224" s="53">
        <v>0</v>
      </c>
      <c r="G1224" s="55">
        <v>0</v>
      </c>
      <c r="H1224" s="55">
        <v>0</v>
      </c>
      <c r="I1224" s="55">
        <v>0</v>
      </c>
      <c r="J1224" s="53" t="s">
        <v>4770</v>
      </c>
      <c r="K1224" s="53" t="s">
        <v>5947</v>
      </c>
      <c r="L1224" s="53" t="s">
        <v>4673</v>
      </c>
    </row>
    <row r="1225" spans="1:12" ht="15" customHeight="1" x14ac:dyDescent="0.35">
      <c r="A1225" s="53" t="s">
        <v>3668</v>
      </c>
      <c r="B1225" s="53" t="s">
        <v>1111</v>
      </c>
      <c r="C1225" s="55">
        <v>0</v>
      </c>
      <c r="D1225" s="55">
        <v>0</v>
      </c>
      <c r="E1225" s="53">
        <v>1</v>
      </c>
      <c r="F1225" s="53">
        <v>0</v>
      </c>
      <c r="G1225" s="55">
        <v>0</v>
      </c>
      <c r="H1225" s="55">
        <v>0</v>
      </c>
      <c r="I1225" s="55">
        <v>0</v>
      </c>
      <c r="J1225" s="53" t="s">
        <v>4927</v>
      </c>
      <c r="K1225" s="53" t="s">
        <v>5948</v>
      </c>
      <c r="L1225" s="53" t="s">
        <v>4673</v>
      </c>
    </row>
    <row r="1226" spans="1:12" ht="15" customHeight="1" x14ac:dyDescent="0.35">
      <c r="A1226" s="53" t="s">
        <v>3669</v>
      </c>
      <c r="B1226" s="53" t="s">
        <v>1494</v>
      </c>
      <c r="C1226" s="55">
        <v>0</v>
      </c>
      <c r="D1226" s="55">
        <v>0</v>
      </c>
      <c r="E1226" s="53">
        <v>1</v>
      </c>
      <c r="F1226" s="53">
        <v>0</v>
      </c>
      <c r="G1226" s="55">
        <v>0</v>
      </c>
      <c r="H1226" s="55">
        <v>0</v>
      </c>
      <c r="I1226" s="55">
        <v>0</v>
      </c>
      <c r="J1226" s="53" t="s">
        <v>5067</v>
      </c>
      <c r="K1226" s="53" t="s">
        <v>5949</v>
      </c>
      <c r="L1226" s="53" t="s">
        <v>4673</v>
      </c>
    </row>
    <row r="1227" spans="1:12" ht="15" customHeight="1" x14ac:dyDescent="0.35">
      <c r="A1227" s="53" t="s">
        <v>3670</v>
      </c>
      <c r="B1227" s="53" t="s">
        <v>909</v>
      </c>
      <c r="C1227" s="55">
        <v>0</v>
      </c>
      <c r="D1227" s="55">
        <v>0</v>
      </c>
      <c r="E1227" s="53">
        <v>1</v>
      </c>
      <c r="F1227" s="53">
        <v>0</v>
      </c>
      <c r="G1227" s="55">
        <v>0</v>
      </c>
      <c r="H1227" s="55">
        <v>0</v>
      </c>
      <c r="I1227" s="55">
        <v>0</v>
      </c>
      <c r="J1227" s="53" t="s">
        <v>4770</v>
      </c>
      <c r="K1227" s="53" t="s">
        <v>5950</v>
      </c>
      <c r="L1227" s="53" t="s">
        <v>4673</v>
      </c>
    </row>
    <row r="1228" spans="1:12" ht="15" customHeight="1" x14ac:dyDescent="0.35">
      <c r="A1228" s="53" t="s">
        <v>3671</v>
      </c>
      <c r="B1228" s="53" t="s">
        <v>2598</v>
      </c>
      <c r="C1228" s="55">
        <v>0</v>
      </c>
      <c r="D1228" s="55">
        <v>0</v>
      </c>
      <c r="E1228" s="53">
        <v>1</v>
      </c>
      <c r="F1228" s="53">
        <v>1</v>
      </c>
      <c r="G1228" s="55">
        <v>1</v>
      </c>
      <c r="H1228" s="55">
        <v>0</v>
      </c>
      <c r="I1228" s="55">
        <v>0</v>
      </c>
      <c r="J1228" s="53" t="s">
        <v>4927</v>
      </c>
      <c r="K1228" s="53" t="s">
        <v>5951</v>
      </c>
      <c r="L1228" s="53" t="s">
        <v>4673</v>
      </c>
    </row>
    <row r="1229" spans="1:12" ht="15" customHeight="1" x14ac:dyDescent="0.35">
      <c r="A1229" s="53" t="s">
        <v>3672</v>
      </c>
      <c r="B1229" s="53" t="s">
        <v>1101</v>
      </c>
      <c r="C1229" s="55">
        <v>0</v>
      </c>
      <c r="D1229" s="55">
        <v>0</v>
      </c>
      <c r="E1229" s="53">
        <v>1</v>
      </c>
      <c r="F1229" s="53">
        <v>0</v>
      </c>
      <c r="G1229" s="55">
        <v>0</v>
      </c>
      <c r="H1229" s="55">
        <v>0</v>
      </c>
      <c r="I1229" s="55">
        <v>0</v>
      </c>
      <c r="J1229" s="53" t="s">
        <v>4927</v>
      </c>
      <c r="K1229" s="53" t="s">
        <v>5952</v>
      </c>
      <c r="L1229" s="53" t="s">
        <v>4673</v>
      </c>
    </row>
    <row r="1230" spans="1:12" ht="15" customHeight="1" x14ac:dyDescent="0.35">
      <c r="A1230" s="53" t="s">
        <v>3673</v>
      </c>
      <c r="B1230" s="53" t="s">
        <v>1212</v>
      </c>
      <c r="C1230" s="55">
        <v>0</v>
      </c>
      <c r="D1230" s="55">
        <v>0</v>
      </c>
      <c r="E1230" s="53">
        <v>1</v>
      </c>
      <c r="F1230" s="53">
        <v>0</v>
      </c>
      <c r="G1230" s="55">
        <v>0</v>
      </c>
      <c r="H1230" s="55">
        <v>0</v>
      </c>
      <c r="I1230" s="55">
        <v>0</v>
      </c>
      <c r="J1230" s="53" t="s">
        <v>5359</v>
      </c>
      <c r="K1230" s="53" t="s">
        <v>5953</v>
      </c>
      <c r="L1230" s="53" t="s">
        <v>4673</v>
      </c>
    </row>
    <row r="1231" spans="1:12" ht="15" customHeight="1" x14ac:dyDescent="0.35">
      <c r="A1231" s="53" t="s">
        <v>3674</v>
      </c>
      <c r="B1231" s="53" t="s">
        <v>1143</v>
      </c>
      <c r="C1231" s="55">
        <v>0</v>
      </c>
      <c r="D1231" s="55">
        <v>0</v>
      </c>
      <c r="E1231" s="53">
        <v>1</v>
      </c>
      <c r="F1231" s="53">
        <v>0</v>
      </c>
      <c r="G1231" s="55">
        <v>0</v>
      </c>
      <c r="H1231" s="55">
        <v>0</v>
      </c>
      <c r="I1231" s="55">
        <v>0</v>
      </c>
      <c r="J1231" s="53" t="s">
        <v>4770</v>
      </c>
      <c r="K1231" s="53" t="s">
        <v>5954</v>
      </c>
      <c r="L1231" s="53" t="s">
        <v>4686</v>
      </c>
    </row>
    <row r="1232" spans="1:12" ht="15" customHeight="1" x14ac:dyDescent="0.35">
      <c r="A1232" s="53" t="s">
        <v>3675</v>
      </c>
      <c r="B1232" s="53" t="s">
        <v>1009</v>
      </c>
      <c r="C1232" s="55">
        <v>0</v>
      </c>
      <c r="D1232" s="55">
        <v>0</v>
      </c>
      <c r="E1232" s="53">
        <v>1</v>
      </c>
      <c r="F1232" s="53">
        <v>0</v>
      </c>
      <c r="G1232" s="55">
        <v>0</v>
      </c>
      <c r="H1232" s="55">
        <v>0</v>
      </c>
      <c r="I1232" s="55">
        <v>0</v>
      </c>
      <c r="J1232" s="53" t="s">
        <v>4927</v>
      </c>
      <c r="K1232" s="53" t="s">
        <v>5955</v>
      </c>
      <c r="L1232" s="53" t="s">
        <v>4686</v>
      </c>
    </row>
    <row r="1233" spans="1:12" ht="15" customHeight="1" x14ac:dyDescent="0.35">
      <c r="A1233" s="53" t="s">
        <v>3676</v>
      </c>
      <c r="B1233" s="53" t="s">
        <v>1077</v>
      </c>
      <c r="C1233" s="55">
        <v>0</v>
      </c>
      <c r="D1233" s="55">
        <v>0</v>
      </c>
      <c r="E1233" s="53">
        <v>1</v>
      </c>
      <c r="F1233" s="53">
        <v>0</v>
      </c>
      <c r="G1233" s="55">
        <v>0</v>
      </c>
      <c r="H1233" s="55">
        <v>0</v>
      </c>
      <c r="I1233" s="55">
        <v>0</v>
      </c>
      <c r="J1233" s="53" t="s">
        <v>5178</v>
      </c>
      <c r="K1233" s="53" t="s">
        <v>5956</v>
      </c>
      <c r="L1233" s="53" t="s">
        <v>4871</v>
      </c>
    </row>
    <row r="1234" spans="1:12" ht="15" customHeight="1" x14ac:dyDescent="0.35">
      <c r="A1234" s="53" t="s">
        <v>3677</v>
      </c>
      <c r="B1234" s="53" t="s">
        <v>909</v>
      </c>
      <c r="C1234" s="55">
        <v>0</v>
      </c>
      <c r="D1234" s="55">
        <v>0</v>
      </c>
      <c r="E1234" s="53">
        <v>1</v>
      </c>
      <c r="F1234" s="53">
        <v>0</v>
      </c>
      <c r="G1234" s="55">
        <v>0</v>
      </c>
      <c r="H1234" s="55">
        <v>0</v>
      </c>
      <c r="I1234" s="55">
        <v>0</v>
      </c>
      <c r="J1234" s="53" t="s">
        <v>4770</v>
      </c>
      <c r="K1234" s="53" t="s">
        <v>5957</v>
      </c>
      <c r="L1234" s="53" t="s">
        <v>4871</v>
      </c>
    </row>
    <row r="1235" spans="1:12" ht="15" customHeight="1" x14ac:dyDescent="0.35">
      <c r="A1235" s="53" t="s">
        <v>3678</v>
      </c>
      <c r="B1235" s="53" t="s">
        <v>1494</v>
      </c>
      <c r="C1235" s="55">
        <v>0</v>
      </c>
      <c r="D1235" s="55">
        <v>0</v>
      </c>
      <c r="E1235" s="53">
        <v>1</v>
      </c>
      <c r="F1235" s="53">
        <v>0</v>
      </c>
      <c r="G1235" s="55">
        <v>0</v>
      </c>
      <c r="H1235" s="55">
        <v>0</v>
      </c>
      <c r="I1235" s="55">
        <v>0</v>
      </c>
      <c r="J1235" s="53" t="s">
        <v>5067</v>
      </c>
      <c r="K1235" s="53" t="s">
        <v>5958</v>
      </c>
      <c r="L1235" s="53" t="s">
        <v>4871</v>
      </c>
    </row>
    <row r="1236" spans="1:12" ht="15" customHeight="1" x14ac:dyDescent="0.35">
      <c r="A1236" s="53" t="s">
        <v>3679</v>
      </c>
      <c r="B1236" s="53" t="s">
        <v>1240</v>
      </c>
      <c r="C1236" s="55">
        <v>0</v>
      </c>
      <c r="D1236" s="55">
        <v>0</v>
      </c>
      <c r="E1236" s="53">
        <v>1</v>
      </c>
      <c r="F1236" s="53">
        <v>0</v>
      </c>
      <c r="G1236" s="55">
        <v>0</v>
      </c>
      <c r="H1236" s="55">
        <v>0</v>
      </c>
      <c r="I1236" s="55">
        <v>0</v>
      </c>
      <c r="J1236" s="53" t="s">
        <v>4927</v>
      </c>
      <c r="K1236" s="53" t="s">
        <v>5959</v>
      </c>
      <c r="L1236" s="53" t="s">
        <v>4871</v>
      </c>
    </row>
    <row r="1237" spans="1:12" ht="15" customHeight="1" x14ac:dyDescent="0.35">
      <c r="A1237" s="53" t="s">
        <v>3680</v>
      </c>
      <c r="B1237" s="53" t="s">
        <v>1143</v>
      </c>
      <c r="C1237" s="55">
        <v>0</v>
      </c>
      <c r="D1237" s="55">
        <v>0</v>
      </c>
      <c r="E1237" s="53">
        <v>1</v>
      </c>
      <c r="F1237" s="53">
        <v>0</v>
      </c>
      <c r="G1237" s="55">
        <v>0</v>
      </c>
      <c r="H1237" s="55">
        <v>0</v>
      </c>
      <c r="I1237" s="55">
        <v>0</v>
      </c>
      <c r="J1237" s="53" t="s">
        <v>4770</v>
      </c>
      <c r="K1237" s="53" t="s">
        <v>5960</v>
      </c>
      <c r="L1237" s="53" t="s">
        <v>4871</v>
      </c>
    </row>
    <row r="1238" spans="1:12" ht="15" customHeight="1" x14ac:dyDescent="0.35">
      <c r="A1238" s="53" t="s">
        <v>3681</v>
      </c>
      <c r="B1238" s="53" t="s">
        <v>1077</v>
      </c>
      <c r="C1238" s="55">
        <v>0</v>
      </c>
      <c r="D1238" s="55">
        <v>0</v>
      </c>
      <c r="E1238" s="53">
        <v>1</v>
      </c>
      <c r="F1238" s="53">
        <v>0</v>
      </c>
      <c r="G1238" s="55">
        <v>0</v>
      </c>
      <c r="H1238" s="55">
        <v>0</v>
      </c>
      <c r="I1238" s="55">
        <v>0</v>
      </c>
      <c r="J1238" s="53" t="s">
        <v>4770</v>
      </c>
      <c r="K1238" s="53" t="s">
        <v>5961</v>
      </c>
      <c r="L1238" s="53" t="s">
        <v>4871</v>
      </c>
    </row>
    <row r="1239" spans="1:12" ht="15" customHeight="1" x14ac:dyDescent="0.35">
      <c r="A1239" s="53" t="s">
        <v>3682</v>
      </c>
      <c r="B1239" s="53" t="s">
        <v>942</v>
      </c>
      <c r="C1239" s="55">
        <v>0</v>
      </c>
      <c r="D1239" s="55">
        <v>0</v>
      </c>
      <c r="E1239" s="53">
        <v>1</v>
      </c>
      <c r="F1239" s="53">
        <v>1</v>
      </c>
      <c r="G1239" s="55">
        <v>1</v>
      </c>
      <c r="H1239" s="55">
        <v>0</v>
      </c>
      <c r="I1239" s="55">
        <v>0</v>
      </c>
      <c r="J1239" s="53" t="s">
        <v>4770</v>
      </c>
      <c r="K1239" s="53" t="s">
        <v>5962</v>
      </c>
      <c r="L1239" s="53" t="s">
        <v>4871</v>
      </c>
    </row>
    <row r="1240" spans="1:12" ht="15" customHeight="1" x14ac:dyDescent="0.35">
      <c r="A1240" s="53" t="s">
        <v>3683</v>
      </c>
      <c r="B1240" s="53" t="s">
        <v>1077</v>
      </c>
      <c r="C1240" s="55">
        <v>0</v>
      </c>
      <c r="D1240" s="55">
        <v>0</v>
      </c>
      <c r="E1240" s="53">
        <v>1</v>
      </c>
      <c r="F1240" s="53">
        <v>0</v>
      </c>
      <c r="G1240" s="55">
        <v>0</v>
      </c>
      <c r="H1240" s="55">
        <v>0</v>
      </c>
      <c r="I1240" s="55">
        <v>0</v>
      </c>
      <c r="J1240" s="53" t="s">
        <v>4770</v>
      </c>
      <c r="K1240" s="53" t="s">
        <v>5963</v>
      </c>
      <c r="L1240" s="53" t="s">
        <v>4871</v>
      </c>
    </row>
    <row r="1241" spans="1:12" ht="15" customHeight="1" x14ac:dyDescent="0.35">
      <c r="A1241" s="53" t="s">
        <v>3684</v>
      </c>
      <c r="B1241" s="53" t="s">
        <v>1077</v>
      </c>
      <c r="C1241" s="55">
        <v>0</v>
      </c>
      <c r="D1241" s="55">
        <v>0</v>
      </c>
      <c r="E1241" s="53">
        <v>1</v>
      </c>
      <c r="F1241" s="53">
        <v>0</v>
      </c>
      <c r="G1241" s="55">
        <v>0</v>
      </c>
      <c r="H1241" s="55">
        <v>0</v>
      </c>
      <c r="I1241" s="55">
        <v>0</v>
      </c>
      <c r="J1241" s="53" t="s">
        <v>4684</v>
      </c>
      <c r="K1241" s="53" t="s">
        <v>5964</v>
      </c>
      <c r="L1241" s="53" t="s">
        <v>4360</v>
      </c>
    </row>
    <row r="1242" spans="1:12" ht="15" customHeight="1" x14ac:dyDescent="0.35">
      <c r="A1242" s="53" t="s">
        <v>3685</v>
      </c>
      <c r="B1242" s="53" t="s">
        <v>2971</v>
      </c>
      <c r="C1242" s="55">
        <v>0</v>
      </c>
      <c r="D1242" s="55">
        <v>0</v>
      </c>
      <c r="E1242" s="53">
        <v>1</v>
      </c>
      <c r="F1242" s="53">
        <v>0</v>
      </c>
      <c r="G1242" s="55">
        <v>0</v>
      </c>
      <c r="H1242" s="55">
        <v>0</v>
      </c>
      <c r="I1242" s="55">
        <v>0</v>
      </c>
      <c r="J1242" s="53" t="s">
        <v>5178</v>
      </c>
      <c r="K1242" s="53" t="s">
        <v>5965</v>
      </c>
      <c r="L1242" s="53" t="s">
        <v>4360</v>
      </c>
    </row>
    <row r="1243" spans="1:12" ht="15" customHeight="1" x14ac:dyDescent="0.35">
      <c r="A1243" s="53" t="s">
        <v>3686</v>
      </c>
      <c r="B1243" s="53" t="s">
        <v>1077</v>
      </c>
      <c r="C1243" s="55">
        <v>0</v>
      </c>
      <c r="D1243" s="55">
        <v>0</v>
      </c>
      <c r="E1243" s="53">
        <v>1</v>
      </c>
      <c r="F1243" s="53">
        <v>0</v>
      </c>
      <c r="G1243" s="55">
        <v>0</v>
      </c>
      <c r="H1243" s="55">
        <v>0</v>
      </c>
      <c r="I1243" s="55">
        <v>0</v>
      </c>
      <c r="J1243" s="53" t="s">
        <v>4770</v>
      </c>
      <c r="K1243" s="53" t="s">
        <v>5966</v>
      </c>
      <c r="L1243" s="53" t="s">
        <v>4360</v>
      </c>
    </row>
    <row r="1244" spans="1:12" ht="15" customHeight="1" x14ac:dyDescent="0.35">
      <c r="A1244" s="53" t="s">
        <v>3687</v>
      </c>
      <c r="B1244" s="53" t="s">
        <v>1077</v>
      </c>
      <c r="C1244" s="55">
        <v>0</v>
      </c>
      <c r="D1244" s="55">
        <v>0</v>
      </c>
      <c r="E1244" s="53">
        <v>1</v>
      </c>
      <c r="F1244" s="53">
        <v>0</v>
      </c>
      <c r="G1244" s="55">
        <v>0</v>
      </c>
      <c r="H1244" s="55">
        <v>0</v>
      </c>
      <c r="I1244" s="55">
        <v>0</v>
      </c>
      <c r="J1244" s="53" t="s">
        <v>4770</v>
      </c>
      <c r="K1244" s="53" t="s">
        <v>5966</v>
      </c>
      <c r="L1244" s="53" t="s">
        <v>4360</v>
      </c>
    </row>
    <row r="1245" spans="1:12" ht="15" customHeight="1" x14ac:dyDescent="0.35">
      <c r="A1245" s="53" t="s">
        <v>3688</v>
      </c>
      <c r="B1245" s="53" t="s">
        <v>1077</v>
      </c>
      <c r="C1245" s="55">
        <v>0</v>
      </c>
      <c r="D1245" s="55">
        <v>0</v>
      </c>
      <c r="E1245" s="53">
        <v>1</v>
      </c>
      <c r="F1245" s="53">
        <v>0</v>
      </c>
      <c r="G1245" s="55">
        <v>0</v>
      </c>
      <c r="H1245" s="55">
        <v>0</v>
      </c>
      <c r="I1245" s="55">
        <v>0</v>
      </c>
      <c r="J1245" s="53" t="s">
        <v>4770</v>
      </c>
      <c r="K1245" s="53" t="s">
        <v>5966</v>
      </c>
      <c r="L1245" s="53" t="s">
        <v>4360</v>
      </c>
    </row>
    <row r="1246" spans="1:12" ht="15" customHeight="1" x14ac:dyDescent="0.35">
      <c r="A1246" s="53" t="s">
        <v>3689</v>
      </c>
      <c r="B1246" s="53" t="s">
        <v>1077</v>
      </c>
      <c r="C1246" s="55">
        <v>0</v>
      </c>
      <c r="D1246" s="55">
        <v>0</v>
      </c>
      <c r="E1246" s="53">
        <v>1</v>
      </c>
      <c r="F1246" s="53">
        <v>0</v>
      </c>
      <c r="G1246" s="55">
        <v>0</v>
      </c>
      <c r="H1246" s="55">
        <v>0</v>
      </c>
      <c r="I1246" s="55">
        <v>0</v>
      </c>
      <c r="J1246" s="53" t="s">
        <v>4770</v>
      </c>
      <c r="K1246" s="53" t="s">
        <v>5966</v>
      </c>
      <c r="L1246" s="53" t="s">
        <v>4360</v>
      </c>
    </row>
    <row r="1247" spans="1:12" ht="15" customHeight="1" x14ac:dyDescent="0.35">
      <c r="A1247" s="53" t="s">
        <v>3690</v>
      </c>
      <c r="B1247" s="53" t="s">
        <v>1111</v>
      </c>
      <c r="C1247" s="55">
        <v>0</v>
      </c>
      <c r="D1247" s="55">
        <v>0</v>
      </c>
      <c r="E1247" s="53">
        <v>1</v>
      </c>
      <c r="F1247" s="53">
        <v>0</v>
      </c>
      <c r="G1247" s="55">
        <v>0</v>
      </c>
      <c r="H1247" s="55">
        <v>0</v>
      </c>
      <c r="I1247" s="55">
        <v>0</v>
      </c>
      <c r="J1247" s="53" t="s">
        <v>4927</v>
      </c>
      <c r="K1247" s="53" t="s">
        <v>5967</v>
      </c>
      <c r="L1247" s="53" t="s">
        <v>4360</v>
      </c>
    </row>
    <row r="1248" spans="1:12" ht="15" customHeight="1" x14ac:dyDescent="0.35">
      <c r="A1248" s="53" t="s">
        <v>3691</v>
      </c>
      <c r="B1248" s="53" t="s">
        <v>1494</v>
      </c>
      <c r="C1248" s="55">
        <v>0</v>
      </c>
      <c r="D1248" s="55">
        <v>0</v>
      </c>
      <c r="E1248" s="53">
        <v>1</v>
      </c>
      <c r="F1248" s="53">
        <v>0</v>
      </c>
      <c r="G1248" s="55">
        <v>0</v>
      </c>
      <c r="H1248" s="55">
        <v>0</v>
      </c>
      <c r="I1248" s="55">
        <v>0</v>
      </c>
      <c r="J1248" s="53" t="s">
        <v>5067</v>
      </c>
      <c r="K1248" s="53" t="s">
        <v>5968</v>
      </c>
      <c r="L1248" s="53" t="s">
        <v>4673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pageSetUpPr fitToPage="1"/>
  </sheetPr>
  <dimension ref="A1:E130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9" customWidth="1"/>
    <col min="3" max="3" width="29" customWidth="1"/>
    <col min="4" max="4" width="20" customWidth="1"/>
    <col min="5" max="5" width="36" customWidth="1"/>
  </cols>
  <sheetData>
    <row r="1" spans="1:5" ht="15" customHeight="1" x14ac:dyDescent="0.35">
      <c r="A1" s="11" t="s">
        <v>3706</v>
      </c>
      <c r="B1" s="11" t="s">
        <v>5970</v>
      </c>
      <c r="C1" s="11" t="s">
        <v>5971</v>
      </c>
      <c r="D1" s="11" t="s">
        <v>5972</v>
      </c>
      <c r="E1" s="11" t="s">
        <v>32</v>
      </c>
    </row>
    <row r="2" spans="1:5" ht="15" customHeight="1" x14ac:dyDescent="0.35">
      <c r="A2" s="53" t="s">
        <v>650</v>
      </c>
      <c r="B2" s="53" t="s">
        <v>5973</v>
      </c>
      <c r="C2" s="53" t="s">
        <v>652</v>
      </c>
      <c r="D2" s="56">
        <v>0.93573742972360596</v>
      </c>
      <c r="E2" s="53" t="s">
        <v>5974</v>
      </c>
    </row>
    <row r="3" spans="1:5" ht="15" customHeight="1" x14ac:dyDescent="0.35">
      <c r="A3" s="53" t="s">
        <v>650</v>
      </c>
      <c r="B3" s="53" t="s">
        <v>5975</v>
      </c>
      <c r="C3" s="53" t="s">
        <v>658</v>
      </c>
      <c r="D3" s="56">
        <v>0.93788845059748105</v>
      </c>
      <c r="E3" s="53" t="s">
        <v>5974</v>
      </c>
    </row>
    <row r="4" spans="1:5" ht="15" customHeight="1" x14ac:dyDescent="0.35">
      <c r="A4" s="53" t="s">
        <v>660</v>
      </c>
      <c r="B4" s="53" t="s">
        <v>5976</v>
      </c>
      <c r="C4" s="53" t="s">
        <v>661</v>
      </c>
      <c r="D4" s="56">
        <v>0.85009311418934097</v>
      </c>
      <c r="E4" s="53" t="s">
        <v>5974</v>
      </c>
    </row>
    <row r="5" spans="1:5" ht="15" customHeight="1" x14ac:dyDescent="0.35">
      <c r="A5" s="53" t="s">
        <v>663</v>
      </c>
      <c r="B5" s="53" t="s">
        <v>5977</v>
      </c>
      <c r="C5" s="53" t="s">
        <v>664</v>
      </c>
      <c r="D5" s="56">
        <v>0.89155039501153299</v>
      </c>
      <c r="E5" s="53" t="s">
        <v>5974</v>
      </c>
    </row>
    <row r="6" spans="1:5" ht="15" customHeight="1" x14ac:dyDescent="0.35">
      <c r="A6" s="53" t="s">
        <v>663</v>
      </c>
      <c r="B6" s="53" t="s">
        <v>5978</v>
      </c>
      <c r="C6" s="53" t="s">
        <v>666</v>
      </c>
      <c r="D6" s="56">
        <v>0.89417700866197702</v>
      </c>
      <c r="E6" s="53" t="s">
        <v>5974</v>
      </c>
    </row>
    <row r="7" spans="1:5" ht="15" customHeight="1" x14ac:dyDescent="0.35">
      <c r="A7" s="53" t="s">
        <v>660</v>
      </c>
      <c r="B7" s="53" t="s">
        <v>5979</v>
      </c>
      <c r="C7" s="53" t="s">
        <v>668</v>
      </c>
      <c r="D7" s="56">
        <v>0.88299186741387103</v>
      </c>
      <c r="E7" s="53" t="s">
        <v>5974</v>
      </c>
    </row>
    <row r="8" spans="1:5" ht="15" customHeight="1" x14ac:dyDescent="0.35">
      <c r="A8" s="53" t="s">
        <v>660</v>
      </c>
      <c r="B8" s="53" t="s">
        <v>5980</v>
      </c>
      <c r="C8" s="53" t="s">
        <v>670</v>
      </c>
      <c r="D8" s="56">
        <v>0.86696437707349105</v>
      </c>
      <c r="E8" s="53" t="s">
        <v>5974</v>
      </c>
    </row>
    <row r="9" spans="1:5" ht="15" customHeight="1" x14ac:dyDescent="0.35">
      <c r="A9" s="53" t="s">
        <v>660</v>
      </c>
      <c r="B9" s="53" t="s">
        <v>5981</v>
      </c>
      <c r="C9" s="53" t="s">
        <v>672</v>
      </c>
      <c r="D9" s="56">
        <v>0.742419434114447</v>
      </c>
      <c r="E9" s="53" t="s">
        <v>5974</v>
      </c>
    </row>
    <row r="10" spans="1:5" ht="15" customHeight="1" x14ac:dyDescent="0.35">
      <c r="A10" s="53" t="s">
        <v>660</v>
      </c>
      <c r="B10" s="53" t="s">
        <v>5982</v>
      </c>
      <c r="C10" s="53" t="s">
        <v>674</v>
      </c>
      <c r="D10" s="56">
        <v>0.74045890499767397</v>
      </c>
      <c r="E10" s="53" t="s">
        <v>5974</v>
      </c>
    </row>
    <row r="11" spans="1:5" ht="15" customHeight="1" x14ac:dyDescent="0.35">
      <c r="A11" s="53" t="s">
        <v>676</v>
      </c>
      <c r="B11" s="53" t="s">
        <v>5983</v>
      </c>
      <c r="C11" s="53" t="s">
        <v>677</v>
      </c>
      <c r="D11" s="56">
        <v>0.89959501057090496</v>
      </c>
      <c r="E11" s="53" t="s">
        <v>5974</v>
      </c>
    </row>
    <row r="12" spans="1:5" ht="15" customHeight="1" x14ac:dyDescent="0.35">
      <c r="A12" s="53" t="s">
        <v>679</v>
      </c>
      <c r="B12" s="53" t="s">
        <v>5984</v>
      </c>
      <c r="C12" s="53" t="s">
        <v>680</v>
      </c>
      <c r="D12" s="56">
        <v>0.82791392760917104</v>
      </c>
      <c r="E12" s="53" t="s">
        <v>5974</v>
      </c>
    </row>
    <row r="13" spans="1:5" ht="15" customHeight="1" x14ac:dyDescent="0.35">
      <c r="A13" s="53" t="s">
        <v>679</v>
      </c>
      <c r="B13" s="53" t="s">
        <v>5985</v>
      </c>
      <c r="C13" s="53" t="s">
        <v>682</v>
      </c>
      <c r="D13" s="56">
        <v>0.82802864691787503</v>
      </c>
      <c r="E13" s="53" t="s">
        <v>5974</v>
      </c>
    </row>
    <row r="14" spans="1:5" ht="15" customHeight="1" x14ac:dyDescent="0.35">
      <c r="A14" s="53" t="s">
        <v>660</v>
      </c>
      <c r="B14" s="53" t="s">
        <v>5986</v>
      </c>
      <c r="C14" s="53" t="s">
        <v>683</v>
      </c>
      <c r="D14" s="56">
        <v>0.88994978641518596</v>
      </c>
      <c r="E14" s="53" t="s">
        <v>5974</v>
      </c>
    </row>
    <row r="15" spans="1:5" ht="15" customHeight="1" x14ac:dyDescent="0.35">
      <c r="A15" s="53" t="s">
        <v>660</v>
      </c>
      <c r="B15" s="53" t="s">
        <v>5987</v>
      </c>
      <c r="C15" s="53" t="s">
        <v>685</v>
      </c>
      <c r="D15" s="56">
        <v>0.88641825885012304</v>
      </c>
      <c r="E15" s="53" t="s">
        <v>5974</v>
      </c>
    </row>
    <row r="16" spans="1:5" ht="15" customHeight="1" x14ac:dyDescent="0.35">
      <c r="A16" s="53" t="s">
        <v>660</v>
      </c>
      <c r="B16" s="53" t="s">
        <v>5988</v>
      </c>
      <c r="C16" s="53" t="s">
        <v>687</v>
      </c>
      <c r="D16" s="56">
        <v>0.88024814143795105</v>
      </c>
      <c r="E16" s="53" t="s">
        <v>5974</v>
      </c>
    </row>
    <row r="17" spans="1:5" ht="15" customHeight="1" x14ac:dyDescent="0.35">
      <c r="A17" s="53" t="s">
        <v>650</v>
      </c>
      <c r="B17" s="53" t="s">
        <v>5989</v>
      </c>
      <c r="C17" s="53" t="s">
        <v>689</v>
      </c>
      <c r="D17" s="56">
        <v>0.94049334786453997</v>
      </c>
      <c r="E17" s="53" t="s">
        <v>5974</v>
      </c>
    </row>
    <row r="18" spans="1:5" ht="15" customHeight="1" x14ac:dyDescent="0.35">
      <c r="A18" s="53" t="s">
        <v>650</v>
      </c>
      <c r="B18" s="53" t="s">
        <v>5990</v>
      </c>
      <c r="C18" s="53" t="s">
        <v>691</v>
      </c>
      <c r="D18" s="56">
        <v>0.92235667047793801</v>
      </c>
      <c r="E18" s="53" t="s">
        <v>5974</v>
      </c>
    </row>
    <row r="19" spans="1:5" ht="15" customHeight="1" x14ac:dyDescent="0.35">
      <c r="A19" s="53" t="s">
        <v>650</v>
      </c>
      <c r="B19" s="53" t="s">
        <v>5991</v>
      </c>
      <c r="C19" s="53" t="s">
        <v>693</v>
      </c>
      <c r="D19" s="56">
        <v>0.95695346039100104</v>
      </c>
      <c r="E19" s="53" t="s">
        <v>5974</v>
      </c>
    </row>
    <row r="20" spans="1:5" ht="15" customHeight="1" x14ac:dyDescent="0.35">
      <c r="A20" s="53" t="s">
        <v>650</v>
      </c>
      <c r="B20" s="53" t="s">
        <v>5992</v>
      </c>
      <c r="C20" s="53" t="s">
        <v>695</v>
      </c>
      <c r="D20" s="56">
        <v>0.92306440842172299</v>
      </c>
      <c r="E20" s="53" t="s">
        <v>5974</v>
      </c>
    </row>
    <row r="21" spans="1:5" ht="15" customHeight="1" x14ac:dyDescent="0.35">
      <c r="A21" s="53" t="s">
        <v>650</v>
      </c>
      <c r="B21" s="53" t="s">
        <v>5993</v>
      </c>
      <c r="C21" s="53" t="s">
        <v>697</v>
      </c>
      <c r="D21" s="56">
        <v>0.93416328080825795</v>
      </c>
      <c r="E21" s="53" t="s">
        <v>5974</v>
      </c>
    </row>
    <row r="22" spans="1:5" ht="15" customHeight="1" x14ac:dyDescent="0.35">
      <c r="A22" s="53" t="s">
        <v>650</v>
      </c>
      <c r="B22" s="53" t="s">
        <v>5994</v>
      </c>
      <c r="C22" s="53" t="s">
        <v>699</v>
      </c>
      <c r="D22" s="56">
        <v>0.94123199465827401</v>
      </c>
      <c r="E22" s="53" t="s">
        <v>5974</v>
      </c>
    </row>
    <row r="23" spans="1:5" ht="15" customHeight="1" x14ac:dyDescent="0.35">
      <c r="A23" s="53" t="s">
        <v>650</v>
      </c>
      <c r="B23" s="53" t="s">
        <v>5995</v>
      </c>
      <c r="C23" s="53" t="s">
        <v>701</v>
      </c>
      <c r="D23" s="56">
        <v>0.94880479406474505</v>
      </c>
      <c r="E23" s="53" t="s">
        <v>5974</v>
      </c>
    </row>
    <row r="24" spans="1:5" ht="15" customHeight="1" x14ac:dyDescent="0.35">
      <c r="A24" s="53" t="s">
        <v>650</v>
      </c>
      <c r="B24" s="53" t="s">
        <v>5996</v>
      </c>
      <c r="C24" s="53" t="s">
        <v>703</v>
      </c>
      <c r="D24" s="56">
        <v>0.95105100584279201</v>
      </c>
      <c r="E24" s="53" t="s">
        <v>5974</v>
      </c>
    </row>
    <row r="25" spans="1:5" ht="15" customHeight="1" x14ac:dyDescent="0.35">
      <c r="A25" s="53" t="s">
        <v>650</v>
      </c>
      <c r="B25" s="53" t="s">
        <v>5997</v>
      </c>
      <c r="C25" s="53" t="s">
        <v>705</v>
      </c>
      <c r="D25" s="56">
        <v>0.92657744808031395</v>
      </c>
      <c r="E25" s="53" t="s">
        <v>5974</v>
      </c>
    </row>
    <row r="26" spans="1:5" ht="15" customHeight="1" x14ac:dyDescent="0.35">
      <c r="A26" s="53" t="s">
        <v>650</v>
      </c>
      <c r="B26" s="53" t="s">
        <v>5998</v>
      </c>
      <c r="C26" s="53" t="s">
        <v>707</v>
      </c>
      <c r="D26" s="56">
        <v>0.92466336109875402</v>
      </c>
      <c r="E26" s="53" t="s">
        <v>5974</v>
      </c>
    </row>
    <row r="27" spans="1:5" ht="15" customHeight="1" x14ac:dyDescent="0.35">
      <c r="A27" s="53" t="s">
        <v>650</v>
      </c>
      <c r="B27" s="53" t="s">
        <v>5999</v>
      </c>
      <c r="C27" s="53" t="s">
        <v>709</v>
      </c>
      <c r="D27" s="56">
        <v>0.93274736316823903</v>
      </c>
      <c r="E27" s="53" t="s">
        <v>5974</v>
      </c>
    </row>
    <row r="28" spans="1:5" ht="15" customHeight="1" x14ac:dyDescent="0.35">
      <c r="A28" s="53" t="s">
        <v>650</v>
      </c>
      <c r="B28" s="53" t="s">
        <v>6000</v>
      </c>
      <c r="C28" s="53" t="s">
        <v>711</v>
      </c>
      <c r="D28" s="56">
        <v>0.92719508405421003</v>
      </c>
      <c r="E28" s="53" t="s">
        <v>5974</v>
      </c>
    </row>
    <row r="29" spans="1:5" ht="15" customHeight="1" x14ac:dyDescent="0.35">
      <c r="A29" s="53" t="s">
        <v>650</v>
      </c>
      <c r="B29" s="53" t="s">
        <v>6001</v>
      </c>
      <c r="C29" s="53" t="s">
        <v>712</v>
      </c>
      <c r="D29" s="56">
        <v>0.92842621565632599</v>
      </c>
      <c r="E29" s="53" t="s">
        <v>5974</v>
      </c>
    </row>
    <row r="30" spans="1:5" ht="15" customHeight="1" x14ac:dyDescent="0.35">
      <c r="A30" s="53" t="s">
        <v>650</v>
      </c>
      <c r="B30" s="53" t="s">
        <v>6002</v>
      </c>
      <c r="C30" s="53" t="s">
        <v>714</v>
      </c>
      <c r="D30" s="56">
        <v>0.92670534652594305</v>
      </c>
      <c r="E30" s="53" t="s">
        <v>5974</v>
      </c>
    </row>
    <row r="31" spans="1:5" ht="15" customHeight="1" x14ac:dyDescent="0.35">
      <c r="A31" s="53" t="s">
        <v>660</v>
      </c>
      <c r="B31" s="53" t="s">
        <v>6003</v>
      </c>
      <c r="C31" s="53" t="s">
        <v>715</v>
      </c>
      <c r="D31" s="56">
        <v>0.77464784721295799</v>
      </c>
      <c r="E31" s="53" t="s">
        <v>5974</v>
      </c>
    </row>
    <row r="32" spans="1:5" ht="15" customHeight="1" x14ac:dyDescent="0.35">
      <c r="A32" s="53" t="s">
        <v>717</v>
      </c>
      <c r="B32" s="53" t="s">
        <v>6004</v>
      </c>
      <c r="C32" s="53" t="s">
        <v>718</v>
      </c>
      <c r="D32" s="56">
        <v>0.86797217172088204</v>
      </c>
      <c r="E32" s="53" t="s">
        <v>5974</v>
      </c>
    </row>
    <row r="33" spans="1:5" ht="15" customHeight="1" x14ac:dyDescent="0.35">
      <c r="A33" s="53" t="s">
        <v>717</v>
      </c>
      <c r="B33" s="53" t="s">
        <v>6005</v>
      </c>
      <c r="C33" s="53" t="s">
        <v>720</v>
      </c>
      <c r="D33" s="56">
        <v>0.86771166979146597</v>
      </c>
      <c r="E33" s="53" t="s">
        <v>5974</v>
      </c>
    </row>
    <row r="34" spans="1:5" ht="15" customHeight="1" x14ac:dyDescent="0.35">
      <c r="A34" s="53" t="s">
        <v>717</v>
      </c>
      <c r="B34" s="53" t="s">
        <v>6006</v>
      </c>
      <c r="C34" s="53" t="s">
        <v>721</v>
      </c>
      <c r="D34" s="56">
        <v>0.89075358112546499</v>
      </c>
      <c r="E34" s="53" t="s">
        <v>5974</v>
      </c>
    </row>
    <row r="35" spans="1:5" ht="15" customHeight="1" x14ac:dyDescent="0.35">
      <c r="A35" s="53" t="s">
        <v>717</v>
      </c>
      <c r="B35" s="53" t="s">
        <v>6007</v>
      </c>
      <c r="C35" s="53" t="s">
        <v>723</v>
      </c>
      <c r="D35" s="56">
        <v>0.87117023835570695</v>
      </c>
      <c r="E35" s="53" t="s">
        <v>5974</v>
      </c>
    </row>
    <row r="36" spans="1:5" ht="15" customHeight="1" x14ac:dyDescent="0.35">
      <c r="A36" s="53" t="s">
        <v>725</v>
      </c>
      <c r="B36" s="53" t="s">
        <v>6008</v>
      </c>
      <c r="C36" s="53" t="s">
        <v>726</v>
      </c>
      <c r="D36" s="56">
        <v>0.87522288565492401</v>
      </c>
      <c r="E36" s="53" t="s">
        <v>5974</v>
      </c>
    </row>
    <row r="37" spans="1:5" ht="15" customHeight="1" x14ac:dyDescent="0.35">
      <c r="A37" s="53" t="s">
        <v>717</v>
      </c>
      <c r="B37" s="53" t="s">
        <v>6009</v>
      </c>
      <c r="C37" s="53" t="s">
        <v>728</v>
      </c>
      <c r="D37" s="56">
        <v>0.82377549534879502</v>
      </c>
      <c r="E37" s="53" t="s">
        <v>5974</v>
      </c>
    </row>
    <row r="38" spans="1:5" ht="15" customHeight="1" x14ac:dyDescent="0.35">
      <c r="A38" s="53" t="s">
        <v>730</v>
      </c>
      <c r="B38" s="53" t="s">
        <v>6010</v>
      </c>
      <c r="C38" s="53" t="s">
        <v>731</v>
      </c>
      <c r="D38" s="56">
        <v>0.698872339838291</v>
      </c>
      <c r="E38" s="53" t="s">
        <v>5974</v>
      </c>
    </row>
    <row r="39" spans="1:5" ht="15" customHeight="1" x14ac:dyDescent="0.35">
      <c r="A39" s="53" t="s">
        <v>730</v>
      </c>
      <c r="B39" s="53" t="s">
        <v>6011</v>
      </c>
      <c r="C39" s="53" t="s">
        <v>733</v>
      </c>
      <c r="D39" s="56">
        <v>0.79895833333333299</v>
      </c>
      <c r="E39" s="53" t="s">
        <v>5974</v>
      </c>
    </row>
    <row r="40" spans="1:5" ht="15" customHeight="1" x14ac:dyDescent="0.35">
      <c r="A40" s="53" t="s">
        <v>730</v>
      </c>
      <c r="B40" s="53" t="s">
        <v>6012</v>
      </c>
      <c r="C40" s="53" t="s">
        <v>735</v>
      </c>
      <c r="D40" s="56">
        <v>0.674741814097778</v>
      </c>
      <c r="E40" s="53" t="s">
        <v>5974</v>
      </c>
    </row>
    <row r="41" spans="1:5" ht="15" customHeight="1" x14ac:dyDescent="0.35">
      <c r="A41" s="53" t="s">
        <v>737</v>
      </c>
      <c r="B41" s="53" t="s">
        <v>6013</v>
      </c>
      <c r="C41" s="53" t="s">
        <v>738</v>
      </c>
      <c r="D41" s="56">
        <v>0.66873613646521901</v>
      </c>
      <c r="E41" s="53" t="s">
        <v>5974</v>
      </c>
    </row>
    <row r="42" spans="1:5" ht="15" customHeight="1" x14ac:dyDescent="0.35">
      <c r="A42" s="53" t="s">
        <v>730</v>
      </c>
      <c r="B42" s="53" t="s">
        <v>6014</v>
      </c>
      <c r="C42" s="53" t="s">
        <v>740</v>
      </c>
      <c r="D42" s="56">
        <v>0.67865766498570301</v>
      </c>
      <c r="E42" s="53" t="s">
        <v>5974</v>
      </c>
    </row>
    <row r="43" spans="1:5" ht="15" customHeight="1" x14ac:dyDescent="0.35">
      <c r="A43" s="53" t="s">
        <v>730</v>
      </c>
      <c r="B43" s="53" t="s">
        <v>6015</v>
      </c>
      <c r="C43" s="53" t="s">
        <v>742</v>
      </c>
      <c r="D43" s="56">
        <v>0.695678257481119</v>
      </c>
      <c r="E43" s="53" t="s">
        <v>5974</v>
      </c>
    </row>
    <row r="44" spans="1:5" ht="15" customHeight="1" x14ac:dyDescent="0.35">
      <c r="A44" s="53" t="s">
        <v>730</v>
      </c>
      <c r="B44" s="53" t="s">
        <v>6016</v>
      </c>
      <c r="C44" s="53" t="s">
        <v>744</v>
      </c>
      <c r="D44" s="56">
        <v>0.702994763676274</v>
      </c>
      <c r="E44" s="53" t="s">
        <v>5974</v>
      </c>
    </row>
    <row r="45" spans="1:5" ht="15" customHeight="1" x14ac:dyDescent="0.35">
      <c r="A45" s="53" t="s">
        <v>746</v>
      </c>
      <c r="B45" s="53" t="s">
        <v>747</v>
      </c>
      <c r="C45" s="53" t="s">
        <v>747</v>
      </c>
      <c r="D45" s="56">
        <v>0.59228537855963803</v>
      </c>
      <c r="E45" s="53" t="s">
        <v>5974</v>
      </c>
    </row>
    <row r="46" spans="1:5" ht="15" customHeight="1" x14ac:dyDescent="0.35">
      <c r="A46" s="53" t="s">
        <v>746</v>
      </c>
      <c r="B46" s="53" t="s">
        <v>749</v>
      </c>
      <c r="C46" s="53" t="s">
        <v>749</v>
      </c>
      <c r="D46" s="56">
        <v>0.66023235187139095</v>
      </c>
      <c r="E46" s="53" t="s">
        <v>5974</v>
      </c>
    </row>
    <row r="47" spans="1:5" ht="15" customHeight="1" x14ac:dyDescent="0.35">
      <c r="A47" s="53" t="s">
        <v>751</v>
      </c>
      <c r="B47" s="53" t="s">
        <v>752</v>
      </c>
      <c r="C47" s="53" t="s">
        <v>752</v>
      </c>
      <c r="D47" s="56">
        <v>0.54170993343985896</v>
      </c>
      <c r="E47" s="53" t="s">
        <v>5974</v>
      </c>
    </row>
    <row r="48" spans="1:5" ht="15" customHeight="1" x14ac:dyDescent="0.35">
      <c r="A48" s="53" t="s">
        <v>746</v>
      </c>
      <c r="B48" s="53" t="s">
        <v>754</v>
      </c>
      <c r="C48" s="53" t="s">
        <v>754</v>
      </c>
      <c r="D48" s="56">
        <v>0.83151515151515198</v>
      </c>
      <c r="E48" s="53" t="s">
        <v>5974</v>
      </c>
    </row>
    <row r="49" spans="1:5" ht="15" customHeight="1" x14ac:dyDescent="0.35">
      <c r="A49" s="53" t="s">
        <v>751</v>
      </c>
      <c r="B49" s="53" t="s">
        <v>756</v>
      </c>
      <c r="C49" s="53" t="s">
        <v>756</v>
      </c>
      <c r="D49" s="56">
        <v>0.69671182542976395</v>
      </c>
      <c r="E49" s="53" t="s">
        <v>5974</v>
      </c>
    </row>
    <row r="50" spans="1:5" ht="15" customHeight="1" x14ac:dyDescent="0.35">
      <c r="A50" s="53" t="s">
        <v>746</v>
      </c>
      <c r="B50" s="53" t="s">
        <v>758</v>
      </c>
      <c r="C50" s="53" t="s">
        <v>758</v>
      </c>
      <c r="D50" s="56">
        <v>0.46898682336182301</v>
      </c>
      <c r="E50" s="53" t="s">
        <v>5974</v>
      </c>
    </row>
    <row r="51" spans="1:5" ht="15" customHeight="1" x14ac:dyDescent="0.35">
      <c r="A51" s="53" t="s">
        <v>663</v>
      </c>
      <c r="B51" s="53" t="s">
        <v>6017</v>
      </c>
      <c r="C51" s="53" t="s">
        <v>760</v>
      </c>
      <c r="D51" s="56">
        <v>0.88835904360530404</v>
      </c>
      <c r="E51" s="53" t="s">
        <v>5974</v>
      </c>
    </row>
    <row r="52" spans="1:5" ht="15" customHeight="1" x14ac:dyDescent="0.35">
      <c r="A52" s="53" t="s">
        <v>725</v>
      </c>
      <c r="B52" s="53" t="s">
        <v>6018</v>
      </c>
      <c r="C52" s="53" t="s">
        <v>762</v>
      </c>
      <c r="D52" s="56">
        <v>0.87948074503479701</v>
      </c>
      <c r="E52" s="53" t="s">
        <v>5974</v>
      </c>
    </row>
    <row r="53" spans="1:5" ht="15" customHeight="1" x14ac:dyDescent="0.35">
      <c r="A53" s="53" t="s">
        <v>725</v>
      </c>
      <c r="B53" s="53" t="s">
        <v>6019</v>
      </c>
      <c r="C53" s="53" t="s">
        <v>764</v>
      </c>
      <c r="D53" s="56">
        <v>0.88394964851246505</v>
      </c>
      <c r="E53" s="53" t="s">
        <v>5974</v>
      </c>
    </row>
    <row r="54" spans="1:5" ht="15" customHeight="1" x14ac:dyDescent="0.35">
      <c r="A54" s="53" t="s">
        <v>766</v>
      </c>
      <c r="B54" s="53" t="s">
        <v>6020</v>
      </c>
      <c r="C54" s="53" t="s">
        <v>767</v>
      </c>
      <c r="D54" s="56">
        <v>0.87429880220705802</v>
      </c>
      <c r="E54" s="53" t="s">
        <v>5974</v>
      </c>
    </row>
    <row r="55" spans="1:5" ht="15" customHeight="1" x14ac:dyDescent="0.35">
      <c r="A55" s="53" t="s">
        <v>766</v>
      </c>
      <c r="B55" s="53" t="s">
        <v>6021</v>
      </c>
      <c r="C55" s="53" t="s">
        <v>769</v>
      </c>
      <c r="D55" s="56">
        <v>0.86948570757872001</v>
      </c>
      <c r="E55" s="53" t="s">
        <v>5974</v>
      </c>
    </row>
    <row r="56" spans="1:5" ht="15" customHeight="1" x14ac:dyDescent="0.35">
      <c r="A56" s="53" t="s">
        <v>771</v>
      </c>
      <c r="B56" s="53" t="s">
        <v>6022</v>
      </c>
      <c r="C56" s="53" t="s">
        <v>772</v>
      </c>
      <c r="D56" s="56">
        <v>0.89024027290100904</v>
      </c>
      <c r="E56" s="53" t="s">
        <v>5974</v>
      </c>
    </row>
    <row r="57" spans="1:5" ht="15" customHeight="1" x14ac:dyDescent="0.35">
      <c r="A57" s="53" t="s">
        <v>717</v>
      </c>
      <c r="B57" s="53" t="s">
        <v>6023</v>
      </c>
      <c r="C57" s="53" t="s">
        <v>773</v>
      </c>
      <c r="D57" s="56">
        <v>0.88986519175330703</v>
      </c>
      <c r="E57" s="53" t="s">
        <v>5974</v>
      </c>
    </row>
    <row r="58" spans="1:5" ht="15" customHeight="1" x14ac:dyDescent="0.35">
      <c r="A58" s="53" t="s">
        <v>717</v>
      </c>
      <c r="B58" s="53" t="s">
        <v>6024</v>
      </c>
      <c r="C58" s="53" t="s">
        <v>774</v>
      </c>
      <c r="D58" s="56">
        <v>0.88618271846963503</v>
      </c>
      <c r="E58" s="53" t="s">
        <v>5974</v>
      </c>
    </row>
    <row r="59" spans="1:5" ht="15" customHeight="1" x14ac:dyDescent="0.35">
      <c r="A59" s="53" t="s">
        <v>717</v>
      </c>
      <c r="B59" s="53" t="s">
        <v>6025</v>
      </c>
      <c r="C59" s="53" t="s">
        <v>775</v>
      </c>
      <c r="D59" s="56">
        <v>0.84330956272868396</v>
      </c>
      <c r="E59" s="53" t="s">
        <v>5974</v>
      </c>
    </row>
    <row r="60" spans="1:5" ht="15" customHeight="1" x14ac:dyDescent="0.35">
      <c r="A60" s="53" t="s">
        <v>717</v>
      </c>
      <c r="B60" s="53" t="s">
        <v>6026</v>
      </c>
      <c r="C60" s="53" t="s">
        <v>777</v>
      </c>
      <c r="D60" s="56">
        <v>0.89439595268521199</v>
      </c>
      <c r="E60" s="53" t="s">
        <v>5974</v>
      </c>
    </row>
    <row r="61" spans="1:5" ht="15" customHeight="1" x14ac:dyDescent="0.35">
      <c r="A61" s="53" t="s">
        <v>778</v>
      </c>
      <c r="B61" s="53" t="s">
        <v>6027</v>
      </c>
      <c r="C61" s="53" t="s">
        <v>779</v>
      </c>
      <c r="D61" s="56">
        <v>0.53242298941799004</v>
      </c>
      <c r="E61" s="53" t="s">
        <v>5974</v>
      </c>
    </row>
    <row r="62" spans="1:5" ht="15" customHeight="1" x14ac:dyDescent="0.35">
      <c r="A62" s="53" t="s">
        <v>778</v>
      </c>
      <c r="B62" s="53" t="s">
        <v>6028</v>
      </c>
      <c r="C62" s="53" t="s">
        <v>781</v>
      </c>
      <c r="D62" s="56">
        <v>0.53767604091995203</v>
      </c>
      <c r="E62" s="53" t="s">
        <v>5974</v>
      </c>
    </row>
    <row r="63" spans="1:5" ht="15" customHeight="1" x14ac:dyDescent="0.35">
      <c r="A63" s="53" t="s">
        <v>783</v>
      </c>
      <c r="B63" s="53" t="s">
        <v>6029</v>
      </c>
      <c r="C63" s="53" t="s">
        <v>784</v>
      </c>
      <c r="D63" s="56">
        <v>0.66047053478712403</v>
      </c>
      <c r="E63" s="53" t="s">
        <v>5974</v>
      </c>
    </row>
    <row r="64" spans="1:5" ht="15" customHeight="1" x14ac:dyDescent="0.35">
      <c r="A64" s="53" t="s">
        <v>783</v>
      </c>
      <c r="B64" s="53" t="s">
        <v>6030</v>
      </c>
      <c r="C64" s="53" t="s">
        <v>785</v>
      </c>
      <c r="D64" s="56">
        <v>0.56614919753086401</v>
      </c>
      <c r="E64" s="53" t="s">
        <v>5974</v>
      </c>
    </row>
    <row r="65" spans="1:5" ht="15" customHeight="1" x14ac:dyDescent="0.35">
      <c r="A65" s="53" t="s">
        <v>783</v>
      </c>
      <c r="B65" s="53" t="s">
        <v>6031</v>
      </c>
      <c r="C65" s="53" t="s">
        <v>787</v>
      </c>
      <c r="D65" s="56">
        <v>0.54522669956140402</v>
      </c>
      <c r="E65" s="53" t="s">
        <v>5974</v>
      </c>
    </row>
    <row r="66" spans="1:5" ht="15" customHeight="1" x14ac:dyDescent="0.35">
      <c r="A66" s="53" t="s">
        <v>778</v>
      </c>
      <c r="B66" s="53" t="s">
        <v>6032</v>
      </c>
      <c r="C66" s="53" t="s">
        <v>789</v>
      </c>
      <c r="D66" s="56">
        <v>0.48692819999999998</v>
      </c>
      <c r="E66" s="53" t="s">
        <v>5974</v>
      </c>
    </row>
    <row r="67" spans="1:5" ht="15" customHeight="1" x14ac:dyDescent="0.35">
      <c r="A67" s="53" t="s">
        <v>778</v>
      </c>
      <c r="B67" s="53" t="s">
        <v>6033</v>
      </c>
      <c r="C67" s="53" t="s">
        <v>791</v>
      </c>
      <c r="D67" s="56">
        <v>0.46973993271605002</v>
      </c>
      <c r="E67" s="53" t="s">
        <v>5974</v>
      </c>
    </row>
    <row r="68" spans="1:5" ht="15" customHeight="1" x14ac:dyDescent="0.35">
      <c r="A68" s="53" t="s">
        <v>783</v>
      </c>
      <c r="B68" s="53" t="s">
        <v>6034</v>
      </c>
      <c r="C68" s="53" t="s">
        <v>793</v>
      </c>
      <c r="D68" s="56">
        <v>0.556602756694075</v>
      </c>
      <c r="E68" s="53" t="s">
        <v>5974</v>
      </c>
    </row>
    <row r="69" spans="1:5" ht="15" customHeight="1" x14ac:dyDescent="0.35">
      <c r="A69" s="53" t="s">
        <v>783</v>
      </c>
      <c r="B69" s="53" t="s">
        <v>6035</v>
      </c>
      <c r="C69" s="53" t="s">
        <v>795</v>
      </c>
      <c r="D69" s="56">
        <v>0.63655970118600602</v>
      </c>
      <c r="E69" s="53" t="s">
        <v>5974</v>
      </c>
    </row>
    <row r="70" spans="1:5" ht="15" customHeight="1" x14ac:dyDescent="0.35">
      <c r="A70" s="53" t="s">
        <v>778</v>
      </c>
      <c r="B70" s="53" t="s">
        <v>6036</v>
      </c>
      <c r="C70" s="53" t="s">
        <v>797</v>
      </c>
      <c r="D70" s="56">
        <v>0.662934105436081</v>
      </c>
      <c r="E70" s="53" t="s">
        <v>5974</v>
      </c>
    </row>
    <row r="71" spans="1:5" ht="15" customHeight="1" x14ac:dyDescent="0.35">
      <c r="A71" s="53" t="s">
        <v>783</v>
      </c>
      <c r="B71" s="53" t="s">
        <v>6037</v>
      </c>
      <c r="C71" s="53" t="s">
        <v>799</v>
      </c>
      <c r="D71" s="56">
        <v>0.65728484734734705</v>
      </c>
      <c r="E71" s="53" t="s">
        <v>5974</v>
      </c>
    </row>
    <row r="72" spans="1:5" ht="15" customHeight="1" x14ac:dyDescent="0.35">
      <c r="A72" s="53" t="s">
        <v>801</v>
      </c>
      <c r="B72" s="53" t="s">
        <v>6038</v>
      </c>
      <c r="C72" s="53" t="s">
        <v>802</v>
      </c>
      <c r="D72" s="56">
        <v>0.96115734532936004</v>
      </c>
      <c r="E72" s="53" t="s">
        <v>5974</v>
      </c>
    </row>
    <row r="73" spans="1:5" ht="15" customHeight="1" x14ac:dyDescent="0.35">
      <c r="A73" s="53" t="s">
        <v>801</v>
      </c>
      <c r="B73" s="53" t="s">
        <v>6039</v>
      </c>
      <c r="C73" s="53" t="s">
        <v>804</v>
      </c>
      <c r="D73" s="56">
        <v>0.94353403216446197</v>
      </c>
      <c r="E73" s="53" t="s">
        <v>5974</v>
      </c>
    </row>
    <row r="74" spans="1:5" ht="15" customHeight="1" x14ac:dyDescent="0.35">
      <c r="A74" s="53" t="s">
        <v>679</v>
      </c>
      <c r="B74" s="53" t="s">
        <v>6040</v>
      </c>
      <c r="C74" s="53" t="s">
        <v>806</v>
      </c>
      <c r="D74" s="56">
        <v>0.85282729425585702</v>
      </c>
      <c r="E74" s="53" t="s">
        <v>5974</v>
      </c>
    </row>
    <row r="75" spans="1:5" ht="15" customHeight="1" x14ac:dyDescent="0.35">
      <c r="A75" s="53" t="s">
        <v>679</v>
      </c>
      <c r="B75" s="53" t="s">
        <v>6041</v>
      </c>
      <c r="C75" s="53" t="s">
        <v>808</v>
      </c>
      <c r="D75" s="56">
        <v>0.84900918198503506</v>
      </c>
      <c r="E75" s="53" t="s">
        <v>5974</v>
      </c>
    </row>
    <row r="76" spans="1:5" ht="15" customHeight="1" x14ac:dyDescent="0.35">
      <c r="A76" s="53" t="s">
        <v>679</v>
      </c>
      <c r="B76" s="53" t="s">
        <v>6042</v>
      </c>
      <c r="C76" s="53" t="s">
        <v>810</v>
      </c>
      <c r="D76" s="56">
        <v>0.83495062029494305</v>
      </c>
      <c r="E76" s="53" t="s">
        <v>5974</v>
      </c>
    </row>
    <row r="77" spans="1:5" ht="15" customHeight="1" x14ac:dyDescent="0.35">
      <c r="A77" s="53" t="s">
        <v>679</v>
      </c>
      <c r="B77" s="53" t="s">
        <v>6043</v>
      </c>
      <c r="C77" s="53" t="s">
        <v>812</v>
      </c>
      <c r="D77" s="56">
        <v>0.87015836890371401</v>
      </c>
      <c r="E77" s="53" t="s">
        <v>5974</v>
      </c>
    </row>
    <row r="78" spans="1:5" ht="15" customHeight="1" x14ac:dyDescent="0.35">
      <c r="A78" s="53" t="s">
        <v>814</v>
      </c>
      <c r="B78" s="53" t="s">
        <v>6044</v>
      </c>
      <c r="C78" s="53" t="s">
        <v>815</v>
      </c>
      <c r="D78" s="56">
        <v>0.82972789987789997</v>
      </c>
      <c r="E78" s="53" t="s">
        <v>5974</v>
      </c>
    </row>
    <row r="79" spans="1:5" ht="15" customHeight="1" x14ac:dyDescent="0.35">
      <c r="A79" s="53" t="s">
        <v>814</v>
      </c>
      <c r="B79" s="53" t="s">
        <v>6045</v>
      </c>
      <c r="C79" s="53" t="s">
        <v>817</v>
      </c>
      <c r="D79" s="56">
        <v>0.89567312499999996</v>
      </c>
      <c r="E79" s="53" t="s">
        <v>5974</v>
      </c>
    </row>
    <row r="80" spans="1:5" ht="15" customHeight="1" x14ac:dyDescent="0.35">
      <c r="A80" s="53" t="s">
        <v>814</v>
      </c>
      <c r="B80" s="53" t="s">
        <v>6046</v>
      </c>
      <c r="C80" s="53" t="s">
        <v>819</v>
      </c>
      <c r="D80" s="56">
        <v>0.86518106852929499</v>
      </c>
      <c r="E80" s="53" t="s">
        <v>5974</v>
      </c>
    </row>
    <row r="81" spans="1:5" ht="15" customHeight="1" x14ac:dyDescent="0.35">
      <c r="A81" s="53" t="s">
        <v>814</v>
      </c>
      <c r="B81" s="53" t="s">
        <v>6047</v>
      </c>
      <c r="C81" s="53" t="s">
        <v>821</v>
      </c>
      <c r="D81" s="56">
        <v>0.86330276041543696</v>
      </c>
      <c r="E81" s="53" t="s">
        <v>5974</v>
      </c>
    </row>
    <row r="82" spans="1:5" ht="15" customHeight="1" x14ac:dyDescent="0.35">
      <c r="A82" s="53" t="s">
        <v>814</v>
      </c>
      <c r="B82" s="53" t="s">
        <v>6048</v>
      </c>
      <c r="C82" s="53" t="s">
        <v>823</v>
      </c>
      <c r="D82" s="56">
        <v>0.83291617332322099</v>
      </c>
      <c r="E82" s="53" t="s">
        <v>5974</v>
      </c>
    </row>
    <row r="83" spans="1:5" ht="15" customHeight="1" x14ac:dyDescent="0.35">
      <c r="A83" s="53" t="s">
        <v>814</v>
      </c>
      <c r="B83" s="53" t="s">
        <v>6049</v>
      </c>
      <c r="C83" s="53" t="s">
        <v>825</v>
      </c>
      <c r="D83" s="56">
        <v>0.883068624854212</v>
      </c>
      <c r="E83" s="53" t="s">
        <v>5974</v>
      </c>
    </row>
    <row r="84" spans="1:5" ht="15" customHeight="1" x14ac:dyDescent="0.35">
      <c r="A84" s="53" t="s">
        <v>814</v>
      </c>
      <c r="B84" s="53" t="s">
        <v>6050</v>
      </c>
      <c r="C84" s="53" t="s">
        <v>826</v>
      </c>
      <c r="D84" s="56">
        <v>0.84415519125683103</v>
      </c>
      <c r="E84" s="53" t="s">
        <v>5974</v>
      </c>
    </row>
    <row r="85" spans="1:5" ht="15" customHeight="1" x14ac:dyDescent="0.35">
      <c r="A85" s="53" t="s">
        <v>679</v>
      </c>
      <c r="B85" s="53" t="s">
        <v>6051</v>
      </c>
      <c r="C85" s="53" t="s">
        <v>828</v>
      </c>
      <c r="D85" s="56">
        <v>0.86973291823443899</v>
      </c>
      <c r="E85" s="53" t="s">
        <v>5974</v>
      </c>
    </row>
    <row r="86" spans="1:5" ht="15" customHeight="1" x14ac:dyDescent="0.35">
      <c r="A86" s="53" t="s">
        <v>679</v>
      </c>
      <c r="B86" s="53" t="s">
        <v>6052</v>
      </c>
      <c r="C86" s="53" t="s">
        <v>829</v>
      </c>
      <c r="D86" s="56">
        <v>0.84869264299358804</v>
      </c>
      <c r="E86" s="53" t="s">
        <v>5974</v>
      </c>
    </row>
    <row r="87" spans="1:5" ht="15" customHeight="1" x14ac:dyDescent="0.35">
      <c r="A87" s="53" t="s">
        <v>814</v>
      </c>
      <c r="B87" s="53" t="s">
        <v>6053</v>
      </c>
      <c r="C87" s="53" t="s">
        <v>830</v>
      </c>
      <c r="D87" s="56">
        <v>0.836082739901015</v>
      </c>
      <c r="E87" s="53" t="s">
        <v>5974</v>
      </c>
    </row>
    <row r="88" spans="1:5" ht="15" customHeight="1" x14ac:dyDescent="0.35">
      <c r="A88" s="53" t="s">
        <v>814</v>
      </c>
      <c r="B88" s="53" t="s">
        <v>6054</v>
      </c>
      <c r="C88" s="53" t="s">
        <v>832</v>
      </c>
      <c r="D88" s="56">
        <v>0.84430122493954696</v>
      </c>
      <c r="E88" s="53" t="s">
        <v>5974</v>
      </c>
    </row>
    <row r="89" spans="1:5" ht="15" customHeight="1" x14ac:dyDescent="0.35">
      <c r="A89" s="53" t="s">
        <v>814</v>
      </c>
      <c r="B89" s="53" t="s">
        <v>6055</v>
      </c>
      <c r="C89" s="53" t="s">
        <v>833</v>
      </c>
      <c r="D89" s="56">
        <v>0.89939558823529397</v>
      </c>
      <c r="E89" s="53" t="s">
        <v>5974</v>
      </c>
    </row>
    <row r="90" spans="1:5" ht="15" customHeight="1" x14ac:dyDescent="0.35">
      <c r="A90" s="53" t="s">
        <v>679</v>
      </c>
      <c r="B90" s="53" t="s">
        <v>6056</v>
      </c>
      <c r="C90" s="53" t="s">
        <v>835</v>
      </c>
      <c r="D90" s="56">
        <v>0.85479479217452303</v>
      </c>
      <c r="E90" s="53" t="s">
        <v>5974</v>
      </c>
    </row>
    <row r="91" spans="1:5" ht="15" customHeight="1" x14ac:dyDescent="0.35">
      <c r="A91" s="53" t="s">
        <v>679</v>
      </c>
      <c r="B91" s="53" t="s">
        <v>6057</v>
      </c>
      <c r="C91" s="53" t="s">
        <v>837</v>
      </c>
      <c r="D91" s="56">
        <v>0.850440016033431</v>
      </c>
      <c r="E91" s="53" t="s">
        <v>5974</v>
      </c>
    </row>
    <row r="92" spans="1:5" ht="15" customHeight="1" x14ac:dyDescent="0.35">
      <c r="A92" s="53" t="s">
        <v>814</v>
      </c>
      <c r="B92" s="53" t="s">
        <v>6058</v>
      </c>
      <c r="C92" s="53" t="s">
        <v>838</v>
      </c>
      <c r="D92" s="56">
        <v>0.85160183758430796</v>
      </c>
      <c r="E92" s="53" t="s">
        <v>5974</v>
      </c>
    </row>
    <row r="93" spans="1:5" ht="15" customHeight="1" x14ac:dyDescent="0.35">
      <c r="A93" s="53" t="s">
        <v>814</v>
      </c>
      <c r="B93" s="53" t="s">
        <v>6059</v>
      </c>
      <c r="C93" s="53" t="s">
        <v>840</v>
      </c>
      <c r="D93" s="56">
        <v>0.88437837150452503</v>
      </c>
      <c r="E93" s="53" t="s">
        <v>5974</v>
      </c>
    </row>
    <row r="94" spans="1:5" ht="15" customHeight="1" x14ac:dyDescent="0.35">
      <c r="A94" s="53" t="s">
        <v>814</v>
      </c>
      <c r="B94" s="53" t="s">
        <v>6060</v>
      </c>
      <c r="C94" s="53" t="s">
        <v>841</v>
      </c>
      <c r="D94" s="56">
        <v>0.842732572059679</v>
      </c>
      <c r="E94" s="53" t="s">
        <v>5974</v>
      </c>
    </row>
    <row r="95" spans="1:5" ht="15" customHeight="1" x14ac:dyDescent="0.35">
      <c r="A95" s="53" t="s">
        <v>814</v>
      </c>
      <c r="B95" s="53" t="s">
        <v>6061</v>
      </c>
      <c r="C95" s="53" t="s">
        <v>842</v>
      </c>
      <c r="D95" s="56">
        <v>0.87173474706083798</v>
      </c>
      <c r="E95" s="53" t="s">
        <v>5974</v>
      </c>
    </row>
    <row r="96" spans="1:5" ht="15" customHeight="1" x14ac:dyDescent="0.35">
      <c r="A96" s="53" t="s">
        <v>660</v>
      </c>
      <c r="B96" s="53" t="s">
        <v>6062</v>
      </c>
      <c r="C96" s="53" t="s">
        <v>844</v>
      </c>
      <c r="D96" s="56">
        <v>0.87617370938740502</v>
      </c>
      <c r="E96" s="53" t="s">
        <v>5974</v>
      </c>
    </row>
    <row r="97" spans="1:5" ht="15" customHeight="1" x14ac:dyDescent="0.35">
      <c r="A97" s="53" t="s">
        <v>660</v>
      </c>
      <c r="B97" s="53" t="s">
        <v>6063</v>
      </c>
      <c r="C97" s="53" t="s">
        <v>846</v>
      </c>
      <c r="D97" s="56">
        <v>0.85345163329274698</v>
      </c>
      <c r="E97" s="53" t="s">
        <v>5974</v>
      </c>
    </row>
    <row r="98" spans="1:5" ht="15" customHeight="1" x14ac:dyDescent="0.35">
      <c r="A98" s="53" t="s">
        <v>717</v>
      </c>
      <c r="B98" s="53" t="s">
        <v>6064</v>
      </c>
      <c r="C98" s="53" t="s">
        <v>847</v>
      </c>
      <c r="D98" s="56">
        <v>0.88835715411379501</v>
      </c>
      <c r="E98" s="53" t="s">
        <v>5974</v>
      </c>
    </row>
    <row r="99" spans="1:5" ht="15" customHeight="1" x14ac:dyDescent="0.35">
      <c r="A99" s="53" t="s">
        <v>717</v>
      </c>
      <c r="B99" s="53" t="s">
        <v>6065</v>
      </c>
      <c r="C99" s="53" t="s">
        <v>848</v>
      </c>
      <c r="D99" s="56">
        <v>0.86488569297428497</v>
      </c>
      <c r="E99" s="53" t="s">
        <v>5974</v>
      </c>
    </row>
    <row r="100" spans="1:5" ht="15" customHeight="1" x14ac:dyDescent="0.35">
      <c r="A100" s="53" t="s">
        <v>679</v>
      </c>
      <c r="B100" s="53" t="s">
        <v>6066</v>
      </c>
      <c r="C100" s="53" t="s">
        <v>849</v>
      </c>
      <c r="D100" s="56">
        <v>0.87871789732496397</v>
      </c>
      <c r="E100" s="53" t="s">
        <v>5974</v>
      </c>
    </row>
    <row r="101" spans="1:5" ht="15" customHeight="1" x14ac:dyDescent="0.35">
      <c r="A101" s="53" t="s">
        <v>679</v>
      </c>
      <c r="B101" s="53" t="s">
        <v>6067</v>
      </c>
      <c r="C101" s="53" t="s">
        <v>850</v>
      </c>
      <c r="D101" s="56">
        <v>0.89619884606045497</v>
      </c>
      <c r="E101" s="53" t="s">
        <v>5974</v>
      </c>
    </row>
    <row r="102" spans="1:5" ht="15" customHeight="1" x14ac:dyDescent="0.35">
      <c r="A102" s="53" t="s">
        <v>771</v>
      </c>
      <c r="B102" s="53" t="s">
        <v>6068</v>
      </c>
      <c r="C102" s="53" t="s">
        <v>851</v>
      </c>
      <c r="D102" s="56">
        <v>0.90276205308321</v>
      </c>
      <c r="E102" s="53" t="s">
        <v>5974</v>
      </c>
    </row>
    <row r="103" spans="1:5" ht="15" customHeight="1" x14ac:dyDescent="0.35">
      <c r="A103" s="53" t="s">
        <v>771</v>
      </c>
      <c r="B103" s="53" t="s">
        <v>6069</v>
      </c>
      <c r="C103" s="53" t="s">
        <v>853</v>
      </c>
      <c r="D103" s="56">
        <v>0.87212092996166302</v>
      </c>
      <c r="E103" s="53" t="s">
        <v>5974</v>
      </c>
    </row>
    <row r="104" spans="1:5" ht="15" customHeight="1" x14ac:dyDescent="0.35">
      <c r="A104" s="53" t="s">
        <v>771</v>
      </c>
      <c r="B104" s="53" t="s">
        <v>6070</v>
      </c>
      <c r="C104" s="53" t="s">
        <v>854</v>
      </c>
      <c r="D104" s="56">
        <v>0.86216366792094601</v>
      </c>
      <c r="E104" s="53" t="s">
        <v>5974</v>
      </c>
    </row>
    <row r="105" spans="1:5" ht="15" customHeight="1" x14ac:dyDescent="0.35">
      <c r="A105" s="53" t="s">
        <v>717</v>
      </c>
      <c r="B105" s="53" t="s">
        <v>6071</v>
      </c>
      <c r="C105" s="53" t="s">
        <v>856</v>
      </c>
      <c r="D105" s="56">
        <v>0.88141221799959601</v>
      </c>
      <c r="E105" s="53" t="s">
        <v>5974</v>
      </c>
    </row>
    <row r="106" spans="1:5" ht="15" customHeight="1" x14ac:dyDescent="0.35">
      <c r="A106" s="53" t="s">
        <v>717</v>
      </c>
      <c r="B106" s="53" t="s">
        <v>6072</v>
      </c>
      <c r="C106" s="53" t="s">
        <v>858</v>
      </c>
      <c r="D106" s="56">
        <v>0.85856454197533205</v>
      </c>
      <c r="E106" s="53" t="s">
        <v>5974</v>
      </c>
    </row>
    <row r="107" spans="1:5" ht="15" customHeight="1" x14ac:dyDescent="0.35">
      <c r="A107" s="53" t="s">
        <v>771</v>
      </c>
      <c r="B107" s="53" t="s">
        <v>6073</v>
      </c>
      <c r="C107" s="53" t="s">
        <v>860</v>
      </c>
      <c r="D107" s="56">
        <v>0.81060114852649601</v>
      </c>
      <c r="E107" s="53" t="s">
        <v>5974</v>
      </c>
    </row>
    <row r="108" spans="1:5" ht="15" customHeight="1" x14ac:dyDescent="0.35">
      <c r="A108" s="53" t="s">
        <v>650</v>
      </c>
      <c r="B108" s="53" t="s">
        <v>6074</v>
      </c>
      <c r="C108" s="53" t="s">
        <v>862</v>
      </c>
      <c r="D108" s="56">
        <v>0.89068810423850298</v>
      </c>
      <c r="E108" s="53" t="s">
        <v>5974</v>
      </c>
    </row>
    <row r="109" spans="1:5" ht="15" customHeight="1" x14ac:dyDescent="0.35">
      <c r="A109" s="53" t="s">
        <v>717</v>
      </c>
      <c r="B109" s="53" t="s">
        <v>6075</v>
      </c>
      <c r="C109" s="53" t="s">
        <v>863</v>
      </c>
      <c r="D109" s="56">
        <v>0.83003333222828402</v>
      </c>
      <c r="E109" s="53" t="s">
        <v>5974</v>
      </c>
    </row>
    <row r="110" spans="1:5" ht="15" customHeight="1" x14ac:dyDescent="0.35">
      <c r="A110" s="53" t="s">
        <v>717</v>
      </c>
      <c r="B110" s="53" t="s">
        <v>6076</v>
      </c>
      <c r="C110" s="53" t="s">
        <v>864</v>
      </c>
      <c r="D110" s="56">
        <v>0.859177599687038</v>
      </c>
      <c r="E110" s="53" t="s">
        <v>5974</v>
      </c>
    </row>
    <row r="111" spans="1:5" ht="15" customHeight="1" x14ac:dyDescent="0.35">
      <c r="A111" s="53" t="s">
        <v>771</v>
      </c>
      <c r="B111" s="53" t="s">
        <v>6077</v>
      </c>
      <c r="C111" s="53" t="s">
        <v>865</v>
      </c>
      <c r="D111" s="56">
        <v>0.87729664128801299</v>
      </c>
      <c r="E111" s="53" t="s">
        <v>5974</v>
      </c>
    </row>
    <row r="112" spans="1:5" ht="15" customHeight="1" x14ac:dyDescent="0.35">
      <c r="A112" s="53" t="s">
        <v>771</v>
      </c>
      <c r="B112" s="53" t="s">
        <v>6078</v>
      </c>
      <c r="C112" s="53" t="s">
        <v>867</v>
      </c>
      <c r="D112" s="56">
        <v>0.890424504173566</v>
      </c>
      <c r="E112" s="53" t="s">
        <v>5974</v>
      </c>
    </row>
    <row r="113" spans="1:5" ht="15" customHeight="1" x14ac:dyDescent="0.35">
      <c r="A113" s="53" t="s">
        <v>771</v>
      </c>
      <c r="B113" s="53" t="s">
        <v>6079</v>
      </c>
      <c r="C113" s="53" t="s">
        <v>868</v>
      </c>
      <c r="D113" s="56">
        <v>0.88206178084327003</v>
      </c>
      <c r="E113" s="53" t="s">
        <v>5974</v>
      </c>
    </row>
    <row r="114" spans="1:5" ht="15" customHeight="1" x14ac:dyDescent="0.35">
      <c r="A114" s="53" t="s">
        <v>771</v>
      </c>
      <c r="B114" s="53" t="s">
        <v>6080</v>
      </c>
      <c r="C114" s="53" t="s">
        <v>870</v>
      </c>
      <c r="D114" s="56">
        <v>0.87959855131328801</v>
      </c>
      <c r="E114" s="53" t="s">
        <v>5974</v>
      </c>
    </row>
    <row r="115" spans="1:5" ht="15" customHeight="1" x14ac:dyDescent="0.35">
      <c r="A115" s="53" t="s">
        <v>771</v>
      </c>
      <c r="B115" s="53" t="s">
        <v>6081</v>
      </c>
      <c r="C115" s="53" t="s">
        <v>871</v>
      </c>
      <c r="D115" s="56">
        <v>0.88965312351193504</v>
      </c>
      <c r="E115" s="53" t="s">
        <v>5974</v>
      </c>
    </row>
    <row r="116" spans="1:5" ht="15" customHeight="1" x14ac:dyDescent="0.35">
      <c r="A116" s="53" t="s">
        <v>771</v>
      </c>
      <c r="B116" s="53" t="s">
        <v>6082</v>
      </c>
      <c r="C116" s="53" t="s">
        <v>872</v>
      </c>
      <c r="D116" s="56">
        <v>0.88361821643709704</v>
      </c>
      <c r="E116" s="53" t="s">
        <v>5974</v>
      </c>
    </row>
    <row r="117" spans="1:5" ht="15" customHeight="1" x14ac:dyDescent="0.35">
      <c r="A117" s="53" t="s">
        <v>771</v>
      </c>
      <c r="B117" s="53" t="s">
        <v>6083</v>
      </c>
      <c r="C117" s="53" t="s">
        <v>873</v>
      </c>
      <c r="D117" s="56">
        <v>0.88873634749110497</v>
      </c>
      <c r="E117" s="53" t="s">
        <v>5974</v>
      </c>
    </row>
    <row r="118" spans="1:5" ht="15" customHeight="1" x14ac:dyDescent="0.35">
      <c r="A118" s="53" t="s">
        <v>771</v>
      </c>
      <c r="B118" s="53" t="s">
        <v>6084</v>
      </c>
      <c r="C118" s="53" t="s">
        <v>875</v>
      </c>
      <c r="D118" s="56">
        <v>0.83055555555555605</v>
      </c>
      <c r="E118" s="53" t="s">
        <v>5974</v>
      </c>
    </row>
    <row r="119" spans="1:5" ht="15" customHeight="1" x14ac:dyDescent="0.35">
      <c r="A119" s="53" t="s">
        <v>660</v>
      </c>
      <c r="B119" s="53" t="s">
        <v>6085</v>
      </c>
      <c r="C119" s="53" t="s">
        <v>877</v>
      </c>
      <c r="D119" s="56">
        <v>0.76320344347676705</v>
      </c>
      <c r="E119" s="53" t="s">
        <v>5974</v>
      </c>
    </row>
    <row r="120" spans="1:5" ht="15" customHeight="1" x14ac:dyDescent="0.35">
      <c r="A120" s="53" t="s">
        <v>660</v>
      </c>
      <c r="B120" s="53" t="s">
        <v>6086</v>
      </c>
      <c r="C120" s="53" t="s">
        <v>879</v>
      </c>
      <c r="D120" s="56">
        <v>0.76983077264024202</v>
      </c>
      <c r="E120" s="53" t="s">
        <v>5974</v>
      </c>
    </row>
    <row r="121" spans="1:5" ht="15" customHeight="1" x14ac:dyDescent="0.35">
      <c r="A121" s="53" t="s">
        <v>771</v>
      </c>
      <c r="B121" s="53" t="s">
        <v>6087</v>
      </c>
      <c r="C121" s="53" t="s">
        <v>881</v>
      </c>
      <c r="D121" s="56">
        <v>0.88483396190374697</v>
      </c>
      <c r="E121" s="53" t="s">
        <v>5974</v>
      </c>
    </row>
    <row r="122" spans="1:5" ht="15" customHeight="1" x14ac:dyDescent="0.35">
      <c r="A122" s="53" t="s">
        <v>660</v>
      </c>
      <c r="B122" s="53" t="s">
        <v>6088</v>
      </c>
      <c r="C122" s="53" t="s">
        <v>883</v>
      </c>
      <c r="D122" s="56">
        <v>0.874254552257414</v>
      </c>
      <c r="E122" s="53" t="s">
        <v>5974</v>
      </c>
    </row>
    <row r="123" spans="1:5" ht="15" customHeight="1" x14ac:dyDescent="0.35">
      <c r="A123" s="53" t="s">
        <v>660</v>
      </c>
      <c r="B123" s="53" t="s">
        <v>6089</v>
      </c>
      <c r="C123" s="53" t="s">
        <v>884</v>
      </c>
      <c r="D123" s="56">
        <v>0.88743060199577195</v>
      </c>
      <c r="E123" s="53" t="s">
        <v>5974</v>
      </c>
    </row>
    <row r="124" spans="1:5" ht="15" customHeight="1" x14ac:dyDescent="0.35">
      <c r="A124" s="53" t="s">
        <v>660</v>
      </c>
      <c r="B124" s="53" t="s">
        <v>6090</v>
      </c>
      <c r="C124" s="53" t="s">
        <v>886</v>
      </c>
      <c r="D124" s="56">
        <v>0.85196448045256401</v>
      </c>
      <c r="E124" s="53" t="s">
        <v>5974</v>
      </c>
    </row>
    <row r="125" spans="1:5" ht="15" customHeight="1" x14ac:dyDescent="0.35">
      <c r="A125" s="53" t="s">
        <v>660</v>
      </c>
      <c r="B125" s="53" t="s">
        <v>6091</v>
      </c>
      <c r="C125" s="53" t="s">
        <v>887</v>
      </c>
      <c r="D125" s="56">
        <v>0.88526401948266498</v>
      </c>
      <c r="E125" s="53" t="s">
        <v>5974</v>
      </c>
    </row>
    <row r="126" spans="1:5" ht="15" customHeight="1" x14ac:dyDescent="0.35">
      <c r="A126" s="53" t="s">
        <v>771</v>
      </c>
      <c r="B126" s="53" t="s">
        <v>6092</v>
      </c>
      <c r="C126" s="53" t="s">
        <v>888</v>
      </c>
      <c r="D126" s="56">
        <v>0.85997101474833304</v>
      </c>
      <c r="E126" s="53" t="s">
        <v>5974</v>
      </c>
    </row>
    <row r="127" spans="1:5" ht="15" customHeight="1" x14ac:dyDescent="0.35">
      <c r="A127" s="53" t="s">
        <v>771</v>
      </c>
      <c r="B127" s="53" t="s">
        <v>6093</v>
      </c>
      <c r="C127" s="53" t="s">
        <v>890</v>
      </c>
      <c r="D127" s="56">
        <v>0.86358610241712896</v>
      </c>
      <c r="E127" s="53" t="s">
        <v>5974</v>
      </c>
    </row>
    <row r="128" spans="1:5" ht="15" customHeight="1" x14ac:dyDescent="0.35">
      <c r="A128" s="53" t="s">
        <v>679</v>
      </c>
      <c r="B128" s="53" t="s">
        <v>6094</v>
      </c>
      <c r="C128" s="53" t="s">
        <v>892</v>
      </c>
      <c r="D128" s="56">
        <v>0.81859767289492003</v>
      </c>
      <c r="E128" s="53" t="s">
        <v>5974</v>
      </c>
    </row>
    <row r="129" spans="1:5" ht="15" customHeight="1" x14ac:dyDescent="0.35">
      <c r="A129" s="53" t="s">
        <v>679</v>
      </c>
      <c r="B129" s="53" t="s">
        <v>6095</v>
      </c>
      <c r="C129" s="53" t="s">
        <v>894</v>
      </c>
      <c r="D129" s="56">
        <v>0.87048690958018404</v>
      </c>
      <c r="E129" s="53" t="s">
        <v>5974</v>
      </c>
    </row>
    <row r="130" spans="1:5" ht="15" customHeight="1" x14ac:dyDescent="0.35">
      <c r="A130" s="53" t="s">
        <v>814</v>
      </c>
      <c r="B130" s="53" t="s">
        <v>6096</v>
      </c>
      <c r="C130" s="53" t="s">
        <v>895</v>
      </c>
      <c r="D130" s="56">
        <v>0.85171878364248998</v>
      </c>
      <c r="E130" s="53" t="s">
        <v>5974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J7"/>
  <sheetViews>
    <sheetView showGridLines="0" zoomScale="90" zoomScaleNormal="9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0" customWidth="1"/>
    <col min="2" max="2" width="22" customWidth="1"/>
    <col min="3" max="3" width="12" customWidth="1"/>
    <col min="4" max="4" width="45" customWidth="1"/>
    <col min="5" max="5" width="26" customWidth="1"/>
    <col min="6" max="6" width="27" customWidth="1"/>
    <col min="7" max="7" width="30" customWidth="1"/>
    <col min="8" max="8" width="12" customWidth="1"/>
    <col min="9" max="9" width="45" customWidth="1"/>
    <col min="10" max="10" width="40" customWidth="1"/>
  </cols>
  <sheetData>
    <row r="1" spans="1:10" ht="26.9" customHeight="1" x14ac:dyDescent="0.35">
      <c r="A1" s="11" t="s">
        <v>3694</v>
      </c>
      <c r="B1" s="11" t="s">
        <v>35</v>
      </c>
      <c r="C1" s="11" t="s">
        <v>3695</v>
      </c>
      <c r="D1" s="11" t="s">
        <v>3696</v>
      </c>
      <c r="E1" s="11" t="s">
        <v>3697</v>
      </c>
      <c r="F1" s="11" t="s">
        <v>3698</v>
      </c>
      <c r="G1" s="11" t="s">
        <v>3699</v>
      </c>
      <c r="H1" s="11" t="s">
        <v>32</v>
      </c>
      <c r="I1" s="11" t="s">
        <v>3700</v>
      </c>
      <c r="J1" s="11" t="s">
        <v>97</v>
      </c>
    </row>
    <row r="2" spans="1:10" ht="15" customHeight="1" x14ac:dyDescent="0.35">
      <c r="A2" s="53" t="s">
        <v>3701</v>
      </c>
      <c r="B2" s="53" t="s">
        <v>38</v>
      </c>
      <c r="C2" s="53" t="s">
        <v>109</v>
      </c>
      <c r="D2" s="53" t="s">
        <v>135</v>
      </c>
      <c r="E2" s="53">
        <v>15</v>
      </c>
      <c r="F2" s="53">
        <v>14</v>
      </c>
      <c r="G2" s="53">
        <v>1</v>
      </c>
      <c r="H2" s="53" t="s">
        <v>136</v>
      </c>
      <c r="I2" s="53" t="s">
        <v>137</v>
      </c>
      <c r="J2" s="53" t="s">
        <v>138</v>
      </c>
    </row>
    <row r="3" spans="1:10" ht="15" customHeight="1" x14ac:dyDescent="0.35">
      <c r="A3" s="53" t="s">
        <v>3701</v>
      </c>
      <c r="B3" s="53" t="s">
        <v>40</v>
      </c>
      <c r="C3" s="53" t="s">
        <v>109</v>
      </c>
      <c r="D3" s="53" t="s">
        <v>135</v>
      </c>
      <c r="E3" s="53">
        <v>14</v>
      </c>
      <c r="F3" s="53">
        <v>13</v>
      </c>
      <c r="G3" s="53">
        <v>1</v>
      </c>
      <c r="H3" s="53" t="s">
        <v>136</v>
      </c>
      <c r="I3" s="53" t="s">
        <v>137</v>
      </c>
      <c r="J3" s="53" t="s">
        <v>138</v>
      </c>
    </row>
    <row r="4" spans="1:10" ht="15" customHeight="1" x14ac:dyDescent="0.35">
      <c r="A4" s="53" t="s">
        <v>3701</v>
      </c>
      <c r="B4" s="53" t="s">
        <v>42</v>
      </c>
      <c r="C4" s="53" t="s">
        <v>109</v>
      </c>
      <c r="D4" s="53" t="s">
        <v>135</v>
      </c>
      <c r="E4" s="53">
        <v>10</v>
      </c>
      <c r="F4" s="53">
        <v>4</v>
      </c>
      <c r="G4" s="53">
        <v>6</v>
      </c>
      <c r="H4" s="53" t="s">
        <v>136</v>
      </c>
      <c r="I4" s="53" t="s">
        <v>137</v>
      </c>
      <c r="J4" s="53" t="s">
        <v>138</v>
      </c>
    </row>
    <row r="5" spans="1:10" ht="15" customHeight="1" x14ac:dyDescent="0.35">
      <c r="A5" s="53" t="s">
        <v>3701</v>
      </c>
      <c r="B5" s="53" t="s">
        <v>42</v>
      </c>
      <c r="C5" s="53" t="s">
        <v>101</v>
      </c>
      <c r="D5" s="53" t="s">
        <v>140</v>
      </c>
      <c r="E5" s="53">
        <v>4</v>
      </c>
      <c r="F5" s="53">
        <v>2</v>
      </c>
      <c r="G5" s="53">
        <v>2</v>
      </c>
      <c r="H5" s="53" t="s">
        <v>136</v>
      </c>
      <c r="I5" s="53" t="s">
        <v>137</v>
      </c>
      <c r="J5" s="53" t="s">
        <v>138</v>
      </c>
    </row>
    <row r="6" spans="1:10" ht="15" customHeight="1" x14ac:dyDescent="0.35">
      <c r="A6" s="53" t="s">
        <v>3701</v>
      </c>
      <c r="B6" s="53" t="s">
        <v>44</v>
      </c>
      <c r="C6" s="53" t="s">
        <v>109</v>
      </c>
      <c r="D6" s="53" t="s">
        <v>135</v>
      </c>
      <c r="E6" s="53">
        <v>17</v>
      </c>
      <c r="F6" s="53">
        <v>14</v>
      </c>
      <c r="G6" s="53">
        <v>3</v>
      </c>
      <c r="H6" s="53" t="s">
        <v>136</v>
      </c>
      <c r="I6" s="53" t="s">
        <v>137</v>
      </c>
      <c r="J6" s="53" t="s">
        <v>138</v>
      </c>
    </row>
    <row r="7" spans="1:10" ht="15" customHeight="1" x14ac:dyDescent="0.35">
      <c r="A7" s="53" t="s">
        <v>3701</v>
      </c>
      <c r="B7" s="53" t="s">
        <v>45</v>
      </c>
      <c r="C7" s="53" t="s">
        <v>101</v>
      </c>
      <c r="D7" s="53" t="s">
        <v>141</v>
      </c>
      <c r="E7" s="53">
        <v>15</v>
      </c>
      <c r="F7" s="53">
        <v>0</v>
      </c>
      <c r="G7" s="53">
        <v>15</v>
      </c>
      <c r="H7" s="53" t="s">
        <v>136</v>
      </c>
      <c r="I7" s="53" t="s">
        <v>137</v>
      </c>
      <c r="J7" s="53" t="s">
        <v>138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G37"/>
  <sheetViews>
    <sheetView showGridLines="0" zoomScale="90" zoomScaleNormal="90" workbookViewId="0">
      <pane ySplit="4" topLeftCell="A5" activePane="bottomLeft" state="frozen"/>
      <selection pane="bottomLeft" activeCell="G31" sqref="G31"/>
    </sheetView>
  </sheetViews>
  <sheetFormatPr baseColWidth="10" defaultColWidth="8.7265625" defaultRowHeight="14.5" x14ac:dyDescent="0.35"/>
  <cols>
    <col min="1" max="1" width="45" customWidth="1"/>
    <col min="2" max="2" width="27" customWidth="1"/>
    <col min="3" max="3" width="24" customWidth="1"/>
    <col min="4" max="4" width="10" customWidth="1"/>
    <col min="5" max="5" width="45" customWidth="1"/>
    <col min="6" max="6" width="29" customWidth="1"/>
    <col min="7" max="7" width="24" customWidth="1"/>
  </cols>
  <sheetData>
    <row r="1" spans="1:7" ht="30" customHeight="1" x14ac:dyDescent="0.35">
      <c r="A1" s="64" t="s">
        <v>6328</v>
      </c>
      <c r="B1" s="65"/>
      <c r="C1" s="65"/>
      <c r="D1" s="65"/>
      <c r="E1" s="65"/>
      <c r="F1" s="65"/>
      <c r="G1" s="65"/>
    </row>
    <row r="2" spans="1:7" ht="30" customHeight="1" x14ac:dyDescent="0.35">
      <c r="A2" s="69" t="s">
        <v>6329</v>
      </c>
      <c r="B2" s="65"/>
      <c r="C2" s="65"/>
      <c r="D2" s="65"/>
      <c r="E2" s="65"/>
      <c r="F2" s="65"/>
      <c r="G2" s="65"/>
    </row>
    <row r="4" spans="1:7" ht="15" customHeight="1" x14ac:dyDescent="0.35">
      <c r="A4" s="11" t="s">
        <v>6297</v>
      </c>
      <c r="B4" s="11" t="s">
        <v>60</v>
      </c>
      <c r="C4" s="11" t="s">
        <v>6151</v>
      </c>
      <c r="D4" s="11" t="s">
        <v>6130</v>
      </c>
      <c r="E4" s="11" t="s">
        <v>6330</v>
      </c>
      <c r="F4" s="11" t="s">
        <v>6153</v>
      </c>
      <c r="G4" s="11" t="s">
        <v>6331</v>
      </c>
    </row>
    <row r="5" spans="1:7" ht="15" customHeight="1" x14ac:dyDescent="0.35">
      <c r="A5" t="s">
        <v>6332</v>
      </c>
      <c r="B5" s="57">
        <v>418</v>
      </c>
      <c r="C5" t="s">
        <v>6155</v>
      </c>
      <c r="D5" t="s">
        <v>6333</v>
      </c>
      <c r="E5" t="s">
        <v>6334</v>
      </c>
    </row>
    <row r="6" spans="1:7" ht="15" customHeight="1" x14ac:dyDescent="0.35">
      <c r="A6" t="s">
        <v>6335</v>
      </c>
      <c r="B6" s="57">
        <v>275</v>
      </c>
      <c r="C6" t="s">
        <v>6155</v>
      </c>
      <c r="D6" t="s">
        <v>6333</v>
      </c>
      <c r="E6" t="s">
        <v>6334</v>
      </c>
    </row>
    <row r="7" spans="1:7" ht="15" customHeight="1" x14ac:dyDescent="0.35">
      <c r="A7" t="s">
        <v>6336</v>
      </c>
      <c r="B7" s="57">
        <v>1200</v>
      </c>
      <c r="C7" t="s">
        <v>6155</v>
      </c>
      <c r="D7" t="s">
        <v>6333</v>
      </c>
      <c r="E7" t="s">
        <v>6334</v>
      </c>
    </row>
    <row r="8" spans="1:7" ht="15" customHeight="1" x14ac:dyDescent="0.35">
      <c r="A8" t="s">
        <v>6337</v>
      </c>
      <c r="B8" s="57">
        <v>150</v>
      </c>
      <c r="C8" t="s">
        <v>6155</v>
      </c>
      <c r="D8" t="s">
        <v>6333</v>
      </c>
      <c r="E8" t="s">
        <v>6334</v>
      </c>
    </row>
    <row r="9" spans="1:7" ht="15" customHeight="1" x14ac:dyDescent="0.35">
      <c r="A9" t="s">
        <v>24</v>
      </c>
      <c r="B9" s="58">
        <f>SUM(B5:B8)</f>
        <v>2043</v>
      </c>
      <c r="C9" t="s">
        <v>6155</v>
      </c>
      <c r="D9" t="s">
        <v>6175</v>
      </c>
      <c r="E9" t="s">
        <v>6338</v>
      </c>
    </row>
    <row r="10" spans="1:7" ht="15" customHeight="1" x14ac:dyDescent="0.35">
      <c r="A10" t="s">
        <v>6339</v>
      </c>
      <c r="B10" s="57">
        <v>12</v>
      </c>
      <c r="C10" t="s">
        <v>6340</v>
      </c>
      <c r="D10" t="s">
        <v>6333</v>
      </c>
      <c r="E10" t="s">
        <v>6341</v>
      </c>
    </row>
    <row r="11" spans="1:7" ht="15" customHeight="1" x14ac:dyDescent="0.35">
      <c r="A11" t="s">
        <v>6342</v>
      </c>
      <c r="B11" s="57">
        <v>20</v>
      </c>
      <c r="C11" t="s">
        <v>6340</v>
      </c>
      <c r="D11" t="s">
        <v>6333</v>
      </c>
      <c r="E11" t="s">
        <v>6341</v>
      </c>
    </row>
    <row r="12" spans="1:7" ht="15" customHeight="1" x14ac:dyDescent="0.35">
      <c r="A12" t="s">
        <v>6343</v>
      </c>
      <c r="B12" s="57">
        <v>35</v>
      </c>
      <c r="C12" t="s">
        <v>6340</v>
      </c>
      <c r="D12" t="s">
        <v>6333</v>
      </c>
      <c r="E12" t="s">
        <v>6341</v>
      </c>
    </row>
    <row r="13" spans="1:7" ht="15" customHeight="1" x14ac:dyDescent="0.35">
      <c r="A13" t="s">
        <v>6344</v>
      </c>
      <c r="B13" s="57">
        <v>60</v>
      </c>
      <c r="C13" t="s">
        <v>6340</v>
      </c>
      <c r="D13" t="s">
        <v>6333</v>
      </c>
      <c r="E13" t="s">
        <v>6341</v>
      </c>
    </row>
    <row r="14" spans="1:7" ht="15" customHeight="1" x14ac:dyDescent="0.35">
      <c r="A14" t="s">
        <v>6345</v>
      </c>
      <c r="B14" s="59">
        <f>B5/B10</f>
        <v>34.833333333333336</v>
      </c>
      <c r="C14" t="s">
        <v>52</v>
      </c>
      <c r="D14" t="s">
        <v>6175</v>
      </c>
      <c r="E14" t="s">
        <v>6346</v>
      </c>
    </row>
    <row r="15" spans="1:7" ht="15" customHeight="1" x14ac:dyDescent="0.35">
      <c r="A15" t="s">
        <v>6347</v>
      </c>
      <c r="B15" s="59">
        <f>B6/B11</f>
        <v>13.75</v>
      </c>
      <c r="C15" t="s">
        <v>52</v>
      </c>
      <c r="D15" t="s">
        <v>6175</v>
      </c>
      <c r="E15" t="s">
        <v>6346</v>
      </c>
    </row>
    <row r="16" spans="1:7" ht="15" customHeight="1" x14ac:dyDescent="0.35">
      <c r="A16" t="s">
        <v>6348</v>
      </c>
      <c r="B16" s="59">
        <f>B7/B12</f>
        <v>34.285714285714285</v>
      </c>
      <c r="C16" t="s">
        <v>52</v>
      </c>
      <c r="D16" t="s">
        <v>6175</v>
      </c>
      <c r="E16" t="s">
        <v>6346</v>
      </c>
    </row>
    <row r="17" spans="1:5" ht="15" customHeight="1" x14ac:dyDescent="0.35">
      <c r="A17" t="s">
        <v>6349</v>
      </c>
      <c r="B17" s="59">
        <f>B8/B13</f>
        <v>2.5</v>
      </c>
      <c r="C17" t="s">
        <v>52</v>
      </c>
      <c r="D17" t="s">
        <v>6175</v>
      </c>
      <c r="E17" t="s">
        <v>6346</v>
      </c>
    </row>
    <row r="18" spans="1:5" ht="15" customHeight="1" x14ac:dyDescent="0.35">
      <c r="A18" t="s">
        <v>50</v>
      </c>
      <c r="B18" s="59">
        <f>SUM(B14:B17)</f>
        <v>85.36904761904762</v>
      </c>
      <c r="C18" t="s">
        <v>52</v>
      </c>
      <c r="D18" t="s">
        <v>6175</v>
      </c>
      <c r="E18" t="s">
        <v>6350</v>
      </c>
    </row>
    <row r="19" spans="1:5" ht="15" customHeight="1" x14ac:dyDescent="0.35">
      <c r="A19" t="s">
        <v>6176</v>
      </c>
      <c r="B19" s="57">
        <v>60000</v>
      </c>
      <c r="C19" t="s">
        <v>6351</v>
      </c>
      <c r="D19" t="s">
        <v>6333</v>
      </c>
      <c r="E19" t="s">
        <v>6352</v>
      </c>
    </row>
    <row r="20" spans="1:5" ht="15" customHeight="1" x14ac:dyDescent="0.35">
      <c r="A20" t="s">
        <v>6353</v>
      </c>
      <c r="B20" s="57">
        <v>6300</v>
      </c>
      <c r="C20" t="s">
        <v>6354</v>
      </c>
      <c r="D20" t="s">
        <v>6333</v>
      </c>
      <c r="E20" t="s">
        <v>6355</v>
      </c>
    </row>
    <row r="21" spans="1:5" ht="15" customHeight="1" x14ac:dyDescent="0.35">
      <c r="A21" t="s">
        <v>6356</v>
      </c>
      <c r="B21" s="59">
        <f>B19/B20</f>
        <v>9.5238095238095237</v>
      </c>
      <c r="C21" t="s">
        <v>52</v>
      </c>
      <c r="D21" t="s">
        <v>6175</v>
      </c>
      <c r="E21" t="s">
        <v>6357</v>
      </c>
    </row>
    <row r="22" spans="1:5" ht="15" customHeight="1" x14ac:dyDescent="0.35">
      <c r="A22" t="s">
        <v>10</v>
      </c>
      <c r="B22" s="57">
        <v>80</v>
      </c>
      <c r="C22" t="s">
        <v>6209</v>
      </c>
      <c r="D22" t="s">
        <v>6333</v>
      </c>
      <c r="E22" t="s">
        <v>6358</v>
      </c>
    </row>
    <row r="23" spans="1:5" ht="15" customHeight="1" x14ac:dyDescent="0.35">
      <c r="A23" t="s">
        <v>6359</v>
      </c>
      <c r="B23" s="57">
        <v>55</v>
      </c>
      <c r="C23" t="s">
        <v>6214</v>
      </c>
      <c r="D23" t="s">
        <v>6333</v>
      </c>
      <c r="E23" t="s">
        <v>6358</v>
      </c>
    </row>
    <row r="24" spans="1:5" ht="15" customHeight="1" x14ac:dyDescent="0.35">
      <c r="A24" t="s">
        <v>6360</v>
      </c>
      <c r="B24" s="57">
        <v>1450</v>
      </c>
      <c r="C24" t="s">
        <v>6218</v>
      </c>
      <c r="D24" t="s">
        <v>6333</v>
      </c>
      <c r="E24" t="s">
        <v>6358</v>
      </c>
    </row>
    <row r="25" spans="1:5" ht="15" customHeight="1" x14ac:dyDescent="0.35">
      <c r="A25" t="s">
        <v>6361</v>
      </c>
      <c r="B25" s="59">
        <f>B22*B23/B24</f>
        <v>3.0344827586206895</v>
      </c>
      <c r="C25" t="s">
        <v>52</v>
      </c>
      <c r="D25" t="s">
        <v>6175</v>
      </c>
      <c r="E25" t="s">
        <v>6362</v>
      </c>
    </row>
    <row r="26" spans="1:5" ht="15" customHeight="1" x14ac:dyDescent="0.35">
      <c r="A26" t="s">
        <v>6221</v>
      </c>
      <c r="B26" s="57">
        <v>10</v>
      </c>
      <c r="C26" t="s">
        <v>6209</v>
      </c>
      <c r="D26" t="s">
        <v>6333</v>
      </c>
      <c r="E26" t="s">
        <v>6358</v>
      </c>
    </row>
    <row r="27" spans="1:5" ht="15" customHeight="1" x14ac:dyDescent="0.35">
      <c r="A27" t="s">
        <v>6363</v>
      </c>
      <c r="B27" s="57">
        <v>45</v>
      </c>
      <c r="C27" t="s">
        <v>6225</v>
      </c>
      <c r="D27" t="s">
        <v>6333</v>
      </c>
      <c r="E27" t="s">
        <v>6358</v>
      </c>
    </row>
    <row r="28" spans="1:5" ht="15" customHeight="1" x14ac:dyDescent="0.35">
      <c r="A28" t="s">
        <v>6364</v>
      </c>
      <c r="B28" s="57">
        <v>220</v>
      </c>
      <c r="C28" t="s">
        <v>6228</v>
      </c>
      <c r="D28" t="s">
        <v>6333</v>
      </c>
      <c r="E28" t="s">
        <v>6358</v>
      </c>
    </row>
    <row r="29" spans="1:5" ht="15" customHeight="1" x14ac:dyDescent="0.35">
      <c r="A29" t="s">
        <v>6365</v>
      </c>
      <c r="B29" s="59">
        <f>B26*B27/B28</f>
        <v>2.0454545454545454</v>
      </c>
      <c r="C29" t="s">
        <v>52</v>
      </c>
      <c r="D29" t="s">
        <v>6175</v>
      </c>
      <c r="E29" t="s">
        <v>6366</v>
      </c>
    </row>
    <row r="30" spans="1:5" ht="15" customHeight="1" x14ac:dyDescent="0.35">
      <c r="A30" t="s">
        <v>6367</v>
      </c>
      <c r="B30" s="60">
        <v>0.15</v>
      </c>
      <c r="C30" t="s">
        <v>6236</v>
      </c>
      <c r="D30" t="s">
        <v>6333</v>
      </c>
      <c r="E30" t="s">
        <v>6368</v>
      </c>
    </row>
    <row r="31" spans="1:5" ht="15" customHeight="1" x14ac:dyDescent="0.35">
      <c r="A31" t="s">
        <v>6369</v>
      </c>
      <c r="B31" s="60">
        <v>0.25</v>
      </c>
      <c r="C31" t="s">
        <v>6236</v>
      </c>
      <c r="D31" t="s">
        <v>6333</v>
      </c>
      <c r="E31" t="s">
        <v>6368</v>
      </c>
    </row>
    <row r="32" spans="1:5" ht="15" customHeight="1" x14ac:dyDescent="0.35">
      <c r="A32" t="s">
        <v>6370</v>
      </c>
      <c r="B32" s="59">
        <f>(B18+B21)*B30</f>
        <v>14.233928571428571</v>
      </c>
      <c r="C32" t="s">
        <v>52</v>
      </c>
      <c r="D32" t="s">
        <v>6175</v>
      </c>
      <c r="E32" t="s">
        <v>6371</v>
      </c>
    </row>
    <row r="33" spans="1:5" ht="15" customHeight="1" x14ac:dyDescent="0.35">
      <c r="A33" t="s">
        <v>6372</v>
      </c>
      <c r="B33" s="59">
        <f>(B18+B21)*B31</f>
        <v>23.723214285714285</v>
      </c>
      <c r="C33" t="s">
        <v>52</v>
      </c>
      <c r="D33" t="s">
        <v>6175</v>
      </c>
      <c r="E33" t="s">
        <v>6373</v>
      </c>
    </row>
    <row r="34" spans="1:5" ht="15" customHeight="1" x14ac:dyDescent="0.35">
      <c r="A34" t="s">
        <v>26</v>
      </c>
      <c r="B34" s="59">
        <f>SUM(B18,B21,B25,B29,B32)</f>
        <v>114.20672301836095</v>
      </c>
      <c r="C34" t="s">
        <v>52</v>
      </c>
      <c r="D34" t="s">
        <v>6175</v>
      </c>
      <c r="E34" t="s">
        <v>6374</v>
      </c>
    </row>
    <row r="35" spans="1:5" ht="15" customHeight="1" x14ac:dyDescent="0.35">
      <c r="A35" t="s">
        <v>27</v>
      </c>
      <c r="B35" s="59">
        <f>SUM(B18,B21,B25,B29,B33)</f>
        <v>123.69600873264665</v>
      </c>
      <c r="C35" t="s">
        <v>52</v>
      </c>
      <c r="D35" t="s">
        <v>6175</v>
      </c>
      <c r="E35" t="s">
        <v>6374</v>
      </c>
    </row>
    <row r="36" spans="1:5" ht="15" customHeight="1" x14ac:dyDescent="0.35">
      <c r="A36" t="s">
        <v>28</v>
      </c>
      <c r="B36" s="59">
        <f>B34-B22</f>
        <v>34.206723018360947</v>
      </c>
      <c r="C36" t="s">
        <v>52</v>
      </c>
      <c r="D36" t="s">
        <v>6175</v>
      </c>
      <c r="E36" t="s">
        <v>6375</v>
      </c>
    </row>
    <row r="37" spans="1:5" ht="15" customHeight="1" x14ac:dyDescent="0.35">
      <c r="A37" t="s">
        <v>29</v>
      </c>
      <c r="B37" s="59">
        <f>B35-B22</f>
        <v>43.696008732646646</v>
      </c>
      <c r="C37" t="s">
        <v>52</v>
      </c>
      <c r="D37" t="s">
        <v>6175</v>
      </c>
      <c r="E37" t="s">
        <v>6376</v>
      </c>
    </row>
  </sheetData>
  <mergeCells count="2">
    <mergeCell ref="A2:G2"/>
    <mergeCell ref="A1:G1"/>
  </mergeCells>
  <conditionalFormatting sqref="F5:F40">
    <cfRule type="expression" dxfId="2" priority="2">
      <formula>F5="REVISAR"</formula>
    </cfRule>
  </conditionalFormatting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pageSetUpPr fitToPage="1"/>
  </sheetPr>
  <dimension ref="A1:J27"/>
  <sheetViews>
    <sheetView showGridLines="0" zoomScale="90" zoomScaleNormal="90" workbookViewId="0">
      <pane ySplit="3" topLeftCell="A4" activePane="bottomLeft" state="frozen"/>
      <selection pane="bottomLeft" sqref="A1:J1"/>
    </sheetView>
  </sheetViews>
  <sheetFormatPr baseColWidth="10" defaultColWidth="8.7265625" defaultRowHeight="14.5" x14ac:dyDescent="0.35"/>
  <cols>
    <col min="1" max="4" width="45" customWidth="1"/>
    <col min="5" max="5" width="10" customWidth="1"/>
    <col min="6" max="6" width="38" customWidth="1"/>
    <col min="7" max="7" width="27" customWidth="1"/>
    <col min="8" max="8" width="28" customWidth="1"/>
    <col min="9" max="10" width="10" customWidth="1"/>
  </cols>
  <sheetData>
    <row r="1" spans="1:10" ht="30" customHeight="1" x14ac:dyDescent="0.35">
      <c r="A1" s="64" t="s">
        <v>6377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5">
      <c r="A2" s="69" t="s">
        <v>6378</v>
      </c>
      <c r="B2" s="65"/>
      <c r="C2" s="65"/>
      <c r="D2" s="65"/>
      <c r="E2" s="65"/>
      <c r="F2" s="65"/>
      <c r="G2" s="65"/>
      <c r="H2" s="65"/>
      <c r="I2" s="65"/>
      <c r="J2" s="65"/>
    </row>
    <row r="4" spans="1:10" ht="15" customHeight="1" x14ac:dyDescent="0.35">
      <c r="A4" s="11" t="s">
        <v>3708</v>
      </c>
      <c r="B4" s="11" t="s">
        <v>6379</v>
      </c>
      <c r="C4" s="11" t="s">
        <v>3895</v>
      </c>
      <c r="D4" s="11" t="s">
        <v>3897</v>
      </c>
      <c r="F4" s="11" t="s">
        <v>32</v>
      </c>
      <c r="G4" s="11" t="s">
        <v>33</v>
      </c>
      <c r="H4" s="11" t="s">
        <v>34</v>
      </c>
    </row>
    <row r="5" spans="1:10" ht="15" customHeight="1" x14ac:dyDescent="0.35">
      <c r="A5" t="s">
        <v>4871</v>
      </c>
      <c r="B5">
        <f>COUNTIF(tblParos[Años],"*"&amp;A5&amp;"*")</f>
        <v>728</v>
      </c>
      <c r="C5" s="61">
        <f>SUMIF(tblParos[Años],"*"&amp;A5&amp;"*",tblParos[Horas paro])</f>
        <v>31988.61666666664</v>
      </c>
      <c r="D5" s="62">
        <f>SUMIF(tblParos[Años],"*"&amp;A5&amp;"*",tblParos[Registros])</f>
        <v>31562</v>
      </c>
      <c r="F5" t="s">
        <v>37</v>
      </c>
      <c r="G5">
        <f>'30_Dimensionamiento'!B5</f>
        <v>418</v>
      </c>
      <c r="H5" s="12">
        <f>'30_Dimensionamiento'!B14</f>
        <v>34.833333333333336</v>
      </c>
    </row>
    <row r="6" spans="1:10" ht="15" customHeight="1" x14ac:dyDescent="0.35">
      <c r="A6" t="s">
        <v>4360</v>
      </c>
      <c r="B6">
        <f>COUNTIF(tblParos[Años],"*"&amp;A6&amp;"*")</f>
        <v>660</v>
      </c>
      <c r="C6" s="61">
        <f>SUMIF(tblParos[Años],"*"&amp;A6&amp;"*",tblParos[Horas paro])</f>
        <v>29280.13333333332</v>
      </c>
      <c r="D6" s="62">
        <f>SUMIF(tblParos[Años],"*"&amp;A6&amp;"*",tblParos[Registros])</f>
        <v>28029</v>
      </c>
      <c r="F6" t="s">
        <v>39</v>
      </c>
      <c r="G6">
        <f>'30_Dimensionamiento'!B6</f>
        <v>275</v>
      </c>
      <c r="H6" s="12">
        <f>'30_Dimensionamiento'!B15</f>
        <v>13.75</v>
      </c>
    </row>
    <row r="7" spans="1:10" ht="15" customHeight="1" x14ac:dyDescent="0.35">
      <c r="A7" t="s">
        <v>4673</v>
      </c>
      <c r="B7">
        <f>COUNTIF(tblParos[Años],"*"&amp;A7&amp;"*")</f>
        <v>492</v>
      </c>
      <c r="C7" s="61">
        <f>SUMIF(tblParos[Años],"*"&amp;A7&amp;"*",tblParos[Horas paro])</f>
        <v>27219.266666666659</v>
      </c>
      <c r="D7" s="62">
        <f>SUMIF(tblParos[Años],"*"&amp;A7&amp;"*",tblParos[Registros])</f>
        <v>25616</v>
      </c>
      <c r="F7" t="s">
        <v>41</v>
      </c>
      <c r="G7">
        <f>'30_Dimensionamiento'!B7</f>
        <v>1200</v>
      </c>
      <c r="H7" s="12">
        <f>'30_Dimensionamiento'!B16</f>
        <v>34.285714285714285</v>
      </c>
    </row>
    <row r="8" spans="1:10" ht="15" customHeight="1" x14ac:dyDescent="0.35">
      <c r="A8" t="s">
        <v>4491</v>
      </c>
      <c r="B8">
        <f>COUNTIF(tblParos[Años],"*"&amp;A8&amp;"*")</f>
        <v>415</v>
      </c>
      <c r="C8" s="61">
        <f>SUMIF(tblParos[Años],"*"&amp;A8&amp;"*",tblParos[Horas paro])</f>
        <v>26872.19999999999</v>
      </c>
      <c r="D8" s="62">
        <f>SUMIF(tblParos[Años],"*"&amp;A8&amp;"*",tblParos[Registros])</f>
        <v>25196</v>
      </c>
      <c r="F8" t="s">
        <v>43</v>
      </c>
      <c r="G8">
        <f>'30_Dimensionamiento'!B8</f>
        <v>150</v>
      </c>
      <c r="H8" s="12">
        <f>'30_Dimensionamiento'!B17</f>
        <v>2.5</v>
      </c>
    </row>
    <row r="12" spans="1:10" ht="15" customHeight="1" x14ac:dyDescent="0.35">
      <c r="A12" s="11" t="s">
        <v>85</v>
      </c>
      <c r="B12" s="11" t="s">
        <v>36</v>
      </c>
      <c r="C12" s="11" t="s">
        <v>6380</v>
      </c>
      <c r="D12" s="11" t="s">
        <v>6381</v>
      </c>
      <c r="F12" s="11" t="s">
        <v>6382</v>
      </c>
      <c r="G12" s="11" t="s">
        <v>3895</v>
      </c>
      <c r="H12" s="11" t="s">
        <v>3897</v>
      </c>
    </row>
    <row r="13" spans="1:10" ht="15" customHeight="1" x14ac:dyDescent="0.35">
      <c r="A13" t="s">
        <v>38</v>
      </c>
      <c r="B13">
        <f>SUMIF(tblMEBOficial[Producto],A13,tblMEBOficial[Total crítico confirmado])</f>
        <v>15</v>
      </c>
      <c r="C13">
        <f>SUMIF(tblMEBOficial[Producto],A13,tblMEBOficial[Identificados en ficheros])</f>
        <v>14</v>
      </c>
      <c r="D13">
        <f>SUMIF(tblMEBOficial[Producto],A13,tblMEBOficial[Pendientes inventario exacto])</f>
        <v>1</v>
      </c>
      <c r="F13" t="s">
        <v>897</v>
      </c>
      <c r="G13" s="61">
        <v>404.55</v>
      </c>
      <c r="H13">
        <v>399</v>
      </c>
    </row>
    <row r="14" spans="1:10" ht="15" customHeight="1" x14ac:dyDescent="0.35">
      <c r="A14" t="s">
        <v>40</v>
      </c>
      <c r="B14">
        <f>SUMIF(tblMEBOficial[Producto],A14,tblMEBOficial[Total crítico confirmado])</f>
        <v>14</v>
      </c>
      <c r="C14">
        <f>SUMIF(tblMEBOficial[Producto],A14,tblMEBOficial[Identificados en ficheros])</f>
        <v>13</v>
      </c>
      <c r="D14">
        <f>SUMIF(tblMEBOficial[Producto],A14,tblMEBOficial[Pendientes inventario exacto])</f>
        <v>1</v>
      </c>
      <c r="F14" t="s">
        <v>904</v>
      </c>
      <c r="G14" s="61">
        <v>355.76666666666699</v>
      </c>
      <c r="H14">
        <v>196</v>
      </c>
    </row>
    <row r="15" spans="1:10" ht="15" customHeight="1" x14ac:dyDescent="0.35">
      <c r="A15" t="s">
        <v>42</v>
      </c>
      <c r="B15">
        <f>SUMIF(tblMEBOficial[Producto],A15,tblMEBOficial[Total crítico confirmado])</f>
        <v>14</v>
      </c>
      <c r="C15">
        <f>SUMIF(tblMEBOficial[Producto],A15,tblMEBOficial[Identificados en ficheros])</f>
        <v>6</v>
      </c>
      <c r="D15">
        <f>SUMIF(tblMEBOficial[Producto],A15,tblMEBOficial[Pendientes inventario exacto])</f>
        <v>8</v>
      </c>
      <c r="F15" t="s">
        <v>908</v>
      </c>
      <c r="G15" s="61">
        <v>302.78333333333302</v>
      </c>
      <c r="H15">
        <v>147</v>
      </c>
    </row>
    <row r="16" spans="1:10" ht="15" customHeight="1" x14ac:dyDescent="0.35">
      <c r="A16" t="s">
        <v>44</v>
      </c>
      <c r="B16">
        <f>SUMIF(tblMEBOficial[Producto],A16,tblMEBOficial[Total crítico confirmado])</f>
        <v>17</v>
      </c>
      <c r="C16">
        <f>SUMIF(tblMEBOficial[Producto],A16,tblMEBOficial[Identificados en ficheros])</f>
        <v>14</v>
      </c>
      <c r="D16">
        <f>SUMIF(tblMEBOficial[Producto],A16,tblMEBOficial[Pendientes inventario exacto])</f>
        <v>3</v>
      </c>
      <c r="F16" t="s">
        <v>912</v>
      </c>
      <c r="G16" s="61">
        <v>297.73333333333301</v>
      </c>
      <c r="H16">
        <v>119</v>
      </c>
    </row>
    <row r="17" spans="1:8" ht="15" customHeight="1" x14ac:dyDescent="0.35">
      <c r="A17" t="s">
        <v>45</v>
      </c>
      <c r="B17">
        <f>SUMIF(tblMEBOficial[Producto],A17,tblMEBOficial[Total crítico confirmado])</f>
        <v>15</v>
      </c>
      <c r="C17">
        <f>SUMIF(tblMEBOficial[Producto],A17,tblMEBOficial[Identificados en ficheros])</f>
        <v>0</v>
      </c>
      <c r="D17">
        <f>SUMIF(tblMEBOficial[Producto],A17,tblMEBOficial[Pendientes inventario exacto])</f>
        <v>15</v>
      </c>
      <c r="F17" t="s">
        <v>916</v>
      </c>
      <c r="G17" s="61">
        <v>284.76666666666699</v>
      </c>
      <c r="H17">
        <v>57</v>
      </c>
    </row>
    <row r="18" spans="1:8" ht="15" customHeight="1" x14ac:dyDescent="0.35">
      <c r="F18" t="s">
        <v>920</v>
      </c>
      <c r="G18" s="61">
        <v>269</v>
      </c>
      <c r="H18">
        <v>179</v>
      </c>
    </row>
    <row r="19" spans="1:8" ht="15" customHeight="1" x14ac:dyDescent="0.35">
      <c r="F19" t="s">
        <v>924</v>
      </c>
      <c r="G19" s="61">
        <v>267.13333333333298</v>
      </c>
      <c r="H19">
        <v>125</v>
      </c>
    </row>
    <row r="20" spans="1:8" ht="15" customHeight="1" x14ac:dyDescent="0.35">
      <c r="F20" t="s">
        <v>928</v>
      </c>
      <c r="G20" s="61">
        <v>259.7</v>
      </c>
      <c r="H20">
        <v>103</v>
      </c>
    </row>
    <row r="21" spans="1:8" ht="15" customHeight="1" x14ac:dyDescent="0.35">
      <c r="F21" t="s">
        <v>932</v>
      </c>
      <c r="G21" s="61">
        <v>259.21666666666698</v>
      </c>
      <c r="H21">
        <v>41</v>
      </c>
    </row>
    <row r="22" spans="1:8" ht="15" customHeight="1" x14ac:dyDescent="0.35">
      <c r="F22" t="s">
        <v>935</v>
      </c>
      <c r="G22" s="61">
        <v>242.15</v>
      </c>
      <c r="H22">
        <v>128</v>
      </c>
    </row>
    <row r="23" spans="1:8" ht="15" customHeight="1" x14ac:dyDescent="0.35">
      <c r="F23" t="s">
        <v>938</v>
      </c>
      <c r="G23" s="61">
        <v>235.75</v>
      </c>
      <c r="H23">
        <v>221</v>
      </c>
    </row>
    <row r="24" spans="1:8" ht="15" customHeight="1" x14ac:dyDescent="0.35">
      <c r="F24" t="s">
        <v>941</v>
      </c>
      <c r="G24" s="61">
        <v>234.51666666666699</v>
      </c>
      <c r="H24">
        <v>153</v>
      </c>
    </row>
    <row r="25" spans="1:8" ht="15" customHeight="1" x14ac:dyDescent="0.35">
      <c r="F25" t="s">
        <v>945</v>
      </c>
      <c r="G25" s="61">
        <v>234.35</v>
      </c>
      <c r="H25">
        <v>52</v>
      </c>
    </row>
    <row r="26" spans="1:8" ht="15" customHeight="1" x14ac:dyDescent="0.35">
      <c r="F26" t="s">
        <v>949</v>
      </c>
      <c r="G26" s="61">
        <v>232.21666666666701</v>
      </c>
      <c r="H26">
        <v>136</v>
      </c>
    </row>
    <row r="27" spans="1:8" ht="15" customHeight="1" x14ac:dyDescent="0.35">
      <c r="F27" t="s">
        <v>952</v>
      </c>
      <c r="G27" s="61">
        <v>230.833333333333</v>
      </c>
      <c r="H27">
        <v>95</v>
      </c>
    </row>
  </sheetData>
  <mergeCells count="2">
    <mergeCell ref="A1:J1"/>
    <mergeCell ref="A2:J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pageSetUpPr fitToPage="1"/>
  </sheetPr>
  <dimension ref="A1:G36"/>
  <sheetViews>
    <sheetView showGridLines="0" zoomScale="90" zoomScaleNormal="90" workbookViewId="0">
      <pane ySplit="4" topLeftCell="A5" activePane="bottomLeft" state="frozen"/>
      <selection pane="bottomLeft" activeCell="A27" sqref="A27"/>
    </sheetView>
  </sheetViews>
  <sheetFormatPr baseColWidth="10" defaultColWidth="8.7265625" defaultRowHeight="14.5" x14ac:dyDescent="0.35"/>
  <cols>
    <col min="1" max="1" width="55" customWidth="1"/>
    <col min="2" max="2" width="29" customWidth="1"/>
    <col min="3" max="3" width="33" customWidth="1"/>
    <col min="4" max="4" width="18" customWidth="1"/>
    <col min="5" max="5" width="14" customWidth="1"/>
    <col min="6" max="6" width="50" customWidth="1"/>
    <col min="7" max="7" width="35" customWidth="1"/>
  </cols>
  <sheetData>
    <row r="1" spans="1:7" ht="30" customHeight="1" x14ac:dyDescent="0.35">
      <c r="A1" s="64" t="s">
        <v>6383</v>
      </c>
      <c r="B1" s="65"/>
      <c r="C1" s="65"/>
      <c r="D1" s="65"/>
      <c r="E1" s="65"/>
      <c r="F1" s="65"/>
      <c r="G1" s="65"/>
    </row>
    <row r="2" spans="1:7" ht="30" customHeight="1" x14ac:dyDescent="0.35">
      <c r="A2" s="69" t="s">
        <v>6384</v>
      </c>
      <c r="B2" s="65"/>
      <c r="C2" s="65"/>
      <c r="D2" s="65"/>
      <c r="E2" s="65"/>
      <c r="F2" s="65"/>
      <c r="G2" s="65"/>
    </row>
    <row r="4" spans="1:7" ht="26.9" customHeight="1" x14ac:dyDescent="0.35">
      <c r="A4" s="11" t="s">
        <v>6385</v>
      </c>
      <c r="B4" s="11" t="s">
        <v>6386</v>
      </c>
      <c r="C4" s="11" t="s">
        <v>6387</v>
      </c>
      <c r="D4" s="11" t="s">
        <v>6388</v>
      </c>
      <c r="E4" s="11" t="s">
        <v>6389</v>
      </c>
      <c r="F4" s="11" t="s">
        <v>6390</v>
      </c>
      <c r="G4" s="11" t="s">
        <v>6243</v>
      </c>
    </row>
    <row r="5" spans="1:7" ht="15" customHeight="1" x14ac:dyDescent="0.35">
      <c r="A5" t="s">
        <v>6391</v>
      </c>
      <c r="B5" t="s">
        <v>91</v>
      </c>
      <c r="C5" t="s">
        <v>6392</v>
      </c>
      <c r="D5" t="s">
        <v>6393</v>
      </c>
      <c r="E5" t="s">
        <v>6394</v>
      </c>
      <c r="F5" t="s">
        <v>6395</v>
      </c>
    </row>
    <row r="6" spans="1:7" ht="15" customHeight="1" x14ac:dyDescent="0.35">
      <c r="A6" t="s">
        <v>6391</v>
      </c>
      <c r="B6" t="s">
        <v>92</v>
      </c>
      <c r="C6" t="s">
        <v>6396</v>
      </c>
      <c r="D6" t="s">
        <v>6393</v>
      </c>
      <c r="E6" t="s">
        <v>6393</v>
      </c>
      <c r="F6" t="s">
        <v>6397</v>
      </c>
    </row>
    <row r="7" spans="1:7" ht="15" customHeight="1" x14ac:dyDescent="0.35">
      <c r="A7" t="s">
        <v>6391</v>
      </c>
      <c r="B7" t="s">
        <v>93</v>
      </c>
      <c r="C7" t="s">
        <v>6398</v>
      </c>
      <c r="D7" t="s">
        <v>6393</v>
      </c>
      <c r="E7" t="s">
        <v>6393</v>
      </c>
      <c r="F7" t="s">
        <v>6399</v>
      </c>
    </row>
    <row r="8" spans="1:7" ht="15" customHeight="1" x14ac:dyDescent="0.35">
      <c r="A8" t="s">
        <v>6391</v>
      </c>
      <c r="B8" t="s">
        <v>94</v>
      </c>
      <c r="C8" t="s">
        <v>6400</v>
      </c>
      <c r="D8" t="s">
        <v>6401</v>
      </c>
      <c r="E8" t="s">
        <v>6402</v>
      </c>
      <c r="F8" t="s">
        <v>6403</v>
      </c>
      <c r="G8" t="s">
        <v>6404</v>
      </c>
    </row>
    <row r="9" spans="1:7" ht="15" customHeight="1" x14ac:dyDescent="0.35">
      <c r="A9" t="s">
        <v>6391</v>
      </c>
      <c r="B9" t="s">
        <v>32</v>
      </c>
      <c r="C9" t="s">
        <v>6405</v>
      </c>
      <c r="D9" t="s">
        <v>6406</v>
      </c>
      <c r="E9" t="s">
        <v>6394</v>
      </c>
      <c r="F9" t="s">
        <v>6146</v>
      </c>
    </row>
    <row r="10" spans="1:7" ht="15" customHeight="1" x14ac:dyDescent="0.35">
      <c r="A10" t="s">
        <v>6391</v>
      </c>
      <c r="B10" t="s">
        <v>97</v>
      </c>
      <c r="C10" t="s">
        <v>6407</v>
      </c>
      <c r="D10" t="s">
        <v>6393</v>
      </c>
      <c r="E10" t="s">
        <v>6393</v>
      </c>
      <c r="F10" t="s">
        <v>6408</v>
      </c>
    </row>
    <row r="11" spans="1:7" ht="15" customHeight="1" x14ac:dyDescent="0.35">
      <c r="A11" t="s">
        <v>6391</v>
      </c>
      <c r="B11" t="s">
        <v>98</v>
      </c>
      <c r="C11" t="s">
        <v>6409</v>
      </c>
      <c r="D11" t="s">
        <v>6393</v>
      </c>
      <c r="E11" t="s">
        <v>6394</v>
      </c>
      <c r="F11" t="s">
        <v>6410</v>
      </c>
    </row>
    <row r="12" spans="1:7" ht="15" customHeight="1" x14ac:dyDescent="0.35">
      <c r="A12" t="s">
        <v>6411</v>
      </c>
      <c r="B12" t="s">
        <v>3727</v>
      </c>
      <c r="C12" t="s">
        <v>6412</v>
      </c>
      <c r="D12" t="s">
        <v>6413</v>
      </c>
      <c r="E12" t="s">
        <v>6393</v>
      </c>
      <c r="F12" t="s">
        <v>6414</v>
      </c>
    </row>
    <row r="13" spans="1:7" ht="15" customHeight="1" x14ac:dyDescent="0.35">
      <c r="A13" t="s">
        <v>6411</v>
      </c>
      <c r="B13" t="s">
        <v>3728</v>
      </c>
      <c r="C13" t="s">
        <v>6415</v>
      </c>
      <c r="D13" t="s">
        <v>6413</v>
      </c>
      <c r="E13" t="s">
        <v>6393</v>
      </c>
      <c r="F13" t="s">
        <v>6408</v>
      </c>
    </row>
    <row r="14" spans="1:7" ht="15" customHeight="1" x14ac:dyDescent="0.35">
      <c r="A14" t="s">
        <v>6411</v>
      </c>
      <c r="B14" t="s">
        <v>3694</v>
      </c>
      <c r="C14" t="s">
        <v>6416</v>
      </c>
      <c r="D14" t="s">
        <v>6393</v>
      </c>
      <c r="E14" t="s">
        <v>6394</v>
      </c>
      <c r="F14" t="s">
        <v>6417</v>
      </c>
    </row>
    <row r="15" spans="1:7" ht="15" customHeight="1" x14ac:dyDescent="0.35">
      <c r="A15" t="s">
        <v>6411</v>
      </c>
      <c r="B15" t="s">
        <v>35</v>
      </c>
      <c r="C15" t="s">
        <v>6418</v>
      </c>
      <c r="D15" t="s">
        <v>6393</v>
      </c>
      <c r="E15" t="s">
        <v>6394</v>
      </c>
      <c r="F15" t="s">
        <v>6419</v>
      </c>
    </row>
    <row r="16" spans="1:7" ht="15" customHeight="1" x14ac:dyDescent="0.35">
      <c r="A16" t="s">
        <v>6411</v>
      </c>
      <c r="B16" t="s">
        <v>3695</v>
      </c>
      <c r="C16" t="s">
        <v>6420</v>
      </c>
      <c r="D16" t="s">
        <v>6393</v>
      </c>
      <c r="E16" t="s">
        <v>6394</v>
      </c>
      <c r="F16" t="s">
        <v>109</v>
      </c>
    </row>
    <row r="17" spans="1:6" ht="15" customHeight="1" x14ac:dyDescent="0.35">
      <c r="A17" t="s">
        <v>6411</v>
      </c>
      <c r="B17" t="s">
        <v>3705</v>
      </c>
      <c r="C17" t="s">
        <v>6421</v>
      </c>
      <c r="D17" t="s">
        <v>6393</v>
      </c>
      <c r="E17" t="s">
        <v>6394</v>
      </c>
      <c r="F17" t="s">
        <v>6422</v>
      </c>
    </row>
    <row r="18" spans="1:6" ht="15" customHeight="1" x14ac:dyDescent="0.35">
      <c r="A18" t="s">
        <v>6411</v>
      </c>
      <c r="B18" t="s">
        <v>3708</v>
      </c>
      <c r="C18" t="s">
        <v>6423</v>
      </c>
      <c r="D18" t="s">
        <v>6424</v>
      </c>
      <c r="E18" t="s">
        <v>6425</v>
      </c>
      <c r="F18" t="s">
        <v>6426</v>
      </c>
    </row>
    <row r="19" spans="1:6" ht="15" customHeight="1" x14ac:dyDescent="0.35">
      <c r="A19" t="s">
        <v>6411</v>
      </c>
      <c r="B19" t="s">
        <v>96</v>
      </c>
      <c r="C19" t="s">
        <v>6427</v>
      </c>
      <c r="D19" t="s">
        <v>6393</v>
      </c>
      <c r="E19" t="s">
        <v>6394</v>
      </c>
      <c r="F19" t="s">
        <v>6428</v>
      </c>
    </row>
    <row r="20" spans="1:6" ht="15" customHeight="1" x14ac:dyDescent="0.35">
      <c r="A20" t="s">
        <v>6429</v>
      </c>
      <c r="B20" t="s">
        <v>3893</v>
      </c>
      <c r="C20" t="s">
        <v>6430</v>
      </c>
      <c r="D20" t="s">
        <v>6393</v>
      </c>
      <c r="E20" t="s">
        <v>6393</v>
      </c>
      <c r="F20" t="s">
        <v>6431</v>
      </c>
    </row>
    <row r="21" spans="1:6" ht="15" customHeight="1" x14ac:dyDescent="0.35">
      <c r="A21" t="s">
        <v>6429</v>
      </c>
      <c r="B21" t="s">
        <v>3894</v>
      </c>
      <c r="C21" t="s">
        <v>6432</v>
      </c>
      <c r="D21" t="s">
        <v>6393</v>
      </c>
      <c r="E21" t="s">
        <v>6393</v>
      </c>
      <c r="F21" t="s">
        <v>6433</v>
      </c>
    </row>
    <row r="22" spans="1:6" ht="15" customHeight="1" x14ac:dyDescent="0.35">
      <c r="A22" t="s">
        <v>6429</v>
      </c>
      <c r="B22" t="s">
        <v>3895</v>
      </c>
      <c r="C22" t="s">
        <v>6434</v>
      </c>
      <c r="D22" t="s">
        <v>6168</v>
      </c>
      <c r="E22" t="s">
        <v>6435</v>
      </c>
      <c r="F22" t="s">
        <v>6436</v>
      </c>
    </row>
    <row r="23" spans="1:6" ht="15" customHeight="1" x14ac:dyDescent="0.35">
      <c r="A23" t="s">
        <v>6429</v>
      </c>
      <c r="B23" t="s">
        <v>3896</v>
      </c>
      <c r="C23" t="s">
        <v>6434</v>
      </c>
      <c r="D23" t="s">
        <v>6437</v>
      </c>
      <c r="E23" t="s">
        <v>6435</v>
      </c>
      <c r="F23" t="s">
        <v>6438</v>
      </c>
    </row>
    <row r="24" spans="1:6" ht="15" customHeight="1" x14ac:dyDescent="0.35">
      <c r="A24" t="s">
        <v>6429</v>
      </c>
      <c r="B24" t="s">
        <v>3897</v>
      </c>
      <c r="C24" t="s">
        <v>6439</v>
      </c>
      <c r="D24" t="s">
        <v>6323</v>
      </c>
      <c r="E24" t="s">
        <v>6425</v>
      </c>
      <c r="F24" t="s">
        <v>6440</v>
      </c>
    </row>
    <row r="25" spans="1:6" ht="15" customHeight="1" x14ac:dyDescent="0.35">
      <c r="A25" t="s">
        <v>6429</v>
      </c>
      <c r="B25" t="s">
        <v>3899</v>
      </c>
      <c r="C25" t="s">
        <v>6441</v>
      </c>
      <c r="D25" t="s">
        <v>6236</v>
      </c>
      <c r="E25" t="s">
        <v>6435</v>
      </c>
      <c r="F25" t="s">
        <v>6442</v>
      </c>
    </row>
    <row r="26" spans="1:6" ht="15" customHeight="1" x14ac:dyDescent="0.35">
      <c r="A26" t="s">
        <v>6429</v>
      </c>
      <c r="B26" t="s">
        <v>3900</v>
      </c>
      <c r="C26" t="s">
        <v>6443</v>
      </c>
      <c r="D26" t="s">
        <v>6444</v>
      </c>
      <c r="E26" t="s">
        <v>6435</v>
      </c>
      <c r="F26" t="s">
        <v>6445</v>
      </c>
    </row>
    <row r="27" spans="1:6" ht="15" customHeight="1" x14ac:dyDescent="0.35">
      <c r="A27" t="s">
        <v>6429</v>
      </c>
      <c r="B27" t="s">
        <v>3901</v>
      </c>
      <c r="C27" t="s">
        <v>6446</v>
      </c>
      <c r="D27" t="s">
        <v>6437</v>
      </c>
      <c r="E27" t="s">
        <v>6435</v>
      </c>
      <c r="F27" t="s">
        <v>6447</v>
      </c>
    </row>
    <row r="28" spans="1:6" ht="15" customHeight="1" x14ac:dyDescent="0.35">
      <c r="A28" t="s">
        <v>6429</v>
      </c>
      <c r="B28" t="s">
        <v>3904</v>
      </c>
      <c r="C28" t="s">
        <v>6448</v>
      </c>
      <c r="D28" t="s">
        <v>6449</v>
      </c>
      <c r="E28" t="s">
        <v>6393</v>
      </c>
      <c r="F28" t="s">
        <v>6450</v>
      </c>
    </row>
    <row r="29" spans="1:6" ht="15" customHeight="1" x14ac:dyDescent="0.35">
      <c r="A29" t="s">
        <v>6451</v>
      </c>
      <c r="B29" t="s">
        <v>3706</v>
      </c>
      <c r="C29" t="s">
        <v>6452</v>
      </c>
      <c r="D29" t="s">
        <v>6393</v>
      </c>
      <c r="E29" t="s">
        <v>6394</v>
      </c>
      <c r="F29" t="s">
        <v>6453</v>
      </c>
    </row>
    <row r="30" spans="1:6" ht="15" customHeight="1" x14ac:dyDescent="0.35">
      <c r="A30" t="s">
        <v>6451</v>
      </c>
      <c r="B30" t="s">
        <v>5970</v>
      </c>
      <c r="C30" t="s">
        <v>6454</v>
      </c>
      <c r="D30" t="s">
        <v>6393</v>
      </c>
      <c r="E30" t="s">
        <v>6394</v>
      </c>
      <c r="F30" t="s">
        <v>6455</v>
      </c>
    </row>
    <row r="31" spans="1:6" ht="15" customHeight="1" x14ac:dyDescent="0.35">
      <c r="A31" t="s">
        <v>6451</v>
      </c>
      <c r="B31" t="s">
        <v>5971</v>
      </c>
      <c r="C31" t="s">
        <v>6456</v>
      </c>
      <c r="D31" t="s">
        <v>6393</v>
      </c>
      <c r="E31" t="s">
        <v>6393</v>
      </c>
      <c r="F31" t="s">
        <v>6457</v>
      </c>
    </row>
    <row r="32" spans="1:6" ht="15" customHeight="1" x14ac:dyDescent="0.35">
      <c r="A32" t="s">
        <v>6451</v>
      </c>
      <c r="B32" t="s">
        <v>5972</v>
      </c>
      <c r="C32" t="s">
        <v>6458</v>
      </c>
      <c r="D32" t="s">
        <v>6236</v>
      </c>
      <c r="E32" t="s">
        <v>6435</v>
      </c>
      <c r="F32" t="s">
        <v>6459</v>
      </c>
    </row>
    <row r="33" spans="1:7" ht="15" customHeight="1" x14ac:dyDescent="0.35">
      <c r="A33" t="s">
        <v>6451</v>
      </c>
      <c r="B33" t="s">
        <v>32</v>
      </c>
      <c r="C33" t="s">
        <v>6460</v>
      </c>
      <c r="D33" t="s">
        <v>6393</v>
      </c>
      <c r="E33" t="s">
        <v>6394</v>
      </c>
      <c r="F33" t="s">
        <v>6461</v>
      </c>
    </row>
    <row r="34" spans="1:7" ht="15" customHeight="1" x14ac:dyDescent="0.35">
      <c r="A34" t="s">
        <v>6462</v>
      </c>
      <c r="B34" t="s">
        <v>60</v>
      </c>
      <c r="C34" t="s">
        <v>6463</v>
      </c>
      <c r="D34" t="s">
        <v>6464</v>
      </c>
      <c r="E34" t="s">
        <v>6435</v>
      </c>
      <c r="F34" t="s">
        <v>6465</v>
      </c>
      <c r="G34" t="s">
        <v>6466</v>
      </c>
    </row>
    <row r="35" spans="1:7" ht="15" customHeight="1" x14ac:dyDescent="0.35">
      <c r="A35" t="s">
        <v>6462</v>
      </c>
      <c r="B35" t="s">
        <v>6151</v>
      </c>
      <c r="C35" t="s">
        <v>6467</v>
      </c>
      <c r="D35" t="s">
        <v>6393</v>
      </c>
      <c r="E35" t="s">
        <v>6394</v>
      </c>
      <c r="F35" t="s">
        <v>6468</v>
      </c>
    </row>
    <row r="36" spans="1:7" ht="15" customHeight="1" x14ac:dyDescent="0.35">
      <c r="A36" t="s">
        <v>6462</v>
      </c>
      <c r="B36" t="s">
        <v>6130</v>
      </c>
      <c r="C36" t="s">
        <v>6469</v>
      </c>
      <c r="D36" t="s">
        <v>6393</v>
      </c>
      <c r="E36" t="s">
        <v>6394</v>
      </c>
      <c r="F36" t="s">
        <v>6470</v>
      </c>
    </row>
  </sheetData>
  <mergeCells count="2">
    <mergeCell ref="A2:G2"/>
    <mergeCell ref="A1:G1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pageSetUpPr fitToPage="1"/>
  </sheetPr>
  <dimension ref="A1:H13"/>
  <sheetViews>
    <sheetView showGridLines="0" tabSelected="1" zoomScale="90" zoomScaleNormal="90" workbookViewId="0">
      <pane ySplit="4" topLeftCell="A5" activePane="bottomLeft" state="frozen"/>
      <selection pane="bottomLeft" sqref="A1:H1"/>
    </sheetView>
  </sheetViews>
  <sheetFormatPr baseColWidth="10" defaultColWidth="8.7265625" defaultRowHeight="14.5" x14ac:dyDescent="0.35"/>
  <cols>
    <col min="1" max="2" width="50" customWidth="1"/>
    <col min="3" max="3" width="31" customWidth="1"/>
    <col min="4" max="4" width="39" customWidth="1"/>
    <col min="5" max="5" width="45" customWidth="1"/>
    <col min="6" max="8" width="10" customWidth="1"/>
  </cols>
  <sheetData>
    <row r="1" spans="1:8" ht="30" customHeight="1" x14ac:dyDescent="0.35">
      <c r="A1" s="64" t="s">
        <v>6471</v>
      </c>
      <c r="B1" s="65"/>
      <c r="C1" s="65"/>
      <c r="D1" s="65"/>
      <c r="E1" s="65"/>
      <c r="F1" s="65"/>
      <c r="G1" s="65"/>
      <c r="H1" s="65"/>
    </row>
    <row r="2" spans="1:8" ht="30" customHeight="1" x14ac:dyDescent="0.35">
      <c r="A2" s="69" t="s">
        <v>6472</v>
      </c>
      <c r="B2" s="65"/>
      <c r="C2" s="65"/>
      <c r="D2" s="65"/>
      <c r="E2" s="65"/>
      <c r="F2" s="65"/>
      <c r="G2" s="65"/>
      <c r="H2" s="65"/>
    </row>
    <row r="4" spans="1:8" ht="15" customHeight="1" x14ac:dyDescent="0.35">
      <c r="A4" s="11" t="s">
        <v>6473</v>
      </c>
      <c r="B4" s="11" t="s">
        <v>6474</v>
      </c>
      <c r="C4" s="11" t="s">
        <v>96</v>
      </c>
      <c r="D4" s="11" t="s">
        <v>6132</v>
      </c>
      <c r="E4" s="11" t="s">
        <v>6475</v>
      </c>
    </row>
    <row r="5" spans="1:8" ht="15" customHeight="1" x14ac:dyDescent="0.35">
      <c r="A5" t="s">
        <v>6476</v>
      </c>
      <c r="B5" s="63">
        <f>'30_Dimensionamiento'!B9</f>
        <v>2043</v>
      </c>
      <c r="C5" t="str">
        <f>IF(B5=2043,"OK","ERROR")</f>
        <v>OK</v>
      </c>
      <c r="D5" t="s">
        <v>6477</v>
      </c>
      <c r="E5" t="s">
        <v>6478</v>
      </c>
    </row>
    <row r="6" spans="1:8" ht="15" customHeight="1" x14ac:dyDescent="0.35">
      <c r="A6" t="s">
        <v>6479</v>
      </c>
      <c r="B6" s="63">
        <f>SUM(tblMEBOficial[Total crítico confirmado])</f>
        <v>75</v>
      </c>
      <c r="C6" t="str">
        <f>IF(B6=75,"OK","REVISAR")</f>
        <v>OK</v>
      </c>
      <c r="D6" t="s">
        <v>6480</v>
      </c>
      <c r="E6" t="s">
        <v>6481</v>
      </c>
    </row>
    <row r="7" spans="1:8" ht="15" customHeight="1" x14ac:dyDescent="0.35">
      <c r="A7" t="s">
        <v>6482</v>
      </c>
      <c r="B7" s="63">
        <f>SUMIFS(tblMEBOficial[Total crítico confirmado],tblMEBOficial[Proceso],"Montaje")+SUMIFS(tblMEBOficial[Total crítico confirmado],tblMEBOficial[Proceso],"Mecanizado")</f>
        <v>75</v>
      </c>
      <c r="C7" t="str">
        <f>IF(B7=B6,"OK","ERROR")</f>
        <v>OK</v>
      </c>
      <c r="D7" t="s">
        <v>6483</v>
      </c>
      <c r="E7" t="s">
        <v>6484</v>
      </c>
    </row>
    <row r="8" spans="1:8" ht="15" customHeight="1" x14ac:dyDescent="0.35">
      <c r="A8" t="s">
        <v>6485</v>
      </c>
      <c r="B8" s="63">
        <f>SUM(tblParos[Minutos paro])-SUM(tblParos[Horas paro])*60</f>
        <v>-3.9581209421157837E-9</v>
      </c>
      <c r="C8" t="str">
        <f>IF(ABS(B8)&lt;1,"OK","REVISAR")</f>
        <v>OK</v>
      </c>
      <c r="D8" t="s">
        <v>6486</v>
      </c>
      <c r="E8" t="s">
        <v>6487</v>
      </c>
    </row>
    <row r="9" spans="1:8" ht="15" customHeight="1" x14ac:dyDescent="0.35">
      <c r="A9" t="s">
        <v>6488</v>
      </c>
      <c r="B9" s="63">
        <f>COUNTBLANK(tblParos[Máquina])</f>
        <v>0</v>
      </c>
      <c r="C9" t="str">
        <f>IF(B9=0,"OK","REVISAR")</f>
        <v>OK</v>
      </c>
      <c r="D9" t="s">
        <v>6489</v>
      </c>
      <c r="E9" t="s">
        <v>6490</v>
      </c>
    </row>
    <row r="10" spans="1:8" ht="15" customHeight="1" x14ac:dyDescent="0.35">
      <c r="A10" t="s">
        <v>6491</v>
      </c>
      <c r="B10" s="63">
        <f>COUNTBLANK(tblMontaje[Inventario])</f>
        <v>7</v>
      </c>
      <c r="C10" t="str">
        <f>IF(B10=0,"OK","REVISAR")</f>
        <v>REVISAR</v>
      </c>
      <c r="D10" t="s">
        <v>6492</v>
      </c>
      <c r="E10" t="s">
        <v>6493</v>
      </c>
    </row>
    <row r="11" spans="1:8" ht="15" customHeight="1" x14ac:dyDescent="0.35">
      <c r="A11" t="s">
        <v>6494</v>
      </c>
      <c r="B11" s="63">
        <v>4</v>
      </c>
      <c r="C11" t="s">
        <v>6495</v>
      </c>
      <c r="D11" t="s">
        <v>6496</v>
      </c>
      <c r="E11" t="s">
        <v>6497</v>
      </c>
    </row>
    <row r="12" spans="1:8" ht="15" customHeight="1" x14ac:dyDescent="0.35">
      <c r="A12" t="s">
        <v>6498</v>
      </c>
      <c r="B12" s="63">
        <f>'30_Dimensionamiento'!B35-'30_Dimensionamiento'!B34</f>
        <v>9.4892857142856997</v>
      </c>
      <c r="C12" t="str">
        <f>IF(B12&gt;=0,"OK","ERROR")</f>
        <v>OK</v>
      </c>
      <c r="D12" t="s">
        <v>6499</v>
      </c>
      <c r="E12" t="s">
        <v>6500</v>
      </c>
    </row>
    <row r="13" spans="1:8" ht="15" customHeight="1" x14ac:dyDescent="0.35">
      <c r="A13" t="s">
        <v>6501</v>
      </c>
      <c r="B13" s="63">
        <f>'30_Dimensionamiento'!B36</f>
        <v>34.206723018360947</v>
      </c>
      <c r="C13" t="str">
        <f>IF(B13&gt;0,"ALERTA","OK")</f>
        <v>ALERTA</v>
      </c>
      <c r="D13" t="s">
        <v>6502</v>
      </c>
      <c r="E13" t="s">
        <v>6503</v>
      </c>
    </row>
  </sheetData>
  <mergeCells count="2">
    <mergeCell ref="A2:H2"/>
    <mergeCell ref="A1:H1"/>
  </mergeCells>
  <conditionalFormatting sqref="C5:C13">
    <cfRule type="expression" dxfId="1" priority="2">
      <formula>OR(C5="ERROR",C5="REVISAR",C5="ALERTA")</formula>
    </cfRule>
    <cfRule type="expression" dxfId="0" priority="3">
      <formula>C5="OK"</formula>
    </cfRule>
  </conditionalFormatting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>
    <pageSetUpPr fitToPage="1"/>
  </sheetPr>
  <dimension ref="A1:G14"/>
  <sheetViews>
    <sheetView showGridLines="0" zoomScale="90" zoomScaleNormal="90" workbookViewId="0">
      <pane ySplit="4" topLeftCell="A5" activePane="bottomLeft" state="frozen"/>
      <selection pane="bottomLeft" activeCell="B40" sqref="B40"/>
    </sheetView>
  </sheetViews>
  <sheetFormatPr baseColWidth="10" defaultColWidth="8.7265625" defaultRowHeight="14.5" x14ac:dyDescent="0.35"/>
  <cols>
    <col min="1" max="1" width="63" customWidth="1"/>
    <col min="2" max="2" width="24" customWidth="1"/>
    <col min="3" max="3" width="80" customWidth="1"/>
    <col min="4" max="7" width="10" customWidth="1"/>
  </cols>
  <sheetData>
    <row r="1" spans="1:7" ht="30" customHeight="1" x14ac:dyDescent="0.35">
      <c r="A1" s="64" t="s">
        <v>6504</v>
      </c>
      <c r="B1" s="65"/>
      <c r="C1" s="65"/>
      <c r="D1" s="65"/>
      <c r="E1" s="65"/>
      <c r="F1" s="65"/>
      <c r="G1" s="65"/>
    </row>
    <row r="2" spans="1:7" ht="30" customHeight="1" x14ac:dyDescent="0.35">
      <c r="A2" s="69" t="s">
        <v>6505</v>
      </c>
      <c r="B2" s="65"/>
      <c r="C2" s="65"/>
      <c r="D2" s="65"/>
      <c r="E2" s="65"/>
      <c r="F2" s="65"/>
      <c r="G2" s="65"/>
    </row>
    <row r="4" spans="1:7" ht="15" customHeight="1" x14ac:dyDescent="0.35">
      <c r="A4" s="11" t="s">
        <v>6130</v>
      </c>
      <c r="B4" s="11" t="s">
        <v>6506</v>
      </c>
      <c r="C4" s="11" t="s">
        <v>6507</v>
      </c>
    </row>
    <row r="5" spans="1:7" ht="15" customHeight="1" x14ac:dyDescent="0.35">
      <c r="A5" t="s">
        <v>6508</v>
      </c>
      <c r="B5" t="s">
        <v>6509</v>
      </c>
      <c r="C5" t="s">
        <v>6510</v>
      </c>
    </row>
    <row r="6" spans="1:7" ht="15" customHeight="1" x14ac:dyDescent="0.35">
      <c r="A6" t="s">
        <v>6511</v>
      </c>
      <c r="B6" t="s">
        <v>35</v>
      </c>
      <c r="C6" t="s">
        <v>6512</v>
      </c>
    </row>
    <row r="7" spans="1:7" ht="15" customHeight="1" x14ac:dyDescent="0.35">
      <c r="A7" t="s">
        <v>6513</v>
      </c>
      <c r="B7" t="s">
        <v>93</v>
      </c>
      <c r="C7" t="s">
        <v>6514</v>
      </c>
    </row>
    <row r="8" spans="1:7" ht="15" customHeight="1" x14ac:dyDescent="0.35">
      <c r="A8" t="s">
        <v>6515</v>
      </c>
      <c r="B8" t="s">
        <v>32</v>
      </c>
      <c r="C8" t="s">
        <v>6516</v>
      </c>
    </row>
    <row r="9" spans="1:7" ht="15" customHeight="1" x14ac:dyDescent="0.35">
      <c r="A9" t="s">
        <v>6517</v>
      </c>
      <c r="B9" t="s">
        <v>6518</v>
      </c>
      <c r="C9" t="s">
        <v>6519</v>
      </c>
    </row>
    <row r="10" spans="1:7" ht="15" customHeight="1" x14ac:dyDescent="0.35">
      <c r="A10" t="s">
        <v>6520</v>
      </c>
      <c r="B10" t="s">
        <v>6521</v>
      </c>
      <c r="C10" t="s">
        <v>6522</v>
      </c>
    </row>
    <row r="11" spans="1:7" ht="15" customHeight="1" x14ac:dyDescent="0.35">
      <c r="A11" t="s">
        <v>6523</v>
      </c>
      <c r="B11" t="s">
        <v>6524</v>
      </c>
      <c r="C11" t="s">
        <v>6525</v>
      </c>
    </row>
    <row r="12" spans="1:7" ht="15" customHeight="1" x14ac:dyDescent="0.35">
      <c r="A12" t="s">
        <v>6523</v>
      </c>
      <c r="B12" t="s">
        <v>6526</v>
      </c>
      <c r="C12" t="s">
        <v>6527</v>
      </c>
    </row>
    <row r="13" spans="1:7" ht="15" customHeight="1" x14ac:dyDescent="0.35">
      <c r="A13" t="s">
        <v>6528</v>
      </c>
      <c r="B13" t="s">
        <v>6529</v>
      </c>
      <c r="C13" t="s">
        <v>6530</v>
      </c>
    </row>
    <row r="14" spans="1:7" ht="15" customHeight="1" x14ac:dyDescent="0.35">
      <c r="A14" t="s">
        <v>6528</v>
      </c>
      <c r="B14" t="s">
        <v>6531</v>
      </c>
      <c r="C14" t="s">
        <v>6532</v>
      </c>
    </row>
  </sheetData>
  <mergeCells count="2">
    <mergeCell ref="A2:G2"/>
    <mergeCell ref="A1:G1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00_Portada</vt:lpstr>
      <vt:lpstr>10_Resumen_Ejecutivo</vt:lpstr>
      <vt:lpstr>11_Dashboard</vt:lpstr>
      <vt:lpstr>ORG_M_00_Resumen_Ejecutivo</vt:lpstr>
      <vt:lpstr>ORG_M_01_Maestro_Fabrica</vt:lpstr>
      <vt:lpstr>ORG_M_02_MEB_ECO_Oficial</vt:lpstr>
      <vt:lpstr>ORG_M_03_MEB_ECO_Detalle</vt:lpstr>
      <vt:lpstr>ORG_M_04_Montaje_Completo</vt:lpstr>
      <vt:lpstr>ORG_M_05_Paros_Historico</vt:lpstr>
      <vt:lpstr>ORG_M_06_Cuellos_Botella</vt:lpstr>
      <vt:lpstr>ORG_M_07_Contexto_Global</vt:lpstr>
      <vt:lpstr>ORG_M_08_Dimensionamiento</vt:lpstr>
      <vt:lpstr>ORG_M_09_Reglas_Criterios</vt:lpstr>
      <vt:lpstr>ORG_D_00_Resumen</vt:lpstr>
      <vt:lpstr>ORG_D_01_Supuestos_Fuentes</vt:lpstr>
      <vt:lpstr>ORG_D_02_Parque_Criticidad</vt:lpstr>
      <vt:lpstr>ORG_D_03_Secciones</vt:lpstr>
      <vt:lpstr>ORG_D_04_Calculo_FTE</vt:lpstr>
      <vt:lpstr>ORG_D_05_Datos_2025_actual</vt:lpstr>
      <vt:lpstr>20_Maestro_Estructurado</vt:lpstr>
      <vt:lpstr>21_MEB_ECO_Detalle</vt:lpstr>
      <vt:lpstr>22_Montaje</vt:lpstr>
      <vt:lpstr>23_Paros</vt:lpstr>
      <vt:lpstr>24_Cuellos_Botella</vt:lpstr>
      <vt:lpstr>25_MEB_ECO_Oficial</vt:lpstr>
      <vt:lpstr>30_Dimensionamiento</vt:lpstr>
      <vt:lpstr>31_Analisis</vt:lpstr>
      <vt:lpstr>40_Diccionario_Datos</vt:lpstr>
      <vt:lpstr>41_Comprobaciones</vt:lpstr>
      <vt:lpstr>42_Relaciones_y_Notas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Rocosa Serra, David (SEA/PK-16)</dc:creator>
  <cp:keywords/>
  <dc:description/>
  <cp:lastModifiedBy>Rocosa Serra, David (SEA/PK-16)</cp:lastModifiedBy>
  <cp:revision>0</cp:revision>
  <dcterms:created xsi:type="dcterms:W3CDTF">2026-09-02T13:29:33Z</dcterms:created>
  <dcterms:modified xsi:type="dcterms:W3CDTF">2026-09-08T12:59:29Z</dcterms:modified>
  <cp:category/>
  <cp:contentStatus/>
</cp:coreProperties>
</file>